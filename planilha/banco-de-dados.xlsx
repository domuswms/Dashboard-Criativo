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latorios" sheetId="2" state="visible" r:id="rId4"/>
    <sheet name="metas_base" sheetId="3" state="visible" r:id="rId5"/>
    <sheet name="plano_90_dias" sheetId="4" state="visible" r:id="rId6"/>
    <sheet name="fornecedor_painel" sheetId="5" state="visible" r:id="rId7"/>
    <sheet name="fornecedores" sheetId="6" state="visible" r:id="rId8"/>
    <sheet name="posicoes_fornecedor" sheetId="7" state="visible" r:id="rId9"/>
    <sheet name="vonder_60" sheetId="8" state="visible" r:id="rId10"/>
    <sheet name="lotes" sheetId="9" state="visible" r:id="rId11"/>
    <sheet name="clickup_tarefas" sheetId="10" state="visible" r:id="rId12"/>
    <sheet name="clickup_historico" sheetId="11" state="visible" r:id="rId13"/>
  </sheets>
  <definedNames>
    <definedName function="false" hidden="true" localSheetId="9" name="_xlnm._FilterDatabase" vbProcedure="false">clickup_tarefas!$A$1:$N$1090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<sst xmlns="http://schemas.openxmlformats.org/spreadsheetml/2006/main" count="8105" uniqueCount="3197">
  <si>
    <t xml:space="preserve">Banco de dados · Cadastro &amp; Criativo</t>
  </si>
  <si>
    <t xml:space="preserve">Como usar</t>
  </si>
  <si>
    <t xml:space="preserve">Cores</t>
  </si>
  <si>
    <t xml:space="preserve">Texto azul = digitação manual. Preto = fórmula (não editar). Linha 2 cinza de cada aba = exemplo de formato; os dados reais começam na linha 3.</t>
  </si>
  <si>
    <t xml:space="preserve">Fórmulas</t>
  </si>
  <si>
    <t xml:space="preserve">As fórmulas cobrem até a linha 1000. Não deixe linhas em branco no meio dos dados.</t>
  </si>
  <si>
    <t xml:space="preserve">Abas</t>
  </si>
  <si>
    <t xml:space="preserve">clickup_tarefas</t>
  </si>
  <si>
    <t xml:space="preserve">Carga inicial das tarefas do ClickUp (data/clickup.json de 13/10/2026). Daqui em diante a rotina diária acrescenta tarefas novas e atualiza as existentes pelo ID, sem duplicar.</t>
  </si>
  <si>
    <t xml:space="preserve">clickup_historico</t>
  </si>
  <si>
    <t xml:space="preserve">Uma linha a cada mudança de status detectada pela rotina. Serve para medir quanto tempo a tarefa ficou em cada etapa.</t>
  </si>
  <si>
    <t xml:space="preserve">plano_90_dias</t>
  </si>
  <si>
    <t xml:space="preserve">Plano de 90 dias: uma linha por atividade, com fase, responsável, prazo, status e peso. O percentual do plano é calculado pelo peso.</t>
  </si>
  <si>
    <t xml:space="preserve">fornecedores</t>
  </si>
  <si>
    <t xml:space="preserve">Cadastro de fornecedores. Os números de catálogo, cadastrados e disponíveis aparecem sozinhos, a partir da posição mais recente.</t>
  </si>
  <si>
    <t xml:space="preserve">posicoes_fornecedor</t>
  </si>
  <si>
    <t xml:space="preserve">Registro de posições por fornecedor e data: produtos no catálogo, cadastrados no ERP e disponíveis para venda. Preenchido só pelo time de cadastro.</t>
  </si>
  <si>
    <t xml:space="preserve">fornecedor_painel</t>
  </si>
  <si>
    <t xml:space="preserve">Escolha o fornecedor na célula amarela e veja catálogo, cadastrados, disponíveis, o que falta cadastrar e as coberturas.</t>
  </si>
  <si>
    <t xml:space="preserve">vonder_60</t>
  </si>
  <si>
    <t xml:space="preserve">Projeto Vonder 60: posições periódicas de anúncios publicados e no ERP, com a variação entre posições e a meta.</t>
  </si>
  <si>
    <t xml:space="preserve">lotes</t>
  </si>
  <si>
    <t xml:space="preserve">Lotes de cadastro (planilhas recebidas): datas de recebimento, início e conclusão, e devoluções. Base do tempo médio de execução.</t>
  </si>
  <si>
    <t xml:space="preserve">metas_base</t>
  </si>
  <si>
    <t xml:space="preserve">Valores de base e metas planejadas de cada indicador. Estão em branco: só preencha o que a gestão aprovou.</t>
  </si>
  <si>
    <t xml:space="preserve">relatorios</t>
  </si>
  <si>
    <t xml:space="preserve">Planejado × realizado, com fórmulas lendo as demais abas.</t>
  </si>
  <si>
    <t xml:space="preserve">Limites conhecidos</t>
  </si>
  <si>
    <t xml:space="preserve">Tempo de execução</t>
  </si>
  <si>
    <t xml:space="preserve">O ClickUp devolvido pela rotina não traz a data de criação da tarefa. Por isso o tempo médio de execução vem da aba lotes (início → conclusão). Para tarefas do ClickUp, o tempo só será confiável depois que clickup_historico acumular mudanças de status.</t>
  </si>
  <si>
    <t xml:space="preserve">Prazo cumprido</t>
  </si>
  <si>
    <t xml:space="preserve">Considera só tarefas concluídas que têm prazo. Concluída no dia do prazo conta como no prazo.</t>
  </si>
  <si>
    <t xml:space="preserve">Filial</t>
  </si>
  <si>
    <t xml:space="preserve">Vem da fonte (Itajaí, Londrina) ou da tag da tarefa. Tarefas sem essa informação ficam sem filial.</t>
  </si>
  <si>
    <t xml:space="preserve">Relatórios · planejado × realizado</t>
  </si>
  <si>
    <t xml:space="preserve">Base e meta vêm da aba metas_base. Realizado é calculado das demais abas. Sem meta preenchida, o status fica em branco.</t>
  </si>
  <si>
    <t xml:space="preserve">Indicador</t>
  </si>
  <si>
    <t xml:space="preserve">Valor de base</t>
  </si>
  <si>
    <t xml:space="preserve">Meta planejada</t>
  </si>
  <si>
    <t xml:space="preserve">Realizado</t>
  </si>
  <si>
    <t xml:space="preserve">Status</t>
  </si>
  <si>
    <t xml:space="preserve">Como é calculado</t>
  </si>
  <si>
    <t xml:space="preserve">Concluídas com prazo, fechadas até o dia do prazo ÷ concluídas com prazo (clickup_tarefas)</t>
  </si>
  <si>
    <t xml:space="preserve">Lotes marcados como devolvidos ÷ lotes registrados (lotes)</t>
  </si>
  <si>
    <t xml:space="preserve">Lotes com conferência Devolvida ÷ lotes com conferência preenchida (lotes)</t>
  </si>
  <si>
    <t xml:space="preserve">Média de dias entre início do cadastro e conclusão (lotes)</t>
  </si>
  <si>
    <t xml:space="preserve">Média de dias entre recebimento e início do cadastro (lotes)</t>
  </si>
  <si>
    <t xml:space="preserve">Média do % de cada atividade ponderada pelo peso (plano_90_dias). Atividade sem peso não entra</t>
  </si>
  <si>
    <t xml:space="preserve">Média de cadastrados ÷ catálogo nos fornecedores com posição (fornecedores)</t>
  </si>
  <si>
    <t xml:space="preserve">Média de disponíveis ÷ catálogo nos fornecedores com posição (fornecedores)</t>
  </si>
  <si>
    <t xml:space="preserve">Posição mais recente em vonder_60</t>
  </si>
  <si>
    <t xml:space="preserve">Tarefas do ClickUp por fonte</t>
  </si>
  <si>
    <t xml:space="preserve">Fonte</t>
  </si>
  <si>
    <t xml:space="preserve">Total</t>
  </si>
  <si>
    <t xml:space="preserve">Abertas</t>
  </si>
  <si>
    <t xml:space="preserve">Concluídas</t>
  </si>
  <si>
    <t xml:space="preserve">Atrasadas (abertas com prazo vencido)</t>
  </si>
  <si>
    <t xml:space="preserve">anuncios</t>
  </si>
  <si>
    <t xml:space="preserve">compras</t>
  </si>
  <si>
    <t xml:space="preserve">itajai</t>
  </si>
  <si>
    <t xml:space="preserve">londrina</t>
  </si>
  <si>
    <t xml:space="preserve">Unidade</t>
  </si>
  <si>
    <t xml:space="preserve">Melhor quando</t>
  </si>
  <si>
    <t xml:space="preserve">Prazo da meta</t>
  </si>
  <si>
    <t xml:space="preserve">Fonte da base / observação</t>
  </si>
  <si>
    <t xml:space="preserve">Exemplo: Cumprimento de prazo</t>
  </si>
  <si>
    <t xml:space="preserve">%</t>
  </si>
  <si>
    <t xml:space="preserve">Maior</t>
  </si>
  <si>
    <t xml:space="preserve">Exemplo: apague esta linha. Percentuais em formato 0,9 = 90%</t>
  </si>
  <si>
    <t xml:space="preserve">Cumprimento de prazo</t>
  </si>
  <si>
    <t xml:space="preserve">Retrabalho (lotes devolvidos)</t>
  </si>
  <si>
    <t xml:space="preserve">Menor</t>
  </si>
  <si>
    <t xml:space="preserve">Devolução na 1ª conferência</t>
  </si>
  <si>
    <t xml:space="preserve">Tempo médio de execução do cadastro</t>
  </si>
  <si>
    <t xml:space="preserve">dias</t>
  </si>
  <si>
    <t xml:space="preserve">Espera entre recebimento e início</t>
  </si>
  <si>
    <t xml:space="preserve">Plano de 90 dias concluído</t>
  </si>
  <si>
    <t xml:space="preserve">Cobertura média de cadastro dos fornecedores</t>
  </si>
  <si>
    <t xml:space="preserve">Cobertura média de venda dos fornecedores</t>
  </si>
  <si>
    <t xml:space="preserve">Vonder 60: anúncios publicados</t>
  </si>
  <si>
    <t xml:space="preserve">un</t>
  </si>
  <si>
    <t xml:space="preserve">Código</t>
  </si>
  <si>
    <t xml:space="preserve">Fase (1 a 3)</t>
  </si>
  <si>
    <t xml:space="preserve">Atividade</t>
  </si>
  <si>
    <t xml:space="preserve">Responsável</t>
  </si>
  <si>
    <t xml:space="preserve">Início</t>
  </si>
  <si>
    <t xml:space="preserve">Prazo</t>
  </si>
  <si>
    <t xml:space="preserve">% concluído</t>
  </si>
  <si>
    <t xml:space="preserve">Peso</t>
  </si>
  <si>
    <t xml:space="preserve">Bloqueio</t>
  </si>
  <si>
    <t xml:space="preserve">Observações</t>
  </si>
  <si>
    <t xml:space="preserve">% considerado</t>
  </si>
  <si>
    <t xml:space="preserve">Situação</t>
  </si>
  <si>
    <t xml:space="preserve">1.1</t>
  </si>
  <si>
    <t xml:space="preserve">Mapear fornecedores prioritários</t>
  </si>
  <si>
    <t xml:space="preserve">Polielly Morato</t>
  </si>
  <si>
    <t xml:space="preserve">Em andamento</t>
  </si>
  <si>
    <t xml:space="preserve">Exemplo: apague esta linha</t>
  </si>
  <si>
    <t xml:space="preserve">Expansão por fornecedor</t>
  </si>
  <si>
    <t xml:space="preserve">Escolha o fornecedor na célula amarela. Os números vêm da posição mais recente em posicoes_fornecedor.</t>
  </si>
  <si>
    <t xml:space="preserve">Fornecedor</t>
  </si>
  <si>
    <t xml:space="preserve">Vonder</t>
  </si>
  <si>
    <t xml:space="preserve">Modelo</t>
  </si>
  <si>
    <t xml:space="preserve">Posição de</t>
  </si>
  <si>
    <t xml:space="preserve">Produtos no catálogo</t>
  </si>
  <si>
    <t xml:space="preserve">Cadastrados no ERP</t>
  </si>
  <si>
    <t xml:space="preserve">Disponíveis para venda</t>
  </si>
  <si>
    <t xml:space="preserve">Faltam cadastrar</t>
  </si>
  <si>
    <t xml:space="preserve">Cobertura de cadastro</t>
  </si>
  <si>
    <t xml:space="preserve">Cobertura de venda</t>
  </si>
  <si>
    <t xml:space="preserve">Sem posição registrada, os números ficam em branco: a base para essa cobertura ainda não existe.</t>
  </si>
  <si>
    <t xml:space="preserve">Última posição</t>
  </si>
  <si>
    <t xml:space="preserve">Catálogo</t>
  </si>
  <si>
    <t xml:space="preserve">Cadastrados</t>
  </si>
  <si>
    <t xml:space="preserve">Disponíveis</t>
  </si>
  <si>
    <t xml:space="preserve">A cadastrar</t>
  </si>
  <si>
    <t xml:space="preserve">Fornecedor Exemplo</t>
  </si>
  <si>
    <t xml:space="preserve">Itajaí</t>
  </si>
  <si>
    <t xml:space="preserve">Cross-docking</t>
  </si>
  <si>
    <t xml:space="preserve">Data da posição</t>
  </si>
  <si>
    <t xml:space="preserve">Observação</t>
  </si>
  <si>
    <t xml:space="preserve">Anúncios publicados</t>
  </si>
  <si>
    <t xml:space="preserve">Produtos no ERP</t>
  </si>
  <si>
    <t xml:space="preserve">Variação de publicados</t>
  </si>
  <si>
    <t xml:space="preserve">Meta de publicados</t>
  </si>
  <si>
    <t xml:space="preserve">Publicados hoje</t>
  </si>
  <si>
    <t xml:space="preserve">% da meta</t>
  </si>
  <si>
    <t xml:space="preserve">Dias até o prazo</t>
  </si>
  <si>
    <t xml:space="preserve">Lote</t>
  </si>
  <si>
    <t xml:space="preserve">Recebido em</t>
  </si>
  <si>
    <t xml:space="preserve">Início do cadastro</t>
  </si>
  <si>
    <t xml:space="preserve">Concluído em</t>
  </si>
  <si>
    <t xml:space="preserve">Pendentes</t>
  </si>
  <si>
    <t xml:space="preserve">Devolvidos</t>
  </si>
  <si>
    <t xml:space="preserve">Conferência</t>
  </si>
  <si>
    <t xml:space="preserve">Dias de execução</t>
  </si>
  <si>
    <t xml:space="preserve">Recebimento → início (dias)</t>
  </si>
  <si>
    <t xml:space="preserve">Foi devolvido?</t>
  </si>
  <si>
    <t xml:space="preserve">L-001</t>
  </si>
  <si>
    <t xml:space="preserve">Aprovada</t>
  </si>
  <si>
    <t xml:space="preserve">ID</t>
  </si>
  <si>
    <t xml:space="preserve">Nome</t>
  </si>
  <si>
    <t xml:space="preserve">Responsáveis</t>
  </si>
  <si>
    <t xml:space="preserve">Tags</t>
  </si>
  <si>
    <t xml:space="preserve">Prioridade</t>
  </si>
  <si>
    <t xml:space="preserve">Atualizada em</t>
  </si>
  <si>
    <t xml:space="preserve">Concluída em</t>
  </si>
  <si>
    <t xml:space="preserve">Lista</t>
  </si>
  <si>
    <t xml:space="preserve">Link</t>
  </si>
  <si>
    <t xml:space="preserve">Coletada em</t>
  </si>
  <si>
    <t xml:space="preserve">wdrhz35uct</t>
  </si>
  <si>
    <t xml:space="preserve">Produtos Multilaser</t>
  </si>
  <si>
    <t xml:space="preserve">precificação</t>
  </si>
  <si>
    <t xml:space="preserve">Anúncios</t>
  </si>
  <si>
    <t xml:space="preserve">https://app.clickup.com/t/wdrhz35uct</t>
  </si>
  <si>
    <t xml:space="preserve">wdrhz351vm</t>
  </si>
  <si>
    <t xml:space="preserve">Novos Produtos Britânia/Philco</t>
  </si>
  <si>
    <t xml:space="preserve">Jean Lins, João Vitor Bernardeli, Heitor Vecchia, Marcos Luciano Domus, João Vithor Farias, Eduardo Felipe</t>
  </si>
  <si>
    <t xml:space="preserve">aguardando informações</t>
  </si>
  <si>
    <t xml:space="preserve">normal</t>
  </si>
  <si>
    <t xml:space="preserve">https://app.clickup.com/t/wdrhz351vm</t>
  </si>
  <si>
    <t xml:space="preserve">wdrhz368k8</t>
  </si>
  <si>
    <t xml:space="preserve">João Vithor Farias, João Vitor Bernardeli, Jean Lins, Eduardo Felipe, Marcos Luciano Domus</t>
  </si>
  <si>
    <t xml:space="preserve">https://app.clickup.com/t/wdrhz368k8</t>
  </si>
  <si>
    <t xml:space="preserve">wdrhz36e2w</t>
  </si>
  <si>
    <t xml:space="preserve">Novo Kit Ortobom</t>
  </si>
  <si>
    <t xml:space="preserve">concluído</t>
  </si>
  <si>
    <t xml:space="preserve">Jean Lins, Vitória Nascimento, Mairon Henrique</t>
  </si>
  <si>
    <t xml:space="preserve">https://app.clickup.com/t/wdrhz36e2w</t>
  </si>
  <si>
    <t xml:space="preserve">wdrhz36kvg</t>
  </si>
  <si>
    <t xml:space="preserve">SKUS VONDER VERTICALIZADOS SEM ANUNCIOS</t>
  </si>
  <si>
    <t xml:space="preserve">solicitações</t>
  </si>
  <si>
    <t xml:space="preserve">Jean Lins, Eduardo Felipe, Heitor Vecchia</t>
  </si>
  <si>
    <t xml:space="preserve">https://app.clickup.com/t/wdrhz36kvg</t>
  </si>
  <si>
    <t xml:space="preserve">wdrhz36p5x</t>
  </si>
  <si>
    <t xml:space="preserve">Trocar tags de verticalizado para cross - compras</t>
  </si>
  <si>
    <t xml:space="preserve">https://app.clickup.com/t/wdrhz36p5x</t>
  </si>
  <si>
    <t xml:space="preserve">wdrhz35udj</t>
  </si>
  <si>
    <t xml:space="preserve">Correção descrição Morsa/Sparta</t>
  </si>
  <si>
    <t xml:space="preserve">https://app.clickup.com/t/wdrhz35udj</t>
  </si>
  <si>
    <t xml:space="preserve">wdrhz35ue3</t>
  </si>
  <si>
    <t xml:space="preserve">Erro Soprador Kala Ean - Victor Recebimento</t>
  </si>
  <si>
    <t xml:space="preserve">https://app.clickup.com/t/wdrhz35ue3</t>
  </si>
  <si>
    <t xml:space="preserve">wdrhz35ucp</t>
  </si>
  <si>
    <t xml:space="preserve">Produtos Soprano</t>
  </si>
  <si>
    <t xml:space="preserve">fotos</t>
  </si>
  <si>
    <t xml:space="preserve">https://app.clickup.com/t/wdrhz35ucp</t>
  </si>
  <si>
    <t xml:space="preserve">wdrhz355v2</t>
  </si>
  <si>
    <t xml:space="preserve">Cadastro WAP</t>
  </si>
  <si>
    <t xml:space="preserve">urgent</t>
  </si>
  <si>
    <t xml:space="preserve">https://app.clickup.com/t/wdrhz355v2</t>
  </si>
  <si>
    <t xml:space="preserve">wdrhz35ucn</t>
  </si>
  <si>
    <t xml:space="preserve">Produtos Gama</t>
  </si>
  <si>
    <t xml:space="preserve">Polielly Morato, Marcos Luciano Domus, Eduardo Felipe</t>
  </si>
  <si>
    <t xml:space="preserve">https://app.clickup.com/t/wdrhz35ucn</t>
  </si>
  <si>
    <t xml:space="preserve">wdrhz344tv</t>
  </si>
  <si>
    <t xml:space="preserve">Maral Brinquedos</t>
  </si>
  <si>
    <t xml:space="preserve">João Vitor Bernardeli, Marcos Luciano Domus, Heitor Vecchia, Eduardo Felipe</t>
  </si>
  <si>
    <t xml:space="preserve">https://app.clickup.com/t/wdrhz344tv</t>
  </si>
  <si>
    <t xml:space="preserve">wdrhz2xdp5</t>
  </si>
  <si>
    <t xml:space="preserve">Novos produtos britania/philco</t>
  </si>
  <si>
    <t xml:space="preserve">Jean Lins, João Vitor Bernardeli, Heitor Vecchia, Marcos Luciano Domus, João Vithor Farias, Polielly Morato, Eduardo Felipe</t>
  </si>
  <si>
    <t xml:space="preserve">aguardando informações, em andamento</t>
  </si>
  <si>
    <t xml:space="preserve">https://app.clickup.com/t/wdrhz2xdp5</t>
  </si>
  <si>
    <t xml:space="preserve">wdrhz2vj23</t>
  </si>
  <si>
    <t xml:space="preserve">Schulz</t>
  </si>
  <si>
    <t xml:space="preserve">Pedro Sitta, Polielly Morato, Heitor Vecchia, João Vitor Bernardeli, Marcos Luciano Domus, João Vithor Farias</t>
  </si>
  <si>
    <t xml:space="preserve">high</t>
  </si>
  <si>
    <t xml:space="preserve">https://app.clickup.com/t/wdrhz2vj23</t>
  </si>
  <si>
    <t xml:space="preserve">wdrhz2v85f</t>
  </si>
  <si>
    <t xml:space="preserve">Kawashima</t>
  </si>
  <si>
    <t xml:space="preserve">Polielly Morato, Pedro Sitta, João Vithor Farias, Marcos Luciano Domus, João Vitor Bernardeli, Jean Lins</t>
  </si>
  <si>
    <t xml:space="preserve">https://app.clickup.com/t/wdrhz2v85f</t>
  </si>
  <si>
    <t xml:space="preserve">wdrhz2q4be</t>
  </si>
  <si>
    <t xml:space="preserve">Novos Produtos Wap</t>
  </si>
  <si>
    <t xml:space="preserve">Polielly Morato, Pedro Sitta, Marcos Luciano Domus, João Vithor Farias, João Vitor Bernardeli, Heitor Vecchia</t>
  </si>
  <si>
    <t xml:space="preserve">https://app.clickup.com/t/wdrhz2q4be</t>
  </si>
  <si>
    <t xml:space="preserve">wdrhz36fqk</t>
  </si>
  <si>
    <t xml:space="preserve">TV Philco</t>
  </si>
  <si>
    <t xml:space="preserve">João Vitor Bernardeli, Marcos Luciano Domus, João Vithor Farias, Eduardo Felipe, Jean Lins</t>
  </si>
  <si>
    <t xml:space="preserve">https://app.clickup.com/t/wdrhz36fqk</t>
  </si>
  <si>
    <t xml:space="preserve">wdrhz35ue2</t>
  </si>
  <si>
    <t xml:space="preserve">Cadastro de um produto Garthen - Matheus/Devolução</t>
  </si>
  <si>
    <t xml:space="preserve">https://app.clickup.com/t/wdrhz35ue2</t>
  </si>
  <si>
    <t xml:space="preserve">wdrhz36hfg</t>
  </si>
  <si>
    <t xml:space="preserve">Produto Shopee</t>
  </si>
  <si>
    <t xml:space="preserve">Eduardo Felipe, Jean Lins</t>
  </si>
  <si>
    <t xml:space="preserve">https://app.clickup.com/t/wdrhz36hfg</t>
  </si>
  <si>
    <t xml:space="preserve">wdrhz36d7q</t>
  </si>
  <si>
    <t xml:space="preserve">Colchões banidos</t>
  </si>
  <si>
    <t xml:space="preserve">https://app.clickup.com/t/wdrhz36d7q</t>
  </si>
  <si>
    <t xml:space="preserve">wdrhz36e5j</t>
  </si>
  <si>
    <t xml:space="preserve">Produto Ventisol</t>
  </si>
  <si>
    <t xml:space="preserve">Eduardo Felipe, Marcos Luciano Domus, Polielly Morato</t>
  </si>
  <si>
    <t xml:space="preserve">https://app.clickup.com/t/wdrhz36e5j</t>
  </si>
  <si>
    <t xml:space="preserve">wdrhz3673f</t>
  </si>
  <si>
    <t xml:space="preserve">Criar Macaco Hidráulico por Toneladas e Fornecedor</t>
  </si>
  <si>
    <t xml:space="preserve">Jean Lins</t>
  </si>
  <si>
    <t xml:space="preserve">https://app.clickup.com/t/wdrhz3673f</t>
  </si>
  <si>
    <t xml:space="preserve">wdrhz34tr7</t>
  </si>
  <si>
    <t xml:space="preserve">Novo SKU Wanke</t>
  </si>
  <si>
    <t xml:space="preserve">Heitor Vecchia, Marcos Luciano Domus, João Vitor Bernardeli, João Vithor Farias, Eduardo Felipe</t>
  </si>
  <si>
    <t xml:space="preserve">https://app.clickup.com/t/wdrhz34tr7</t>
  </si>
  <si>
    <t xml:space="preserve">wdrhz3149f</t>
  </si>
  <si>
    <t xml:space="preserve">Novos Produtos Electrolux</t>
  </si>
  <si>
    <t xml:space="preserve">Heitor Vecchia, João Vitor Bernardeli, Jean Lins, Marcos Luciano Domus, João Vithor Farias</t>
  </si>
  <si>
    <t xml:space="preserve">https://app.clickup.com/t/wdrhz3149f</t>
  </si>
  <si>
    <t xml:space="preserve">wdrhz3654t</t>
  </si>
  <si>
    <t xml:space="preserve">Novos Produtos Taiff</t>
  </si>
  <si>
    <t xml:space="preserve">Eduardo Felipe, Jean Lins, João Vitor Bernardeli, Marcos Luciano Domus, João Vithor Farias</t>
  </si>
  <si>
    <t xml:space="preserve">https://app.clickup.com/t/wdrhz3654t</t>
  </si>
  <si>
    <t xml:space="preserve">wdrhz35ue4</t>
  </si>
  <si>
    <t xml:space="preserve">Revisão Aramoveis Produtos Excluidos - Compras</t>
  </si>
  <si>
    <t xml:space="preserve">https://app.clickup.com/t/wdrhz35ue4</t>
  </si>
  <si>
    <t xml:space="preserve">wdrhz35udy</t>
  </si>
  <si>
    <t xml:space="preserve">Produtos Vonder -  Feira Gabriel/Gustavo</t>
  </si>
  <si>
    <t xml:space="preserve">https://app.clickup.com/t/wdrhz35udy</t>
  </si>
  <si>
    <t xml:space="preserve">86ab982vh</t>
  </si>
  <si>
    <t xml:space="preserve">Meli</t>
  </si>
  <si>
    <t xml:space="preserve">Letícia Sakashita</t>
  </si>
  <si>
    <t xml:space="preserve">https://app.clickup.com/t/86ab982vh</t>
  </si>
  <si>
    <t xml:space="preserve">wdrhz35wg0</t>
  </si>
  <si>
    <t xml:space="preserve">PRODUTOS NOVOS WAP</t>
  </si>
  <si>
    <t xml:space="preserve">Polielly Morato, João Vithor Farias</t>
  </si>
  <si>
    <t xml:space="preserve">https://app.clickup.com/t/wdrhz35wg0</t>
  </si>
  <si>
    <t xml:space="preserve">wdrhz2xv14</t>
  </si>
  <si>
    <t xml:space="preserve">Novos Produtos Zagonel</t>
  </si>
  <si>
    <t xml:space="preserve">Polielly Morato, Jean Lins, João Vitor Bernardeli, Marcos Luciano Domus, João Vithor Farias, Heitor Vecchia, Pedro Sitta</t>
  </si>
  <si>
    <t xml:space="preserve">https://app.clickup.com/t/wdrhz2xv14</t>
  </si>
  <si>
    <t xml:space="preserve">wdrhz3468p</t>
  </si>
  <si>
    <t xml:space="preserve">Novos Ares Condicionados Kian</t>
  </si>
  <si>
    <t xml:space="preserve">Heitor Vecchia, João Vitor Bernardeli, Marcos Luciano Domus, João Vithor Farias, Jean Lins</t>
  </si>
  <si>
    <t xml:space="preserve">https://app.clickup.com/t/wdrhz3468p</t>
  </si>
  <si>
    <t xml:space="preserve">wdrhz360fb</t>
  </si>
  <si>
    <t xml:space="preserve">Kits Compressor Schulz (Shopee)</t>
  </si>
  <si>
    <t xml:space="preserve">https://app.clickup.com/t/wdrhz360fb</t>
  </si>
  <si>
    <t xml:space="preserve">wdrhz35e8n</t>
  </si>
  <si>
    <t xml:space="preserve">Novos Produtos Caemmun</t>
  </si>
  <si>
    <t xml:space="preserve">subindo anúncios</t>
  </si>
  <si>
    <t xml:space="preserve">Mairon Henrique, Jean Lins, Vitória Nascimento</t>
  </si>
  <si>
    <t xml:space="preserve">Londrina</t>
  </si>
  <si>
    <t xml:space="preserve">https://app.clickup.com/t/wdrhz35e8n</t>
  </si>
  <si>
    <t xml:space="preserve">wdrhz35e2p</t>
  </si>
  <si>
    <t xml:space="preserve">Novos Produtos HB Móveis</t>
  </si>
  <si>
    <t xml:space="preserve">Vitória Nascimento, Mairon Henrique, Jean Lins</t>
  </si>
  <si>
    <t xml:space="preserve">https://app.clickup.com/t/wdrhz35e2p</t>
  </si>
  <si>
    <t xml:space="preserve">wdrhz35e44</t>
  </si>
  <si>
    <t xml:space="preserve">Novos Produtos Fibrasca</t>
  </si>
  <si>
    <t xml:space="preserve">https://app.clickup.com/t/wdrhz35e44</t>
  </si>
  <si>
    <t xml:space="preserve">wdrhz33n6v</t>
  </si>
  <si>
    <t xml:space="preserve">KIT Pistola + Compressor MeLi</t>
  </si>
  <si>
    <t xml:space="preserve">Jean Lins, Marcos Luciano Domus</t>
  </si>
  <si>
    <t xml:space="preserve">itajai, pendente</t>
  </si>
  <si>
    <t xml:space="preserve">https://app.clickup.com/t/wdrhz33n6v</t>
  </si>
  <si>
    <t xml:space="preserve">wdrhz35wuw</t>
  </si>
  <si>
    <t xml:space="preserve">Compressor Verticalizado Vonder</t>
  </si>
  <si>
    <t xml:space="preserve">Jean Lins, Eduardo Felipe, Marcos Luciano Domus, João Vithor Farias</t>
  </si>
  <si>
    <t xml:space="preserve">https://app.clickup.com/t/wdrhz35wuw</t>
  </si>
  <si>
    <t xml:space="preserve">wdrhz34xk3</t>
  </si>
  <si>
    <t xml:space="preserve">Revisar descrições Londrina</t>
  </si>
  <si>
    <t xml:space="preserve">Polielly Morato, Jaqueline Souza</t>
  </si>
  <si>
    <t xml:space="preserve">em andamento, londrina</t>
  </si>
  <si>
    <t xml:space="preserve">https://app.clickup.com/t/wdrhz34xk3</t>
  </si>
  <si>
    <t xml:space="preserve">wdrhz35e4v</t>
  </si>
  <si>
    <t xml:space="preserve">Novos Produtos Ortobom</t>
  </si>
  <si>
    <t xml:space="preserve">Jean Lins, Mairon Henrique, Vitória Nascimento</t>
  </si>
  <si>
    <t xml:space="preserve">https://app.clickup.com/t/wdrhz35e4v</t>
  </si>
  <si>
    <t xml:space="preserve">wdrhz35vr6</t>
  </si>
  <si>
    <t xml:space="preserve">Cadastro Compressor - Vonder</t>
  </si>
  <si>
    <t xml:space="preserve">cadastrando</t>
  </si>
  <si>
    <t xml:space="preserve">https://app.clickup.com/t/wdrhz35vr6</t>
  </si>
  <si>
    <t xml:space="preserve">wdrhz34633</t>
  </si>
  <si>
    <t xml:space="preserve">REVISAR SKUS VONDER</t>
  </si>
  <si>
    <t xml:space="preserve">em andamento, itajaí</t>
  </si>
  <si>
    <t xml:space="preserve">https://app.clickup.com/t/wdrhz34633</t>
  </si>
  <si>
    <t xml:space="preserve">wdrhz35ugf</t>
  </si>
  <si>
    <t xml:space="preserve">NOVO SKU VONDER</t>
  </si>
  <si>
    <t xml:space="preserve">Jean Lins, Polielly Morato</t>
  </si>
  <si>
    <t xml:space="preserve">https://app.clickup.com/t/wdrhz35ugf</t>
  </si>
  <si>
    <t xml:space="preserve">wdrhz35ue0</t>
  </si>
  <si>
    <t xml:space="preserve">Colchas Itajai - Luis Felipe</t>
  </si>
  <si>
    <t xml:space="preserve">https://app.clickup.com/t/wdrhz35ue0</t>
  </si>
  <si>
    <t xml:space="preserve">wdrhz33zcz</t>
  </si>
  <si>
    <t xml:space="preserve">Subir anúncios Sigma Tools Meli SC</t>
  </si>
  <si>
    <t xml:space="preserve">Jaqueline Souza, Jean Lins, Polielly Morato</t>
  </si>
  <si>
    <t xml:space="preserve">https://app.clickup.com/t/wdrhz33zcz</t>
  </si>
  <si>
    <t xml:space="preserve">wdrhz35e0u</t>
  </si>
  <si>
    <t xml:space="preserve">Novos produtos Camesa</t>
  </si>
  <si>
    <t xml:space="preserve">https://app.clickup.com/t/wdrhz35e0u</t>
  </si>
  <si>
    <t xml:space="preserve">wdrhz304ur</t>
  </si>
  <si>
    <t xml:space="preserve">PROBEL</t>
  </si>
  <si>
    <t xml:space="preserve">Mairon Henrique, Vitória Nascimento, Polielly Morato</t>
  </si>
  <si>
    <t xml:space="preserve">https://app.clickup.com/t/wdrhz304ur</t>
  </si>
  <si>
    <t xml:space="preserve">wdrhz35kj7</t>
  </si>
  <si>
    <t xml:space="preserve">Subir anúncios Vonder Meli SC</t>
  </si>
  <si>
    <t xml:space="preserve">Polielly Morato, Larissa Quintino</t>
  </si>
  <si>
    <t xml:space="preserve">https://app.clickup.com/t/wdrhz35kj7</t>
  </si>
  <si>
    <t xml:space="preserve">wdrhz31kwg</t>
  </si>
  <si>
    <t xml:space="preserve">Ajuste de Cadastro do Tiny - Londrina</t>
  </si>
  <si>
    <t xml:space="preserve">Polielly Morato, Jean Lins</t>
  </si>
  <si>
    <t xml:space="preserve">aguardando informações, em andamento, londrina</t>
  </si>
  <si>
    <t xml:space="preserve">https://app.clickup.com/t/wdrhz31kwg</t>
  </si>
  <si>
    <t xml:space="preserve">wdrhz30agd</t>
  </si>
  <si>
    <t xml:space="preserve">finalizar e subir cadastro londrina</t>
  </si>
  <si>
    <t xml:space="preserve">Mairon Henrique, Vitória Nascimento</t>
  </si>
  <si>
    <t xml:space="preserve">https://app.clickup.com/t/wdrhz30agd</t>
  </si>
  <si>
    <t xml:space="preserve">86ahhxz9t</t>
  </si>
  <si>
    <t xml:space="preserve">Videos Cross Sigma - Meli e Shopee</t>
  </si>
  <si>
    <t xml:space="preserve">Pedro Sitta</t>
  </si>
  <si>
    <t xml:space="preserve">https://app.clickup.com/t/86ahhxz9t</t>
  </si>
  <si>
    <t xml:space="preserve">wdrhz33za4</t>
  </si>
  <si>
    <t xml:space="preserve">Subir anúncios Tools World Meli SC</t>
  </si>
  <si>
    <t xml:space="preserve">Polielly Morato, Jaqueline Souza, Jean Lins</t>
  </si>
  <si>
    <t xml:space="preserve">https://app.clickup.com/t/wdrhz33za4</t>
  </si>
  <si>
    <t xml:space="preserve">wdrhz34eeu</t>
  </si>
  <si>
    <t xml:space="preserve">VENTISOL</t>
  </si>
  <si>
    <t xml:space="preserve">Marcos Luciano Domus, Heitor Vecchia, João Vitor Bernardeli</t>
  </si>
  <si>
    <t xml:space="preserve">https://app.clickup.com/t/wdrhz34eeu</t>
  </si>
  <si>
    <t xml:space="preserve">wdrhz34g1g</t>
  </si>
  <si>
    <t xml:space="preserve">Novos produtos Britânia/Philco</t>
  </si>
  <si>
    <t xml:space="preserve">Eduardo Felipe, João Vitor Bernardeli, Marcos Luciano Domus, João Vithor Farias, Heitor Vecchia, Jean Lins</t>
  </si>
  <si>
    <t xml:space="preserve">https://app.clickup.com/t/wdrhz34g1g</t>
  </si>
  <si>
    <t xml:space="preserve">wdrhz348nz</t>
  </si>
  <si>
    <t xml:space="preserve">Novo Ar Condicionado Elgin</t>
  </si>
  <si>
    <t xml:space="preserve">https://app.clickup.com/t/wdrhz348nz</t>
  </si>
  <si>
    <t xml:space="preserve">wdrhz33gcf</t>
  </si>
  <si>
    <t xml:space="preserve">Duplicar Sku P/Onsite Amazon</t>
  </si>
  <si>
    <t xml:space="preserve">https://app.clickup.com/t/wdrhz33gcf</t>
  </si>
  <si>
    <t xml:space="preserve">wdrhz33ft2</t>
  </si>
  <si>
    <t xml:space="preserve">Cadastrar novamente no Meli</t>
  </si>
  <si>
    <t xml:space="preserve">https://app.clickup.com/t/wdrhz33ft2</t>
  </si>
  <si>
    <t xml:space="preserve">wdrhz32qbp</t>
  </si>
  <si>
    <t xml:space="preserve">Revisar Tags Sigma Tools</t>
  </si>
  <si>
    <t xml:space="preserve">https://app.clickup.com/t/wdrhz32qbp</t>
  </si>
  <si>
    <t xml:space="preserve">wdrhz2xf0t</t>
  </si>
  <si>
    <t xml:space="preserve">Skus Validados para Amazon Lnd</t>
  </si>
  <si>
    <t xml:space="preserve">https://app.clickup.com/t/wdrhz2xf0t</t>
  </si>
  <si>
    <t xml:space="preserve">wdrhz33bhv</t>
  </si>
  <si>
    <t xml:space="preserve">Novo Armário Aramóveis</t>
  </si>
  <si>
    <t xml:space="preserve">https://app.clickup.com/t/wdrhz33bhv</t>
  </si>
  <si>
    <t xml:space="preserve">wdrhz33b19</t>
  </si>
  <si>
    <t xml:space="preserve">Cadastrar no Meli</t>
  </si>
  <si>
    <t xml:space="preserve">https://app.clickup.com/t/wdrhz33b19</t>
  </si>
  <si>
    <t xml:space="preserve">wdrhz326b5</t>
  </si>
  <si>
    <t xml:space="preserve">Novos Produtos Colli</t>
  </si>
  <si>
    <t xml:space="preserve">https://app.clickup.com/t/wdrhz326b5</t>
  </si>
  <si>
    <t xml:space="preserve">wdrhz33850</t>
  </si>
  <si>
    <t xml:space="preserve">Lava e Seca Philco</t>
  </si>
  <si>
    <t xml:space="preserve">Eduardo Felipe, Marcos Luciano Domus, João Vithor Farias, Heitor Vecchia, Jean Lins, João Vitor Bernardeli</t>
  </si>
  <si>
    <t xml:space="preserve">https://app.clickup.com/t/wdrhz33850</t>
  </si>
  <si>
    <t xml:space="preserve">wdrhz30fa5</t>
  </si>
  <si>
    <t xml:space="preserve">Ar condicionado Agratto</t>
  </si>
  <si>
    <t xml:space="preserve">Heitor Vecchia, Marcos Luciano Domus, Jean Lins, João Vitor Bernardeli, Polielly Morato, João Vithor Farias</t>
  </si>
  <si>
    <t xml:space="preserve">low</t>
  </si>
  <si>
    <t xml:space="preserve">https://app.clickup.com/t/wdrhz30fa5</t>
  </si>
  <si>
    <t xml:space="preserve">wdrhz30e6g</t>
  </si>
  <si>
    <t xml:space="preserve">Pilha Elgin</t>
  </si>
  <si>
    <t xml:space="preserve">João Vitor Bernardeli, Heitor Vecchia, Marcos Luciano Domus</t>
  </si>
  <si>
    <t xml:space="preserve">https://app.clickup.com/t/wdrhz30e6g</t>
  </si>
  <si>
    <t xml:space="preserve">wdrhz32kmr</t>
  </si>
  <si>
    <t xml:space="preserve">ARRUMAR SIGMA TOOLS</t>
  </si>
  <si>
    <t xml:space="preserve">pendente</t>
  </si>
  <si>
    <t xml:space="preserve">https://app.clickup.com/t/wdrhz32kmr</t>
  </si>
  <si>
    <t xml:space="preserve">wdrhz32pnp</t>
  </si>
  <si>
    <t xml:space="preserve">Produtos Demóbile Promo</t>
  </si>
  <si>
    <t xml:space="preserve">https://app.clickup.com/t/wdrhz32pnp</t>
  </si>
  <si>
    <t xml:space="preserve">86ahkhy4r</t>
  </si>
  <si>
    <t xml:space="preserve">Subir anuncios SGT Meli (estão na categoria errada)</t>
  </si>
  <si>
    <t xml:space="preserve">https://app.clickup.com/t/86ahkhy4r</t>
  </si>
  <si>
    <t xml:space="preserve">wdrhz2v005</t>
  </si>
  <si>
    <t xml:space="preserve">Sil- Fios 760</t>
  </si>
  <si>
    <t xml:space="preserve">https://app.clickup.com/t/wdrhz2v005</t>
  </si>
  <si>
    <t xml:space="preserve">wdrhz30uvp</t>
  </si>
  <si>
    <t xml:space="preserve">Caixa de Som philco</t>
  </si>
  <si>
    <t xml:space="preserve">Marcos Luciano Domus, João Vitor Bernardeli, Heitor Vecchia, João Vithor Farias, Eduardo Felipe</t>
  </si>
  <si>
    <t xml:space="preserve">https://app.clickup.com/t/wdrhz30uvp</t>
  </si>
  <si>
    <t xml:space="preserve">wdrhz305u5</t>
  </si>
  <si>
    <t xml:space="preserve">kits paraná</t>
  </si>
  <si>
    <t xml:space="preserve">Mairon Henrique, Polielly Morato, Vitória Nascimento, Jaqueline Souza</t>
  </si>
  <si>
    <t xml:space="preserve">https://app.clickup.com/t/wdrhz305u5</t>
  </si>
  <si>
    <t xml:space="preserve">wdrhz30yu8</t>
  </si>
  <si>
    <t xml:space="preserve">SUBIR ANUNCIOS PI MELI SC</t>
  </si>
  <si>
    <t xml:space="preserve">Polielly Morato, Jean Lins, Larissa Quintino</t>
  </si>
  <si>
    <t xml:space="preserve">https://app.clickup.com/t/wdrhz30yu8</t>
  </si>
  <si>
    <t xml:space="preserve">wdrhz308g9</t>
  </si>
  <si>
    <t xml:space="preserve">Disco de Rebolo MTX</t>
  </si>
  <si>
    <t xml:space="preserve">Jean Lins, Polielly Morato, João Vitor Bernardeli, Marcos Luciano Domus, João Vithor Farias, Heitor Vecchia, Larissa Quintino</t>
  </si>
  <si>
    <t xml:space="preserve">https://app.clickup.com/t/wdrhz308g9</t>
  </si>
  <si>
    <t xml:space="preserve">wdrhz305vd</t>
  </si>
  <si>
    <t xml:space="preserve">PILHA ELGIN -  Ultra Alcalina AA</t>
  </si>
  <si>
    <t xml:space="preserve">Polielly Morato, Jean Lins, João Vitor Bernardeli, João Vithor Farias</t>
  </si>
  <si>
    <t xml:space="preserve">https://app.clickup.com/t/wdrhz305vd</t>
  </si>
  <si>
    <t xml:space="preserve">wdrhz2zrym</t>
  </si>
  <si>
    <t xml:space="preserve">Novos Produtos 4x</t>
  </si>
  <si>
    <t xml:space="preserve">https://app.clickup.com/t/wdrhz2zrym</t>
  </si>
  <si>
    <t xml:space="preserve">86adab92x</t>
  </si>
  <si>
    <t xml:space="preserve">Shopee - Subir PI Tools</t>
  </si>
  <si>
    <t xml:space="preserve">em andamento</t>
  </si>
  <si>
    <t xml:space="preserve">https://app.clickup.com/t/86adab92x</t>
  </si>
  <si>
    <t xml:space="preserve">86agxkugf</t>
  </si>
  <si>
    <t xml:space="preserve">Subir Demobile na Shopee e Meli</t>
  </si>
  <si>
    <t xml:space="preserve">https://app.clickup.com/t/86agxkugf</t>
  </si>
  <si>
    <t xml:space="preserve">wdrhz2zq46</t>
  </si>
  <si>
    <t xml:space="preserve">NOVOS CADASTROS MELI ITAJAI - VONDER</t>
  </si>
  <si>
    <t xml:space="preserve">https://app.clickup.com/t/wdrhz2zq46</t>
  </si>
  <si>
    <t xml:space="preserve">wdrhz2z9pz</t>
  </si>
  <si>
    <t xml:space="preserve">https://app.clickup.com/t/wdrhz2z9pz</t>
  </si>
  <si>
    <t xml:space="preserve">wdrhz2yd8q</t>
  </si>
  <si>
    <t xml:space="preserve">Lynus</t>
  </si>
  <si>
    <t xml:space="preserve">João Vitor Bernardeli, Marcos Luciano Domus, Jean Lins, João Vithor Farias, Heitor Vecchia, Eduardo Felipe</t>
  </si>
  <si>
    <t xml:space="preserve">https://app.clickup.com/t/wdrhz2yd8q</t>
  </si>
  <si>
    <t xml:space="preserve">wdrhz2uzzy</t>
  </si>
  <si>
    <t xml:space="preserve">Elgin - Ar condiconados</t>
  </si>
  <si>
    <t xml:space="preserve">Pedro Sitta, Heitor Vecchia, João Vitor Bernardeli, Marcos Luciano Domus</t>
  </si>
  <si>
    <t xml:space="preserve">https://app.clickup.com/t/wdrhz2uzzy</t>
  </si>
  <si>
    <t xml:space="preserve">wdrhz2xxn1</t>
  </si>
  <si>
    <t xml:space="preserve">Correção de descrições removidas - Amazon</t>
  </si>
  <si>
    <t xml:space="preserve">https://app.clickup.com/t/wdrhz2xxn1</t>
  </si>
  <si>
    <t xml:space="preserve">wdrhz2r6kv</t>
  </si>
  <si>
    <t xml:space="preserve">SUBIR ANUNCIOS NO MELI</t>
  </si>
  <si>
    <t xml:space="preserve">https://app.clickup.com/t/wdrhz2r6kv</t>
  </si>
  <si>
    <t xml:space="preserve">wdrhz2v4e2</t>
  </si>
  <si>
    <t xml:space="preserve">Bem Rylex</t>
  </si>
  <si>
    <t xml:space="preserve">https://app.clickup.com/t/wdrhz2v4e2</t>
  </si>
  <si>
    <t xml:space="preserve">wdrhz2x6kj</t>
  </si>
  <si>
    <t xml:space="preserve">Novos produtos Elgin</t>
  </si>
  <si>
    <t xml:space="preserve">Jean Lins, João Vitor Bernardeli, Marcos Luciano Domus, João Vithor Farias, Heitor Vecchia</t>
  </si>
  <si>
    <t xml:space="preserve">https://app.clickup.com/t/wdrhz2x6kj</t>
  </si>
  <si>
    <t xml:space="preserve">wdrhz2yazj</t>
  </si>
  <si>
    <t xml:space="preserve">Chaleiras Britânia/Elgin</t>
  </si>
  <si>
    <t xml:space="preserve">João Vithor Farias, Marcos Luciano Domus, Heitor Vecchia, Jean Lins, João Vitor Bernardeli</t>
  </si>
  <si>
    <t xml:space="preserve">https://app.clickup.com/t/wdrhz2yazj</t>
  </si>
  <si>
    <t xml:space="preserve">wdrhz2yc5g</t>
  </si>
  <si>
    <t xml:space="preserve">Subir anúncio Shopee</t>
  </si>
  <si>
    <t xml:space="preserve">https://app.clickup.com/t/wdrhz2yc5g</t>
  </si>
  <si>
    <t xml:space="preserve">wdrhz2x5mz</t>
  </si>
  <si>
    <t xml:space="preserve">SUBIR ANUNCIOS MELI</t>
  </si>
  <si>
    <t xml:space="preserve">https://app.clickup.com/t/wdrhz2x5mz</t>
  </si>
  <si>
    <t xml:space="preserve">wdrhz2x6jz</t>
  </si>
  <si>
    <t xml:space="preserve">Novos Produtos Philco</t>
  </si>
  <si>
    <t xml:space="preserve">Jean Lins, João Vitor Bernardeli, Marcos Luciano Domus, João Vithor Farias, Pedro Sitta</t>
  </si>
  <si>
    <t xml:space="preserve">https://app.clickup.com/t/wdrhz2x6jz</t>
  </si>
  <si>
    <t xml:space="preserve">wdrhz2v8py</t>
  </si>
  <si>
    <t xml:space="preserve">KIAN - NOVA LEVA DE PRODUTOS 7,7</t>
  </si>
  <si>
    <t xml:space="preserve">Pedro Sitta, Polielly Morato, Heitor Vecchia, João Vitor Bernardeli</t>
  </si>
  <si>
    <t xml:space="preserve">chegou</t>
  </si>
  <si>
    <t xml:space="preserve">https://app.clickup.com/t/wdrhz2v8py</t>
  </si>
  <si>
    <t xml:space="preserve">wdrhz2t8kq</t>
  </si>
  <si>
    <t xml:space="preserve">Novos produtos Kian</t>
  </si>
  <si>
    <t xml:space="preserve">https://app.clickup.com/t/wdrhz2t8kq</t>
  </si>
  <si>
    <t xml:space="preserve">86ahqaq21</t>
  </si>
  <si>
    <t xml:space="preserve">Novos produtos Britania/Philco</t>
  </si>
  <si>
    <t xml:space="preserve">Polielly Morato, Pedro Sitta, Heitor Vecchia, Marcos Luciano Domus, João Vitor Bernardeli</t>
  </si>
  <si>
    <t xml:space="preserve">https://app.clickup.com/t/86ahqaq21</t>
  </si>
  <si>
    <t xml:space="preserve">86ahj1vab</t>
  </si>
  <si>
    <t xml:space="preserve">Novos Itens Britania/Philco</t>
  </si>
  <si>
    <t xml:space="preserve">Polielly Morato, Pedro Sitta, Marcos Luciano Domus, Heitor Vecchia, João Vitor Bernardeli</t>
  </si>
  <si>
    <t xml:space="preserve">https://app.clickup.com/t/86ahj1vab</t>
  </si>
  <si>
    <t xml:space="preserve">wdrhz2tdf5</t>
  </si>
  <si>
    <t xml:space="preserve">Pedro Sitta, Heitor Vecchia, João Vitor Bernardeli, Marcos Luciano Domus, João Vithor Farias</t>
  </si>
  <si>
    <t xml:space="preserve">https://app.clickup.com/t/wdrhz2tdf5</t>
  </si>
  <si>
    <t xml:space="preserve">wdrhz2wdmw</t>
  </si>
  <si>
    <t xml:space="preserve">Colchões Luryflex</t>
  </si>
  <si>
    <t xml:space="preserve">https://app.clickup.com/t/wdrhz2wdmw</t>
  </si>
  <si>
    <t xml:space="preserve">wdrhz2x029</t>
  </si>
  <si>
    <t xml:space="preserve">Subir produtos com logística própria Shopee</t>
  </si>
  <si>
    <t xml:space="preserve">Jean Lins, Leonardo Caliari, João Vithor Farias</t>
  </si>
  <si>
    <t xml:space="preserve">https://app.clickup.com/t/wdrhz2x029</t>
  </si>
  <si>
    <t xml:space="preserve">wdrhz2wypw</t>
  </si>
  <si>
    <t xml:space="preserve">Gerador a Gasolina PI em estoque</t>
  </si>
  <si>
    <t xml:space="preserve">Marcos Luciano Domus, João Vithor Farias, João Vitor Bernardeli, Heitor Vecchia, Jean Lins</t>
  </si>
  <si>
    <t xml:space="preserve">https://app.clickup.com/t/wdrhz2wypw</t>
  </si>
  <si>
    <t xml:space="preserve">wdrhz2vj26</t>
  </si>
  <si>
    <t xml:space="preserve">Elgin - Chegou</t>
  </si>
  <si>
    <t xml:space="preserve">https://app.clickup.com/t/wdrhz2vj26</t>
  </si>
  <si>
    <t xml:space="preserve">wdrhz2wnzf</t>
  </si>
  <si>
    <t xml:space="preserve">EXCLUIR ITENS DESCONTINUADOS VONDER</t>
  </si>
  <si>
    <t xml:space="preserve">https://app.clickup.com/t/wdrhz2wnzf</t>
  </si>
  <si>
    <t xml:space="preserve">wdrhz2vj28</t>
  </si>
  <si>
    <t xml:space="preserve">Philco</t>
  </si>
  <si>
    <t xml:space="preserve">https://app.clickup.com/t/wdrhz2vj28</t>
  </si>
  <si>
    <t xml:space="preserve">wdrhz2wndb</t>
  </si>
  <si>
    <t xml:space="preserve">Chaleira Elgin</t>
  </si>
  <si>
    <t xml:space="preserve">João Vitor Bernardeli, Marcos Luciano Domus, João Vithor Farias, Heitor Vecchia, Jean Lins, Eduardo Felipe</t>
  </si>
  <si>
    <t xml:space="preserve">https://app.clickup.com/t/wdrhz2wndb</t>
  </si>
  <si>
    <t xml:space="preserve">wdrhz2w9vw</t>
  </si>
  <si>
    <t xml:space="preserve">toalha</t>
  </si>
  <si>
    <t xml:space="preserve">João Vithor Farias, Diogo Gabriel Honorato</t>
  </si>
  <si>
    <t xml:space="preserve">https://app.clickup.com/t/wdrhz2w9vw</t>
  </si>
  <si>
    <t xml:space="preserve">86ahn3hgf</t>
  </si>
  <si>
    <t xml:space="preserve">Novos Produtos Kian</t>
  </si>
  <si>
    <t xml:space="preserve">Polielly Morato, Pedro Sitta, João Vithor Farias, Larissa Quintino, João Vitor Bernardeli</t>
  </si>
  <si>
    <t xml:space="preserve">https://app.clickup.com/t/86ahn3hgf</t>
  </si>
  <si>
    <t xml:space="preserve">86afnajfn</t>
  </si>
  <si>
    <t xml:space="preserve">Prateleira Infinita</t>
  </si>
  <si>
    <t xml:space="preserve">Larissa Quintino, Heitor Vecchia, Polielly Morato</t>
  </si>
  <si>
    <t xml:space="preserve">https://app.clickup.com/t/86afnajfn</t>
  </si>
  <si>
    <t xml:space="preserve">86agyr786</t>
  </si>
  <si>
    <t xml:space="preserve">Vila Rica Shopee</t>
  </si>
  <si>
    <t xml:space="preserve">londrina, pendente</t>
  </si>
  <si>
    <t xml:space="preserve">https://app.clickup.com/t/86agyr786</t>
  </si>
  <si>
    <t xml:space="preserve">86agjtggy</t>
  </si>
  <si>
    <t xml:space="preserve">Projeto +2k de produtos Vonder</t>
  </si>
  <si>
    <t xml:space="preserve">Polielly Morato, Jean Lins, Marina Dias</t>
  </si>
  <si>
    <t xml:space="preserve">em andamento, itajai</t>
  </si>
  <si>
    <t xml:space="preserve">https://app.clickup.com/t/86agjtggy</t>
  </si>
  <si>
    <t xml:space="preserve">wdrhz2ufbn</t>
  </si>
  <si>
    <t xml:space="preserve">Kits Elgin</t>
  </si>
  <si>
    <t xml:space="preserve">Polielly Morato, Pedro Sitta, João Vithor Farias, Marcos Luciano Domus, Heitor Vecchia</t>
  </si>
  <si>
    <t xml:space="preserve">https://app.clickup.com/t/wdrhz2ufbn</t>
  </si>
  <si>
    <t xml:space="preserve">86aha6ang</t>
  </si>
  <si>
    <t xml:space="preserve">Kits P.I Vonder</t>
  </si>
  <si>
    <t xml:space="preserve">https://app.clickup.com/t/86aha6ang</t>
  </si>
  <si>
    <t xml:space="preserve">86agd8ex3</t>
  </si>
  <si>
    <t xml:space="preserve">Alteração de produto na Vonder</t>
  </si>
  <si>
    <t xml:space="preserve">aguardando informações, itajai</t>
  </si>
  <si>
    <t xml:space="preserve">https://app.clickup.com/t/86agd8ex3</t>
  </si>
  <si>
    <t xml:space="preserve">86ahatg20</t>
  </si>
  <si>
    <t xml:space="preserve">KITS Moveis</t>
  </si>
  <si>
    <t xml:space="preserve">Polielly Morato, Jean Lins, Pedro Sitta, Mairon Henrique</t>
  </si>
  <si>
    <t xml:space="preserve">https://app.clickup.com/t/86ahatg20</t>
  </si>
  <si>
    <t xml:space="preserve">wdrhz2uf92</t>
  </si>
  <si>
    <t xml:space="preserve">Kits Novos</t>
  </si>
  <si>
    <t xml:space="preserve">Jean Lins, Polielly Morato, Pedro Sitta, João Vithor Farias, Marcos Luciano Domus</t>
  </si>
  <si>
    <t xml:space="preserve">https://app.clickup.com/t/wdrhz2uf92</t>
  </si>
  <si>
    <t xml:space="preserve">wdrhz2tdf2</t>
  </si>
  <si>
    <t xml:space="preserve">Novo sku worker</t>
  </si>
  <si>
    <t xml:space="preserve">Pedro Sitta, João Vithor Farias, Marcos Luciano Domus, João Vitor Bernardeli</t>
  </si>
  <si>
    <t xml:space="preserve">https://app.clickup.com/t/wdrhz2tdf2</t>
  </si>
  <si>
    <t xml:space="preserve">86ahm6wzm</t>
  </si>
  <si>
    <t xml:space="preserve">Novos Produtos Bettanin</t>
  </si>
  <si>
    <t xml:space="preserve">Polielly Morato, Pedro Sitta, Diogo Gabriel Honorato, Heitor Vecchia, João Vitor Bernardeli</t>
  </si>
  <si>
    <t xml:space="preserve">https://app.clickup.com/t/86ahm6wzm</t>
  </si>
  <si>
    <t xml:space="preserve">wdrhz2thkz</t>
  </si>
  <si>
    <t xml:space="preserve">Elgin Bens de consumo</t>
  </si>
  <si>
    <t xml:space="preserve">Heitor Vecchia, Marcos Luciano Domus, Jean Lins, João Vitor Bernardeli</t>
  </si>
  <si>
    <t xml:space="preserve">https://app.clickup.com/t/wdrhz2thkz</t>
  </si>
  <si>
    <t xml:space="preserve">86ahf6n5g</t>
  </si>
  <si>
    <t xml:space="preserve">Novos Produtos Fame</t>
  </si>
  <si>
    <t xml:space="preserve">Pedro Sitta, Diogo Gabriel Honorato, João Vithor Farias, Heitor Vecchia, João Vitor Bernardeli</t>
  </si>
  <si>
    <t xml:space="preserve">https://app.clickup.com/t/86ahf6n5g</t>
  </si>
  <si>
    <t xml:space="preserve">wdrhz2pg4d</t>
  </si>
  <si>
    <t xml:space="preserve">Melhoria de anúncio TORNO-SPARTA-3POL-75MM</t>
  </si>
  <si>
    <t xml:space="preserve">Pedro Sitta, Jean Lins, Polielly Morato</t>
  </si>
  <si>
    <t xml:space="preserve">https://app.clickup.com/t/wdrhz2pg4d</t>
  </si>
  <si>
    <t xml:space="preserve">wdrhz2pgk2</t>
  </si>
  <si>
    <t xml:space="preserve">A J RORATO</t>
  </si>
  <si>
    <t xml:space="preserve">Pedro Sitta, Polielly Morato, Vitória Nascimento</t>
  </si>
  <si>
    <t xml:space="preserve">https://app.clickup.com/t/wdrhz2pgk2</t>
  </si>
  <si>
    <t xml:space="preserve">wdrhz2qwz3</t>
  </si>
  <si>
    <t xml:space="preserve">Subir anúncios de bonificação NFe 018916 15/07/2025</t>
  </si>
  <si>
    <t xml:space="preserve">https://app.clickup.com/t/wdrhz2qwz3</t>
  </si>
  <si>
    <t xml:space="preserve">86ahfkdkv</t>
  </si>
  <si>
    <t xml:space="preserve">Excluir produtos descontinuados Vonder</t>
  </si>
  <si>
    <t xml:space="preserve">https://app.clickup.com/t/86ahfkdkv</t>
  </si>
  <si>
    <t xml:space="preserve">wdrhz2q6ve</t>
  </si>
  <si>
    <t xml:space="preserve">Novo Kit Shopee</t>
  </si>
  <si>
    <t xml:space="preserve">shopee</t>
  </si>
  <si>
    <t xml:space="preserve">https://app.clickup.com/t/wdrhz2q6ve</t>
  </si>
  <si>
    <t xml:space="preserve">86ahx50c3</t>
  </si>
  <si>
    <t xml:space="preserve">CORTE-PLASMA-HARDCUT52BIV-BOXER</t>
  </si>
  <si>
    <t xml:space="preserve">Pedro Sitta, João Vitor Bernardeli, João Vithor Farias, Marcos Luciano Domus, Jean Lins</t>
  </si>
  <si>
    <t xml:space="preserve">https://app.clickup.com/t/86ahx50c3</t>
  </si>
  <si>
    <t xml:space="preserve">86afre4mj</t>
  </si>
  <si>
    <t xml:space="preserve">Novo Produto Noviça</t>
  </si>
  <si>
    <t xml:space="preserve">Polielly Morato, Pedro Sitta, Hafer Lucas</t>
  </si>
  <si>
    <t xml:space="preserve">https://app.clickup.com/t/86afre4mj</t>
  </si>
  <si>
    <t xml:space="preserve">86ahve0mg</t>
  </si>
  <si>
    <t xml:space="preserve">Novos produtos ditalia</t>
  </si>
  <si>
    <t xml:space="preserve">Polielly Morato, Pedro Sitta, Vitória Nascimento, Mairon Henrique</t>
  </si>
  <si>
    <t xml:space="preserve">https://app.clickup.com/t/86ahve0mg</t>
  </si>
  <si>
    <t xml:space="preserve">86ahunpnb</t>
  </si>
  <si>
    <t xml:space="preserve">Subir Anúncio Shopee</t>
  </si>
  <si>
    <t xml:space="preserve">Polielly Morato, Jean Lins, Heitor Vecchia</t>
  </si>
  <si>
    <t xml:space="preserve">https://app.clickup.com/t/86ahunpnb</t>
  </si>
  <si>
    <t xml:space="preserve">86ahu8z9h</t>
  </si>
  <si>
    <t xml:space="preserve">Novos produtos Gazin</t>
  </si>
  <si>
    <t xml:space="preserve">https://app.clickup.com/t/86ahu8z9h</t>
  </si>
  <si>
    <t xml:space="preserve">86ahq9vnx</t>
  </si>
  <si>
    <t xml:space="preserve">novos produtos Kawashima</t>
  </si>
  <si>
    <t xml:space="preserve">Polielly Morato, Pedro Sitta</t>
  </si>
  <si>
    <t xml:space="preserve">https://app.clickup.com/t/86ahq9vnx</t>
  </si>
  <si>
    <t xml:space="preserve">86ahmykrt</t>
  </si>
  <si>
    <t xml:space="preserve">Rever fotos Fisher e Wanke</t>
  </si>
  <si>
    <t xml:space="preserve">https://app.clickup.com/t/86ahmykrt</t>
  </si>
  <si>
    <t xml:space="preserve">86ahqarq0</t>
  </si>
  <si>
    <t xml:space="preserve">Novos produtos Fischer</t>
  </si>
  <si>
    <t xml:space="preserve">Polielly Morato, Pedro Sitta, Heitor Vecchia, João Vitor Bernardeli, Larissa Quintino</t>
  </si>
  <si>
    <t xml:space="preserve">https://app.clickup.com/t/86ahqarq0</t>
  </si>
  <si>
    <t xml:space="preserve">86ahdnhvq</t>
  </si>
  <si>
    <t xml:space="preserve">Anuncio em categoria incorreta</t>
  </si>
  <si>
    <t xml:space="preserve">https://app.clickup.com/t/86ahdnhvq</t>
  </si>
  <si>
    <t xml:space="preserve">86afxqq29</t>
  </si>
  <si>
    <t xml:space="preserve">novos itens moval</t>
  </si>
  <si>
    <t xml:space="preserve">Marina Dias, Mairon Henrique</t>
  </si>
  <si>
    <t xml:space="preserve">https://app.clickup.com/t/86afxqq29</t>
  </si>
  <si>
    <t xml:space="preserve">86ahkj8he</t>
  </si>
  <si>
    <t xml:space="preserve">Subir anúncios Meli (SISFRETE)</t>
  </si>
  <si>
    <t xml:space="preserve">https://app.clickup.com/t/86ahkj8he</t>
  </si>
  <si>
    <t xml:space="preserve">86ahqueem</t>
  </si>
  <si>
    <t xml:space="preserve">Cross sigma tools - TTK Precificado</t>
  </si>
  <si>
    <t xml:space="preserve">https://app.clickup.com/t/86ahqueem</t>
  </si>
  <si>
    <t xml:space="preserve">86ahqpk6j</t>
  </si>
  <si>
    <t xml:space="preserve">Fame - Produto sem anuncio</t>
  </si>
  <si>
    <t xml:space="preserve">https://app.clickup.com/t/86ahqpk6j</t>
  </si>
  <si>
    <t xml:space="preserve">86ahex4cy</t>
  </si>
  <si>
    <t xml:space="preserve">NOVO PRODUTO BRITANIA</t>
  </si>
  <si>
    <t xml:space="preserve">Pedro Sitta, Polielly Morato, Marcos Luciano Domus, João Vithor Farias, João Vitor Bernardeli, Jean Lins</t>
  </si>
  <si>
    <t xml:space="preserve">chegou, itajai, sem custo</t>
  </si>
  <si>
    <t xml:space="preserve">https://app.clickup.com/t/86ahex4cy</t>
  </si>
  <si>
    <t xml:space="preserve">86ahpqynp</t>
  </si>
  <si>
    <t xml:space="preserve">CADASTRO RELAMPAGO MERCADO LIVRE🚨🚨</t>
  </si>
  <si>
    <t xml:space="preserve">https://app.clickup.com/t/86ahpqynp</t>
  </si>
  <si>
    <t xml:space="preserve">86agf3hzz</t>
  </si>
  <si>
    <t xml:space="preserve">kits travesseiros</t>
  </si>
  <si>
    <t xml:space="preserve">https://app.clickup.com/t/86agf3hzz</t>
  </si>
  <si>
    <t xml:space="preserve">86acmcgv2</t>
  </si>
  <si>
    <t xml:space="preserve">kits moveis - tarefa principal</t>
  </si>
  <si>
    <t xml:space="preserve">https://app.clickup.com/t/86acmcgv2</t>
  </si>
  <si>
    <t xml:space="preserve">86adzz2p6</t>
  </si>
  <si>
    <t xml:space="preserve">CADASTRO DE KIT ORTOBOM</t>
  </si>
  <si>
    <t xml:space="preserve">https://app.clickup.com/t/86adzz2p6</t>
  </si>
  <si>
    <t xml:space="preserve">86ag4pef0</t>
  </si>
  <si>
    <t xml:space="preserve">CADASTRO WANKE</t>
  </si>
  <si>
    <t xml:space="preserve">Polielly Morato, Pedro Sitta, Marcos Luciano Domus, Heitor Vecchia, João Vitor Bernardeli, Jean Lins</t>
  </si>
  <si>
    <t xml:space="preserve">https://app.clickup.com/t/86ag4pef0</t>
  </si>
  <si>
    <t xml:space="preserve">86agxrnmy</t>
  </si>
  <si>
    <t xml:space="preserve">correção de foto</t>
  </si>
  <si>
    <t xml:space="preserve">https://app.clickup.com/t/86agxrnmy</t>
  </si>
  <si>
    <t xml:space="preserve">86ag11r2y</t>
  </si>
  <si>
    <t xml:space="preserve">Aumento de Mix Tiktok Itajai</t>
  </si>
  <si>
    <t xml:space="preserve">João Vitor Bernardeli, Polielly Morato, Jean Lins</t>
  </si>
  <si>
    <t xml:space="preserve">https://app.clickup.com/t/86ag11r2y</t>
  </si>
  <si>
    <t xml:space="preserve">86ag4q5fe</t>
  </si>
  <si>
    <t xml:space="preserve">Corrigir peso Ditalia</t>
  </si>
  <si>
    <t xml:space="preserve">Polielly Morato, Mairon Henrique</t>
  </si>
  <si>
    <t xml:space="preserve">https://app.clickup.com/t/86ag4q5fe</t>
  </si>
  <si>
    <t xml:space="preserve">86ag4qamp</t>
  </si>
  <si>
    <t xml:space="preserve">Corrigir Cadastro Toolsworld</t>
  </si>
  <si>
    <t xml:space="preserve">https://app.clickup.com/t/86ag4qamp</t>
  </si>
  <si>
    <t xml:space="preserve">86agrhk53</t>
  </si>
  <si>
    <t xml:space="preserve">Aumento de Mix de Tiktok Londrina</t>
  </si>
  <si>
    <t xml:space="preserve">https://app.clickup.com/t/86agrhk53</t>
  </si>
  <si>
    <t xml:space="preserve">86agzw2tk</t>
  </si>
  <si>
    <t xml:space="preserve">Pedro Sitta, Marcos Luciano Domus, João Vitor Bernardeli, João Vithor Farias, Eduardo Felipe, Heitor Vecchia, Jean Lins</t>
  </si>
  <si>
    <t xml:space="preserve">https://app.clickup.com/t/86agzw2tk</t>
  </si>
  <si>
    <t xml:space="preserve">86agva6ze</t>
  </si>
  <si>
    <t xml:space="preserve">Stanley</t>
  </si>
  <si>
    <t xml:space="preserve">João Vitor Bernardeli, Heitor Vecchia, Diogo Gabriel Honorato, Eduardo Felipe</t>
  </si>
  <si>
    <t xml:space="preserve">https://app.clickup.com/t/86agva6ze</t>
  </si>
  <si>
    <t xml:space="preserve">86agaxjah</t>
  </si>
  <si>
    <t xml:space="preserve">CADASTRO OSTER E CADENCE</t>
  </si>
  <si>
    <t xml:space="preserve">Polielly Morato, Pedro Sitta, João Vitor Bernardeli, Eduardo Felipe, Heitor Vecchia, Marcos Luciano Domus, Jean Lins</t>
  </si>
  <si>
    <t xml:space="preserve">https://app.clickup.com/t/86agaxjah</t>
  </si>
  <si>
    <t xml:space="preserve">86a9b1gh0</t>
  </si>
  <si>
    <t xml:space="preserve">Shopee</t>
  </si>
  <si>
    <t xml:space="preserve">João Vithor Farias</t>
  </si>
  <si>
    <t xml:space="preserve">https://app.clickup.com/t/86a9b1gh0</t>
  </si>
  <si>
    <t xml:space="preserve">86a9b1gag</t>
  </si>
  <si>
    <t xml:space="preserve">Kesia Caponi</t>
  </si>
  <si>
    <t xml:space="preserve">https://app.clickup.com/t/86a9b1gag</t>
  </si>
  <si>
    <t xml:space="preserve">86a977p78</t>
  </si>
  <si>
    <t xml:space="preserve">Precificação</t>
  </si>
  <si>
    <t xml:space="preserve">https://app.clickup.com/t/86a977p78</t>
  </si>
  <si>
    <t xml:space="preserve">86a977p74</t>
  </si>
  <si>
    <t xml:space="preserve">TAPETE-MICROPOP</t>
  </si>
  <si>
    <t xml:space="preserve">Polielly Morato, Hafer Lucas</t>
  </si>
  <si>
    <t xml:space="preserve">https://app.clickup.com/t/86a977p74</t>
  </si>
  <si>
    <t xml:space="preserve">86ahfvn1z</t>
  </si>
  <si>
    <t xml:space="preserve">Cadastrar Produto no Meli</t>
  </si>
  <si>
    <t xml:space="preserve">https://app.clickup.com/t/86ahfvn1z</t>
  </si>
  <si>
    <t xml:space="preserve">86ah598jk</t>
  </si>
  <si>
    <t xml:space="preserve">Cadastro Artely</t>
  </si>
  <si>
    <t xml:space="preserve">Polielly Morato, Pedro Sitta, Mairon Henrique</t>
  </si>
  <si>
    <t xml:space="preserve">cadastro, londrina</t>
  </si>
  <si>
    <t xml:space="preserve">https://app.clickup.com/t/86ah598jk</t>
  </si>
  <si>
    <t xml:space="preserve">86ahe1wqk</t>
  </si>
  <si>
    <t xml:space="preserve">RETIRAR SKU</t>
  </si>
  <si>
    <t xml:space="preserve">https://app.clickup.com/t/86ahe1wqk</t>
  </si>
  <si>
    <t xml:space="preserve">86ah6frd5</t>
  </si>
  <si>
    <t xml:space="preserve">Alteração Lavadora Kala LK1305</t>
  </si>
  <si>
    <t xml:space="preserve">Polielly Morato, Jean Lins, Pedro Sitta</t>
  </si>
  <si>
    <t xml:space="preserve">https://app.clickup.com/t/86ah6frd5</t>
  </si>
  <si>
    <t xml:space="preserve">86agzv0wp</t>
  </si>
  <si>
    <t xml:space="preserve">Kit Lavadora 1300 Vonder + Mangueira 10M</t>
  </si>
  <si>
    <t xml:space="preserve">https://app.clickup.com/t/86agzv0wp</t>
  </si>
  <si>
    <t xml:space="preserve">86ah7amuy</t>
  </si>
  <si>
    <t xml:space="preserve">REVISAR PESO E DIMENSÃO COLCHÕES CROSS DOCK ORTOBOM</t>
  </si>
  <si>
    <t xml:space="preserve">https://app.clickup.com/t/86ah7amuy</t>
  </si>
  <si>
    <t xml:space="preserve">86ah5y9ph</t>
  </si>
  <si>
    <t xml:space="preserve">kit vonder</t>
  </si>
  <si>
    <t xml:space="preserve">Polielly Morato, Pedro Sitta, Jean Lins</t>
  </si>
  <si>
    <t xml:space="preserve">https://app.clickup.com/t/86ah5y9ph</t>
  </si>
  <si>
    <t xml:space="preserve">86age4u29</t>
  </si>
  <si>
    <t xml:space="preserve">CADASTRO NOVOS PRODUTOS ELGIN (Aspiradores)</t>
  </si>
  <si>
    <t xml:space="preserve">Pedro Sitta, Marcos Luciano Domus, João Vithor Farias, Eduardo Felipe, Jean Lins</t>
  </si>
  <si>
    <t xml:space="preserve">itajaí</t>
  </si>
  <si>
    <t xml:space="preserve">https://app.clickup.com/t/86age4u29</t>
  </si>
  <si>
    <t xml:space="preserve">86age8vnt</t>
  </si>
  <si>
    <t xml:space="preserve">..</t>
  </si>
  <si>
    <t xml:space="preserve">https://app.clickup.com/t/86age8vnt</t>
  </si>
  <si>
    <t xml:space="preserve">86agb5p0y</t>
  </si>
  <si>
    <t xml:space="preserve">Kits Vonder</t>
  </si>
  <si>
    <t xml:space="preserve">Pedro Sitta, Marcos Luciano Domus, Eduardo Felipe, João Vitor Bernardeli, João Vithor Farias, Jean Lins</t>
  </si>
  <si>
    <t xml:space="preserve">https://app.clickup.com/t/86agb5p0y</t>
  </si>
  <si>
    <t xml:space="preserve">86ah127c3</t>
  </si>
  <si>
    <t xml:space="preserve">Subir anúncios que foram banidos - Shopee</t>
  </si>
  <si>
    <t xml:space="preserve">https://app.clickup.com/t/86ah127c3</t>
  </si>
  <si>
    <t xml:space="preserve">86agvzmct</t>
  </si>
  <si>
    <t xml:space="preserve">Aspirador Novo Vonder</t>
  </si>
  <si>
    <t xml:space="preserve">Polielly Morato, Pedro Sitta, João Vitor Bernardeli, João Vithor Farias, Marcos Luciano Domus, Eduardo Felipe, Jean Lins</t>
  </si>
  <si>
    <t xml:space="preserve">cadastro, em andamento</t>
  </si>
  <si>
    <t xml:space="preserve">https://app.clickup.com/t/86agvzmct</t>
  </si>
  <si>
    <t xml:space="preserve">86agt07vv</t>
  </si>
  <si>
    <t xml:space="preserve">https://app.clickup.com/t/86agt07vv</t>
  </si>
  <si>
    <t xml:space="preserve">86ag9kn56</t>
  </si>
  <si>
    <t xml:space="preserve">Novos produtos Lavor</t>
  </si>
  <si>
    <t xml:space="preserve">Marina Dias, Pedro Sitta</t>
  </si>
  <si>
    <t xml:space="preserve">aguardando faturamento, itajai</t>
  </si>
  <si>
    <t xml:space="preserve">https://app.clickup.com/t/86ag9kn56</t>
  </si>
  <si>
    <t xml:space="preserve">86ag4pdpm</t>
  </si>
  <si>
    <t xml:space="preserve">CADASTRO PROBEL</t>
  </si>
  <si>
    <t xml:space="preserve">Marina Dias, Mairon Henrique, Jean Lins</t>
  </si>
  <si>
    <t xml:space="preserve">https://app.clickup.com/t/86ag4pdpm</t>
  </si>
  <si>
    <t xml:space="preserve">86agt0f9t</t>
  </si>
  <si>
    <t xml:space="preserve">https://app.clickup.com/t/86agt0f9t</t>
  </si>
  <si>
    <t xml:space="preserve">86agt0d14</t>
  </si>
  <si>
    <t xml:space="preserve">https://app.clickup.com/t/86agt0d14</t>
  </si>
  <si>
    <t xml:space="preserve">86agpdcxa</t>
  </si>
  <si>
    <t xml:space="preserve">Novo Produto Vonder - PFV 238I VONDER</t>
  </si>
  <si>
    <t xml:space="preserve">Marina Dias, Pedro Sitta, Marcos Luciano Domus, João Vithor Farias, Eduardo Felipe, João Vitor Bernardeli, Jean Lins</t>
  </si>
  <si>
    <t xml:space="preserve">https://app.clickup.com/t/86agpdcxa</t>
  </si>
  <si>
    <t xml:space="preserve">86agph7dg</t>
  </si>
  <si>
    <t xml:space="preserve">Subir anúncios Shopee</t>
  </si>
  <si>
    <t xml:space="preserve">https://app.clickup.com/t/86agph7dg</t>
  </si>
  <si>
    <t xml:space="preserve">86agphg1v</t>
  </si>
  <si>
    <t xml:space="preserve">https://app.clickup.com/t/86agphg1v</t>
  </si>
  <si>
    <t xml:space="preserve">86agpfa5g</t>
  </si>
  <si>
    <t xml:space="preserve">https://app.clickup.com/t/86agpfa5g</t>
  </si>
  <si>
    <t xml:space="preserve">86agpewd1</t>
  </si>
  <si>
    <t xml:space="preserve">https://app.clickup.com/t/86agpewd1</t>
  </si>
  <si>
    <t xml:space="preserve">86agpeenm</t>
  </si>
  <si>
    <t xml:space="preserve">Subir lonas Shopee</t>
  </si>
  <si>
    <t xml:space="preserve">https://app.clickup.com/t/86agpeenm</t>
  </si>
  <si>
    <t xml:space="preserve">86agkdpb2</t>
  </si>
  <si>
    <t xml:space="preserve">alteração de fotos (VIBRAD-CONCR-MOTOR)</t>
  </si>
  <si>
    <t xml:space="preserve">https://app.clickup.com/t/86agkdpb2</t>
  </si>
  <si>
    <t xml:space="preserve">86agkjj7k</t>
  </si>
  <si>
    <t xml:space="preserve">Subir anúncio Shopee: SERRA-CIRC-SCV2209</t>
  </si>
  <si>
    <t xml:space="preserve">https://app.clickup.com/t/86agkjj7k</t>
  </si>
  <si>
    <t xml:space="preserve">86agjcyga</t>
  </si>
  <si>
    <t xml:space="preserve">Atualizar dimensões roçadeiras</t>
  </si>
  <si>
    <t xml:space="preserve">https://app.clickup.com/t/86agjcyga</t>
  </si>
  <si>
    <t xml:space="preserve">86agda8m0</t>
  </si>
  <si>
    <t xml:space="preserve">CADASTROS A.J RORATO</t>
  </si>
  <si>
    <t xml:space="preserve">Marina Dias, Pedro Sitta, Mairon Henrique, Jean Lins</t>
  </si>
  <si>
    <t xml:space="preserve">https://app.clickup.com/t/86agda8m0</t>
  </si>
  <si>
    <t xml:space="preserve">86adb830d</t>
  </si>
  <si>
    <t xml:space="preserve">Subir ESCOVA-MODEL-BIV-BEC04</t>
  </si>
  <si>
    <t xml:space="preserve">https://app.clickup.com/t/86adb830d</t>
  </si>
  <si>
    <t xml:space="preserve">86ad682gt</t>
  </si>
  <si>
    <t xml:space="preserve">Colchas</t>
  </si>
  <si>
    <t xml:space="preserve">Hafer Lucas</t>
  </si>
  <si>
    <t xml:space="preserve">https://app.clickup.com/t/86ad682gt</t>
  </si>
  <si>
    <t xml:space="preserve">86agjff7c</t>
  </si>
  <si>
    <t xml:space="preserve">Revisar Cadastros das Roçadeiras</t>
  </si>
  <si>
    <t xml:space="preserve">https://app.clickup.com/t/86agjff7c</t>
  </si>
  <si>
    <t xml:space="preserve">86agkjfqw</t>
  </si>
  <si>
    <t xml:space="preserve">Subir anúncio Shopee: CARREG-BATERIAS-110V</t>
  </si>
  <si>
    <t xml:space="preserve">https://app.clickup.com/t/86agkjfqw</t>
  </si>
  <si>
    <t xml:space="preserve">86afx3yfw</t>
  </si>
  <si>
    <t xml:space="preserve">CADASTRAR COMO VARIAÇÕES NO MERCADO LIVRE</t>
  </si>
  <si>
    <t xml:space="preserve">https://app.clickup.com/t/86afx3yfw</t>
  </si>
  <si>
    <t xml:space="preserve">86agkdthe</t>
  </si>
  <si>
    <t xml:space="preserve">CORRIGIR ANUNCIO</t>
  </si>
  <si>
    <t xml:space="preserve">https://app.clickup.com/t/86agkdthe</t>
  </si>
  <si>
    <t xml:space="preserve">86aet3x4r</t>
  </si>
  <si>
    <t xml:space="preserve">PRODUTOS PADO SEM ANUNCIO &gt; MELI</t>
  </si>
  <si>
    <t xml:space="preserve">https://app.clickup.com/t/86aet3x4r</t>
  </si>
  <si>
    <t xml:space="preserve">86agjxrgz</t>
  </si>
  <si>
    <t xml:space="preserve">Revisão Ficha técnica secundaria meli</t>
  </si>
  <si>
    <t xml:space="preserve">https://app.clickup.com/t/86agjxrgz</t>
  </si>
  <si>
    <t xml:space="preserve">86agjbfhw</t>
  </si>
  <si>
    <t xml:space="preserve">Correção Panela Elgin</t>
  </si>
  <si>
    <t xml:space="preserve">Pedro Sitta, Polielly Morato</t>
  </si>
  <si>
    <t xml:space="preserve">https://app.clickup.com/t/86agjbfhw</t>
  </si>
  <si>
    <t xml:space="preserve">86afrhuyw</t>
  </si>
  <si>
    <t xml:space="preserve">Produtos Novos - Vonder (Cross)</t>
  </si>
  <si>
    <t xml:space="preserve">https://app.clickup.com/t/86afrhuyw</t>
  </si>
  <si>
    <t xml:space="preserve">86agcba7x</t>
  </si>
  <si>
    <t xml:space="preserve">ESMERI-ANG-G720X</t>
  </si>
  <si>
    <t xml:space="preserve">https://app.clickup.com/t/86agcba7x</t>
  </si>
  <si>
    <t xml:space="preserve">86ag9111t</t>
  </si>
  <si>
    <t xml:space="preserve">Produtos Novos Elgin</t>
  </si>
  <si>
    <t xml:space="preserve">Pedro Sitta, Heitor Vecchia, Marcos Luciano Domus, Eduardo Felipe, João Vitor Bernardeli</t>
  </si>
  <si>
    <t xml:space="preserve">https://app.clickup.com/t/86ag9111t</t>
  </si>
  <si>
    <t xml:space="preserve">86ac1hrmn</t>
  </si>
  <si>
    <t xml:space="preserve">TRAV-LATEX-SPAZIO-KIT3</t>
  </si>
  <si>
    <t xml:space="preserve">https://app.clickup.com/t/86ac1hrmn</t>
  </si>
  <si>
    <t xml:space="preserve">86ac1eewv</t>
  </si>
  <si>
    <t xml:space="preserve">TRAV-ANATOMICO-KIT3</t>
  </si>
  <si>
    <t xml:space="preserve">https://app.clickup.com/t/86ac1eewv</t>
  </si>
  <si>
    <t xml:space="preserve">86ac1d06x</t>
  </si>
  <si>
    <t xml:space="preserve">TRAV-VISCO-SLIM-SKY-ORT-3</t>
  </si>
  <si>
    <t xml:space="preserve">https://app.clickup.com/t/86ac1d06x</t>
  </si>
  <si>
    <t xml:space="preserve">86ac1cg55</t>
  </si>
  <si>
    <t xml:space="preserve">TRAV-VISCO-SKY-KIT3</t>
  </si>
  <si>
    <t xml:space="preserve">https://app.clickup.com/t/86ac1cg55</t>
  </si>
  <si>
    <t xml:space="preserve">86aa2hnb1</t>
  </si>
  <si>
    <t xml:space="preserve">Kits Travesseiro</t>
  </si>
  <si>
    <t xml:space="preserve">https://app.clickup.com/t/86aa2hnb1</t>
  </si>
  <si>
    <t xml:space="preserve">86ac1853h</t>
  </si>
  <si>
    <t xml:space="preserve">cadastro</t>
  </si>
  <si>
    <t xml:space="preserve">Giulia Fernandes</t>
  </si>
  <si>
    <t xml:space="preserve">https://app.clickup.com/t/86ac1853h</t>
  </si>
  <si>
    <t xml:space="preserve">86ac17g37</t>
  </si>
  <si>
    <t xml:space="preserve">TRAV-VISCO-SKY-ORT</t>
  </si>
  <si>
    <t xml:space="preserve">https://app.clickup.com/t/86ac17g37</t>
  </si>
  <si>
    <t xml:space="preserve">86achg2c4</t>
  </si>
  <si>
    <t xml:space="preserve">novos produtos PI Vonder</t>
  </si>
  <si>
    <t xml:space="preserve">Giulia Fernandes, Larissa Quintino, Marcos Luciano Domus</t>
  </si>
  <si>
    <t xml:space="preserve">https://app.clickup.com/t/86achg2c4</t>
  </si>
  <si>
    <t xml:space="preserve">86afrgdpr</t>
  </si>
  <si>
    <t xml:space="preserve">PRODUTO S/CADASTRO LEPONO</t>
  </si>
  <si>
    <t xml:space="preserve">https://app.clickup.com/t/86afrgdpr</t>
  </si>
  <si>
    <t xml:space="preserve">86ag4wqwx</t>
  </si>
  <si>
    <t xml:space="preserve">Pedido Umaflex</t>
  </si>
  <si>
    <t xml:space="preserve">Polielly Morato, Pedro Sitta, Larissa Quintino, Jean Lins</t>
  </si>
  <si>
    <t xml:space="preserve">https://app.clickup.com/t/86ag4wqwx</t>
  </si>
  <si>
    <t xml:space="preserve">86ag4qfbe</t>
  </si>
  <si>
    <t xml:space="preserve">Subir produtos Magalu - Eduardo</t>
  </si>
  <si>
    <t xml:space="preserve">https://app.clickup.com/t/86ag4qfbe</t>
  </si>
  <si>
    <t xml:space="preserve">86afvbqr3</t>
  </si>
  <si>
    <t xml:space="preserve">PRODUTO EM CATEGORIA INCORRETA (CORREÇÃO)</t>
  </si>
  <si>
    <t xml:space="preserve">https://app.clickup.com/t/86afvbqr3</t>
  </si>
  <si>
    <t xml:space="preserve">86afz50zk</t>
  </si>
  <si>
    <t xml:space="preserve">Subir anúncios normais(sem ser catalogo) no Meli Itajai</t>
  </si>
  <si>
    <t xml:space="preserve">Larissa Quintino, Jean Lins</t>
  </si>
  <si>
    <t xml:space="preserve">cadastro, itajaí, meli</t>
  </si>
  <si>
    <t xml:space="preserve">https://app.clickup.com/t/86afz50zk</t>
  </si>
  <si>
    <t xml:space="preserve">86agc5wh1</t>
  </si>
  <si>
    <t xml:space="preserve">Adicionar dimensões na descrição do anúncio.</t>
  </si>
  <si>
    <t xml:space="preserve">https://app.clickup.com/t/86agc5wh1</t>
  </si>
  <si>
    <t xml:space="preserve">86afac6fh</t>
  </si>
  <si>
    <t xml:space="preserve">PRODUTOS MADEIRA E MADEIRA</t>
  </si>
  <si>
    <t xml:space="preserve">https://app.clickup.com/t/86afac6fh</t>
  </si>
  <si>
    <t xml:space="preserve">86agd8cqq</t>
  </si>
  <si>
    <t xml:space="preserve">correção de fotos</t>
  </si>
  <si>
    <t xml:space="preserve">https://app.clickup.com/t/86agd8cqq</t>
  </si>
  <si>
    <t xml:space="preserve">86agd8cn9</t>
  </si>
  <si>
    <t xml:space="preserve">correção de descrição e titulo</t>
  </si>
  <si>
    <t xml:space="preserve">https://app.clickup.com/t/86agd8cn9</t>
  </si>
  <si>
    <t xml:space="preserve">86agcvrtz</t>
  </si>
  <si>
    <t xml:space="preserve">Corrigir cadastros dos cadeados</t>
  </si>
  <si>
    <t xml:space="preserve">itajai, londrina</t>
  </si>
  <si>
    <t xml:space="preserve">https://app.clickup.com/t/86agcvrtz</t>
  </si>
  <si>
    <t xml:space="preserve">86ag6pn5w</t>
  </si>
  <si>
    <t xml:space="preserve">CARREG-BATERIAS</t>
  </si>
  <si>
    <t xml:space="preserve">https://app.clickup.com/t/86ag6pn5w</t>
  </si>
  <si>
    <t xml:space="preserve">86agctv10</t>
  </si>
  <si>
    <t xml:space="preserve">Subir novamente o produto  TORN-ELETR-BICA-RETA-BRA-220V</t>
  </si>
  <si>
    <t xml:space="preserve">Polielly Morato, Marina Dias, Jean Lins</t>
  </si>
  <si>
    <t xml:space="preserve">https://app.clickup.com/t/86agctv10</t>
  </si>
  <si>
    <t xml:space="preserve">86agcr1pt</t>
  </si>
  <si>
    <t xml:space="preserve">Subir Cross Ortobom Meli</t>
  </si>
  <si>
    <t xml:space="preserve">https://app.clickup.com/t/86agcr1pt</t>
  </si>
  <si>
    <t xml:space="preserve">86afvc07d</t>
  </si>
  <si>
    <t xml:space="preserve">PRODUTO EM CATEGORIA INCORRETA</t>
  </si>
  <si>
    <t xml:space="preserve">Polielly Morato, Marina Dias, Pedro Sitta</t>
  </si>
  <si>
    <t xml:space="preserve">https://app.clickup.com/t/86afvc07d</t>
  </si>
  <si>
    <t xml:space="preserve">86aer5dwc</t>
  </si>
  <si>
    <t xml:space="preserve">mudar categoria do pulverizador bremen</t>
  </si>
  <si>
    <t xml:space="preserve">https://app.clickup.com/t/86aer5dwc</t>
  </si>
  <si>
    <t xml:space="preserve">86aec5x53</t>
  </si>
  <si>
    <t xml:space="preserve">Substituir anúncio pfv 012 sem impacto para com impacto Shopee</t>
  </si>
  <si>
    <t xml:space="preserve">https://app.clickup.com/t/86aec5x53</t>
  </si>
  <si>
    <t xml:space="preserve">86adv3mc0</t>
  </si>
  <si>
    <t xml:space="preserve">Solicitação - Larissa Meli</t>
  </si>
  <si>
    <t xml:space="preserve">https://app.clickup.com/t/86adv3mc0</t>
  </si>
  <si>
    <t xml:space="preserve">86adu2z91</t>
  </si>
  <si>
    <t xml:space="preserve">Substituição anúncio MAÇARICO antigo por NOVO</t>
  </si>
  <si>
    <t xml:space="preserve">https://app.clickup.com/t/86adu2z91</t>
  </si>
  <si>
    <t xml:space="preserve">86adp7hx2</t>
  </si>
  <si>
    <t xml:space="preserve">Criar kits de piscina + Bomba Kala</t>
  </si>
  <si>
    <t xml:space="preserve">Mairon Henrique, Polielly Morato, Luis Goes</t>
  </si>
  <si>
    <t xml:space="preserve">https://app.clickup.com/t/86adp7hx2</t>
  </si>
  <si>
    <t xml:space="preserve">86adgmnfz</t>
  </si>
  <si>
    <t xml:space="preserve">Kits Marcos</t>
  </si>
  <si>
    <t xml:space="preserve">Polielly Morato, João Vitor Bernardeli</t>
  </si>
  <si>
    <t xml:space="preserve">https://app.clickup.com/t/86adgmnfz</t>
  </si>
  <si>
    <t xml:space="preserve">86adf6te2</t>
  </si>
  <si>
    <t xml:space="preserve">ANUNCIO PISCINAS</t>
  </si>
  <si>
    <t xml:space="preserve">https://app.clickup.com/t/86adf6te2</t>
  </si>
  <si>
    <t xml:space="preserve">86addu4kc</t>
  </si>
  <si>
    <t xml:space="preserve">Verificar cadastro/anuncio do produto MOTOESMERIL-6POL-735W-BIV - Solicitação Devolução</t>
  </si>
  <si>
    <t xml:space="preserve">https://app.clickup.com/t/86addu4kc</t>
  </si>
  <si>
    <t xml:space="preserve">86addu1yh</t>
  </si>
  <si>
    <t xml:space="preserve">Verificar Marreta 2000g da MTX - Solicitação Hafer Compras</t>
  </si>
  <si>
    <t xml:space="preserve">https://app.clickup.com/t/86addu1yh</t>
  </si>
  <si>
    <t xml:space="preserve">86addtqak</t>
  </si>
  <si>
    <t xml:space="preserve">Unificar Grampos MTX e Publicar na Shopee</t>
  </si>
  <si>
    <t xml:space="preserve">https://app.clickup.com/t/86addtqak</t>
  </si>
  <si>
    <t xml:space="preserve">86adceajf</t>
  </si>
  <si>
    <t xml:space="preserve">Solicitação Luiz Felipe (Barracão Itj)</t>
  </si>
  <si>
    <t xml:space="preserve">https://app.clickup.com/t/86adceajf</t>
  </si>
  <si>
    <t xml:space="preserve">86adc7brf</t>
  </si>
  <si>
    <t xml:space="preserve">Solicitação Devolução: Kit lona</t>
  </si>
  <si>
    <t xml:space="preserve">https://app.clickup.com/t/86adc7brf</t>
  </si>
  <si>
    <t xml:space="preserve">86adbf8z5</t>
  </si>
  <si>
    <t xml:space="preserve">Subir FURAD-PFV300</t>
  </si>
  <si>
    <t xml:space="preserve">https://app.clickup.com/t/86adbf8z5</t>
  </si>
  <si>
    <t xml:space="preserve">86adbe07e</t>
  </si>
  <si>
    <t xml:space="preserve">INVERSOR-TIG150-RIV156</t>
  </si>
  <si>
    <t xml:space="preserve">https://app.clickup.com/t/86adbe07e</t>
  </si>
  <si>
    <t xml:space="preserve">86adbbw04</t>
  </si>
  <si>
    <t xml:space="preserve">SUBIR PRODUTO HYDRONORTH</t>
  </si>
  <si>
    <t xml:space="preserve">https://app.clickup.com/t/86adbbw04</t>
  </si>
  <si>
    <t xml:space="preserve">86adb94ja</t>
  </si>
  <si>
    <t xml:space="preserve">CATEGORIA ERRADA</t>
  </si>
  <si>
    <t xml:space="preserve">https://app.clickup.com/t/86adb94ja</t>
  </si>
  <si>
    <t xml:space="preserve">86adb922c</t>
  </si>
  <si>
    <t xml:space="preserve">Clonar Cadastro COLCHAO-BABY-LIGHT-12x70x130</t>
  </si>
  <si>
    <t xml:space="preserve">https://app.clickup.com/t/86adb922c</t>
  </si>
  <si>
    <t xml:space="preserve">86ada678d</t>
  </si>
  <si>
    <t xml:space="preserve">Adicionar a variação de chuveiros ao anuncio antigo Vincular</t>
  </si>
  <si>
    <t xml:space="preserve">https://app.clickup.com/t/86ada678d</t>
  </si>
  <si>
    <t xml:space="preserve">86ada4tqb</t>
  </si>
  <si>
    <t xml:space="preserve">Subir/clonar anuncios do meli</t>
  </si>
  <si>
    <t xml:space="preserve">https://app.clickup.com/t/86ada4tqb</t>
  </si>
  <si>
    <t xml:space="preserve">86ad9xe92</t>
  </si>
  <si>
    <t xml:space="preserve">CADEIRAS COM ERRO  - Verificar dimesões</t>
  </si>
  <si>
    <t xml:space="preserve">https://app.clickup.com/t/86ad9xe92</t>
  </si>
  <si>
    <t xml:space="preserve">86ad9x1eu</t>
  </si>
  <si>
    <t xml:space="preserve">Subir na Shopee Londrina Anúncios Banidos</t>
  </si>
  <si>
    <t xml:space="preserve">https://app.clickup.com/t/86ad9x1eu</t>
  </si>
  <si>
    <t xml:space="preserve">86ackb7u0</t>
  </si>
  <si>
    <t xml:space="preserve">Criar anúncio (SHOPEE) Chuveiro Fame</t>
  </si>
  <si>
    <t xml:space="preserve">Polielly Morato, Giulia Fernandes, João Vitor Bernardeli</t>
  </si>
  <si>
    <t xml:space="preserve">https://app.clickup.com/t/86ackb7u0</t>
  </si>
  <si>
    <t xml:space="preserve">86acgj7k5</t>
  </si>
  <si>
    <t xml:space="preserve">Corrigir fotos</t>
  </si>
  <si>
    <t xml:space="preserve">João Vitor Bernardeli</t>
  </si>
  <si>
    <t xml:space="preserve">https://app.clickup.com/t/86acgj7k5</t>
  </si>
  <si>
    <t xml:space="preserve">86acgf318</t>
  </si>
  <si>
    <t xml:space="preserve">KIT-LIX-SLIM-5L-ESCOV-INOX</t>
  </si>
  <si>
    <t xml:space="preserve">Letícia Sakashita, Luis Goes, João Vithor Farias</t>
  </si>
  <si>
    <t xml:space="preserve">https://app.clickup.com/t/86acgf318</t>
  </si>
  <si>
    <t xml:space="preserve">86acdwxep</t>
  </si>
  <si>
    <t xml:space="preserve">SKUs para analisar</t>
  </si>
  <si>
    <t xml:space="preserve">https://app.clickup.com/t/86acdwxep</t>
  </si>
  <si>
    <t xml:space="preserve">86acd2xt1</t>
  </si>
  <si>
    <t xml:space="preserve">CHUV-FAMINHO-4T-PRET-CANO - Subir Shopee Secundária</t>
  </si>
  <si>
    <t xml:space="preserve">https://app.clickup.com/t/86acd2xt1</t>
  </si>
  <si>
    <t xml:space="preserve">86acd2x8p</t>
  </si>
  <si>
    <t xml:space="preserve">CHUV-FAMINHO-4T-BRAN-CANO - Subir Shopee Secundária</t>
  </si>
  <si>
    <t xml:space="preserve">https://app.clickup.com/t/86acd2x8p</t>
  </si>
  <si>
    <t xml:space="preserve">86acd2wx0</t>
  </si>
  <si>
    <t xml:space="preserve">CHUV-FAMINHO-4T-BRANCO - Subir Shopee Secundária.</t>
  </si>
  <si>
    <t xml:space="preserve">https://app.clickup.com/t/86acd2wx0</t>
  </si>
  <si>
    <t xml:space="preserve">86acd2hrp</t>
  </si>
  <si>
    <t xml:space="preserve">MACACO 2T GARRAFA - SPARTA SUBIR SHOPEE SECUNDÁRIA</t>
  </si>
  <si>
    <t xml:space="preserve">https://app.clickup.com/t/86acd2hrp</t>
  </si>
  <si>
    <t xml:space="preserve">86acb8e2d</t>
  </si>
  <si>
    <t xml:space="preserve">Subir todas as Lonas 75g Starfer - Shopee Nova</t>
  </si>
  <si>
    <t xml:space="preserve">https://app.clickup.com/t/86acb8e2d</t>
  </si>
  <si>
    <t xml:space="preserve">86ac8fvbm</t>
  </si>
  <si>
    <t xml:space="preserve">Subir todos produtos da Powermaid Shopee Secundária Itajai</t>
  </si>
  <si>
    <t xml:space="preserve">Giulia Fernandes, Polielly Morato</t>
  </si>
  <si>
    <t xml:space="preserve">https://app.clickup.com/t/86ac8fvbm</t>
  </si>
  <si>
    <t xml:space="preserve">86ac84m8r</t>
  </si>
  <si>
    <t xml:space="preserve">Subir Produtos da Elgin na Shopee - Secundária</t>
  </si>
  <si>
    <t xml:space="preserve">Polielly Morato, Giulia Fernandes</t>
  </si>
  <si>
    <t xml:space="preserve">https://app.clickup.com/t/86ac84m8r</t>
  </si>
  <si>
    <t xml:space="preserve">86abwz14p</t>
  </si>
  <si>
    <t xml:space="preserve">EXCLUIR OS SEGUINTES SKUS:</t>
  </si>
  <si>
    <t xml:space="preserve">https://app.clickup.com/t/86abwz14p</t>
  </si>
  <si>
    <t xml:space="preserve">86abjmthx</t>
  </si>
  <si>
    <t xml:space="preserve">Duplicar anúncio 4052771221</t>
  </si>
  <si>
    <t xml:space="preserve">https://app.clickup.com/t/86abjmthx</t>
  </si>
  <si>
    <t xml:space="preserve">86abjm18g</t>
  </si>
  <si>
    <t xml:space="preserve">Adicionar variação da cor ROXO no roupão G (sortido) nos cadastros e anúncios</t>
  </si>
  <si>
    <t xml:space="preserve">https://app.clickup.com/t/86abjm18g</t>
  </si>
  <si>
    <t xml:space="preserve">86abhmxr3</t>
  </si>
  <si>
    <t xml:space="preserve">Otimizar fotos do ROUPÃO G e GG (sortido)</t>
  </si>
  <si>
    <t xml:space="preserve">itajaí, londrina</t>
  </si>
  <si>
    <t xml:space="preserve">https://app.clickup.com/t/86abhmxr3</t>
  </si>
  <si>
    <t xml:space="preserve">86abft9u9</t>
  </si>
  <si>
    <t xml:space="preserve">Subir anúncio Shopee URGENTE SKU: MOP-NOVIÇA-TURBO</t>
  </si>
  <si>
    <t xml:space="preserve">Polielly Morato, João Vitor Bernardeli, Giulia Fernandes</t>
  </si>
  <si>
    <t xml:space="preserve">https://app.clickup.com/t/86abft9u9</t>
  </si>
  <si>
    <t xml:space="preserve">86abcdnxu</t>
  </si>
  <si>
    <t xml:space="preserve">VIDEOS MOVAL</t>
  </si>
  <si>
    <t xml:space="preserve">https://app.clickup.com/t/86abcdnxu</t>
  </si>
  <si>
    <t xml:space="preserve">86aarrm5c</t>
  </si>
  <si>
    <t xml:space="preserve">6564</t>
  </si>
  <si>
    <t xml:space="preserve">https://app.clickup.com/t/86aarrm5c</t>
  </si>
  <si>
    <t xml:space="preserve">86aantb44</t>
  </si>
  <si>
    <t xml:space="preserve">Refazer Anúncios Graxeiras HydronLubz</t>
  </si>
  <si>
    <t xml:space="preserve">https://app.clickup.com/t/86aantb44</t>
  </si>
  <si>
    <t xml:space="preserve">86aak4q4p</t>
  </si>
  <si>
    <t xml:space="preserve">Subir todos anúncios de Cadeiras Shopee</t>
  </si>
  <si>
    <t xml:space="preserve">https://app.clickup.com/t/86aak4q4p</t>
  </si>
  <si>
    <t xml:space="preserve">86aaa88b2</t>
  </si>
  <si>
    <t xml:space="preserve">Criar Vídeo e Imagem com Descrição PFV 238</t>
  </si>
  <si>
    <t xml:space="preserve">João Vitor Bernardeli, Polielly Morato</t>
  </si>
  <si>
    <t xml:space="preserve">https://app.clickup.com/t/86aaa88b2</t>
  </si>
  <si>
    <t xml:space="preserve">86aa8m4k3</t>
  </si>
  <si>
    <t xml:space="preserve">Criar anúncio com variação Lixeiras 5L - SHOPEE</t>
  </si>
  <si>
    <t xml:space="preserve">https://app.clickup.com/t/86aa8m4k3</t>
  </si>
  <si>
    <t xml:space="preserve">86aa8m0fz</t>
  </si>
  <si>
    <t xml:space="preserve">Criar anúncio com variação Lixeiras 3L - SHOPEE </t>
  </si>
  <si>
    <t xml:space="preserve">https://app.clickup.com/t/86aa8m0fz</t>
  </si>
  <si>
    <t xml:space="preserve">86aa4gd5t</t>
  </si>
  <si>
    <t xml:space="preserve">Vídeo e Descrição com Imagem Garthen</t>
  </si>
  <si>
    <t xml:space="preserve">https://app.clickup.com/t/86aa4gd5t</t>
  </si>
  <si>
    <t xml:space="preserve">86aa3a0pe</t>
  </si>
  <si>
    <t xml:space="preserve">Preencher skus sem fornecedores - tiny</t>
  </si>
  <si>
    <t xml:space="preserve">Polielly Morato, Letícia Sakashita</t>
  </si>
  <si>
    <t xml:space="preserve">https://app.clickup.com/t/86aa3a0pe</t>
  </si>
  <si>
    <t xml:space="preserve">86aa39z7f</t>
  </si>
  <si>
    <t xml:space="preserve">Subir Lampadas faltantes da Elgin</t>
  </si>
  <si>
    <t xml:space="preserve">Letícia Sakashita, Polielly Morato</t>
  </si>
  <si>
    <t xml:space="preserve">https://app.clickup.com/t/86aa39z7f</t>
  </si>
  <si>
    <t xml:space="preserve">86aa39mm2</t>
  </si>
  <si>
    <t xml:space="preserve">Kits Toalha Alamo</t>
  </si>
  <si>
    <t xml:space="preserve">https://app.clickup.com/t/86aa39mm2</t>
  </si>
  <si>
    <t xml:space="preserve">86a9rxv24</t>
  </si>
  <si>
    <t xml:space="preserve">Subir anúncio novamente</t>
  </si>
  <si>
    <t xml:space="preserve">https://app.clickup.com/t/86a9rxv24</t>
  </si>
  <si>
    <t xml:space="preserve">86a9g8ay6</t>
  </si>
  <si>
    <t xml:space="preserve">Excluir produtos da KEHOME</t>
  </si>
  <si>
    <t xml:space="preserve">https://app.clickup.com/t/86a9g8ay6</t>
  </si>
  <si>
    <t xml:space="preserve">86a9ckuy4</t>
  </si>
  <si>
    <t xml:space="preserve">Solicitar material de marketing Menegotti</t>
  </si>
  <si>
    <t xml:space="preserve">João Vitor Bernardeli, Hafer Lucas</t>
  </si>
  <si>
    <t xml:space="preserve">https://app.clickup.com/t/86a9ckuy4</t>
  </si>
  <si>
    <t xml:space="preserve">86a9b70hg</t>
  </si>
  <si>
    <t xml:space="preserve">Criar imagem do Roupão Tamanho Único Verde Turquesa e adicionar aos anúncios</t>
  </si>
  <si>
    <t xml:space="preserve">https://app.clickup.com/t/86a9b70hg</t>
  </si>
  <si>
    <t xml:space="preserve">86a9b6vcu</t>
  </si>
  <si>
    <t xml:space="preserve">Variação Roupão Tamanho Único Azul Royal</t>
  </si>
  <si>
    <t xml:space="preserve">https://app.clickup.com/t/86a9b6vcu</t>
  </si>
  <si>
    <t xml:space="preserve">86a93qgmp</t>
  </si>
  <si>
    <t xml:space="preserve">Estoque e custos Roupões e Toalhas</t>
  </si>
  <si>
    <t xml:space="preserve">https://app.clickup.com/t/86a93qgmp</t>
  </si>
  <si>
    <t xml:space="preserve">86a903rev</t>
  </si>
  <si>
    <t xml:space="preserve">DUVIDA CAMESA</t>
  </si>
  <si>
    <t xml:space="preserve">https://app.clickup.com/t/86a903rev</t>
  </si>
  <si>
    <t xml:space="preserve">86a8vxryd</t>
  </si>
  <si>
    <t xml:space="preserve">Duvida de Categoria</t>
  </si>
  <si>
    <t xml:space="preserve">https://app.clickup.com/t/86a8vxryd</t>
  </si>
  <si>
    <t xml:space="preserve">86a8vwzq4</t>
  </si>
  <si>
    <t xml:space="preserve">JG-FERRAMEN-29PCS-STELS sem estoque no tiny</t>
  </si>
  <si>
    <t xml:space="preserve">https://app.clickup.com/t/86a8vwzq4</t>
  </si>
  <si>
    <t xml:space="preserve">86a8v7dtr</t>
  </si>
  <si>
    <t xml:space="preserve">Lista de Compras Criativo</t>
  </si>
  <si>
    <t xml:space="preserve">https://app.clickup.com/t/86a8v7dtr</t>
  </si>
  <si>
    <t xml:space="preserve">86a8qubkg</t>
  </si>
  <si>
    <t xml:space="preserve">Excluir Produtos - all fibra</t>
  </si>
  <si>
    <t xml:space="preserve">https://app.clickup.com/t/86a8qubkg</t>
  </si>
  <si>
    <t xml:space="preserve">86ada8909</t>
  </si>
  <si>
    <t xml:space="preserve">fotos kit KIT-TOALHA-ALAMO-70X140</t>
  </si>
  <si>
    <t xml:space="preserve">https://app.clickup.com/t/86ada8909</t>
  </si>
  <si>
    <t xml:space="preserve">86ac09j8v</t>
  </si>
  <si>
    <t xml:space="preserve">FOTOS ROUPÃO ROUPAO-G-ROXO E ROUPAO-GG-ROXO</t>
  </si>
  <si>
    <t xml:space="preserve">https://app.clickup.com/t/86ac09j8v</t>
  </si>
  <si>
    <t xml:space="preserve">86a9b6vxc</t>
  </si>
  <si>
    <t xml:space="preserve">Criar imagem e adicionar aos anúncios</t>
  </si>
  <si>
    <t xml:space="preserve">https://app.clickup.com/t/86a9b6vxc</t>
  </si>
  <si>
    <t xml:space="preserve">86ag4q9uh</t>
  </si>
  <si>
    <t xml:space="preserve">Subir PENTEADEIRA-SONHOS-BRANCA no MELI em M1</t>
  </si>
  <si>
    <t xml:space="preserve">https://app.clickup.com/t/86ag4q9uh</t>
  </si>
  <si>
    <t xml:space="preserve">86agcn81n</t>
  </si>
  <si>
    <t xml:space="preserve">Subir Cross Ortobom Shopee</t>
  </si>
  <si>
    <t xml:space="preserve">https://app.clickup.com/t/86agcn81n</t>
  </si>
  <si>
    <t xml:space="preserve">86ag9dhxk</t>
  </si>
  <si>
    <t xml:space="preserve">CADASTRAR ANUNCIO CLASSICO E PREMIUM</t>
  </si>
  <si>
    <t xml:space="preserve">https://app.clickup.com/t/86ag9dhxk</t>
  </si>
  <si>
    <t xml:space="preserve">86afth3d9</t>
  </si>
  <si>
    <t xml:space="preserve">SOPRADORES KALA E WORKER</t>
  </si>
  <si>
    <t xml:space="preserve">https://app.clickup.com/t/86afth3d9</t>
  </si>
  <si>
    <t xml:space="preserve">86ag3br93</t>
  </si>
  <si>
    <t xml:space="preserve">Pedro Sitta, Marcos Luciano Domus, João Vitor Bernardeli, Luis Goes, Eduardo Felipe</t>
  </si>
  <si>
    <t xml:space="preserve">https://app.clickup.com/t/86ag3br93</t>
  </si>
  <si>
    <t xml:space="preserve">86ag1gux6</t>
  </si>
  <si>
    <t xml:space="preserve">Ditalia - Meli</t>
  </si>
  <si>
    <t xml:space="preserve">https://app.clickup.com/t/86ag1gux6</t>
  </si>
  <si>
    <t xml:space="preserve">86afweyq5</t>
  </si>
  <si>
    <t xml:space="preserve">Produtos novos - Dewalt, Stanley e Black+Decker</t>
  </si>
  <si>
    <t xml:space="preserve">Polielly Morato, Pedro Sitta, Luis Goes, Marcos Luciano Domus, João Vitor Bernardeli, Heitor Vecchia, Eduardo Felipe</t>
  </si>
  <si>
    <t xml:space="preserve">https://app.clickup.com/t/86afweyq5</t>
  </si>
  <si>
    <t xml:space="preserve">86af8qpbj</t>
  </si>
  <si>
    <t xml:space="preserve">CADASTRO NOVOS PRODUTOS WORKER</t>
  </si>
  <si>
    <t xml:space="preserve">Polielly Morato, Giulia Fernandes, João Vitor Bernardeli, Luis Goes, Heitor Vecchia</t>
  </si>
  <si>
    <t xml:space="preserve">https://app.clickup.com/t/86af8qpbj</t>
  </si>
  <si>
    <t xml:space="preserve">86afthgcc</t>
  </si>
  <si>
    <t xml:space="preserve">Worker - Tiktok</t>
  </si>
  <si>
    <t xml:space="preserve">https://app.clickup.com/t/86afthgcc</t>
  </si>
  <si>
    <t xml:space="preserve">86af1vner</t>
  </si>
  <si>
    <t xml:space="preserve">novos produtos Ventisol</t>
  </si>
  <si>
    <t xml:space="preserve">João Vitor Bernardeli, Luis Goes, Marcos Luciano Domus, João Vithor Farias, Larissa Quintino, Heitor Vecchia</t>
  </si>
  <si>
    <t xml:space="preserve">https://app.clickup.com/t/86af1vner</t>
  </si>
  <si>
    <t xml:space="preserve">86ag4rtjn</t>
  </si>
  <si>
    <t xml:space="preserve">Produtos que faltaram Dewalt</t>
  </si>
  <si>
    <t xml:space="preserve">https://app.clickup.com/t/86ag4rtjn</t>
  </si>
  <si>
    <t xml:space="preserve">86ag1dh76</t>
  </si>
  <si>
    <t xml:space="preserve">PULVERIZADOR-BATERIA-16L-WORKER</t>
  </si>
  <si>
    <t xml:space="preserve">https://app.clickup.com/t/86ag1dh76</t>
  </si>
  <si>
    <t xml:space="preserve">86ag1ajtw</t>
  </si>
  <si>
    <t xml:space="preserve">Criação RENATINHA</t>
  </si>
  <si>
    <t xml:space="preserve">https://app.clickup.com/t/86ag1ajtw</t>
  </si>
  <si>
    <t xml:space="preserve">86afwfwwa</t>
  </si>
  <si>
    <t xml:space="preserve">Banners MAGALU</t>
  </si>
  <si>
    <t xml:space="preserve">https://app.clickup.com/t/86afwfwwa</t>
  </si>
  <si>
    <t xml:space="preserve">86ae3kmxt</t>
  </si>
  <si>
    <t xml:space="preserve">Cadastrar produto novo Vonder - 130601</t>
  </si>
  <si>
    <t xml:space="preserve">João Vitor Bernardeli, Polielly Morato, Giulia Fernandes, João Vithor Farias, Heitor Vecchia</t>
  </si>
  <si>
    <t xml:space="preserve">https://app.clickup.com/t/86ae3kmxt</t>
  </si>
  <si>
    <t xml:space="preserve">86af0uxhk</t>
  </si>
  <si>
    <t xml:space="preserve">Novos Produtos Multi</t>
  </si>
  <si>
    <t xml:space="preserve">Giulia Fernandes, João Vitor Bernardeli, João Vithor Farias, Marcos Luciano Domus, Luis Goes</t>
  </si>
  <si>
    <t xml:space="preserve">https://app.clickup.com/t/86af0uxhk</t>
  </si>
  <si>
    <t xml:space="preserve">86aeu2rrn</t>
  </si>
  <si>
    <t xml:space="preserve">CADASTRAR PRODUTOS PRORELAX</t>
  </si>
  <si>
    <t xml:space="preserve">Polielly Morato, João Vitor Bernardeli, Luis Goes, Mairon Henrique</t>
  </si>
  <si>
    <t xml:space="preserve">https://app.clickup.com/t/86aeu2rrn</t>
  </si>
  <si>
    <t xml:space="preserve">86afj31pu</t>
  </si>
  <si>
    <t xml:space="preserve">Novos Produtos Worker</t>
  </si>
  <si>
    <t xml:space="preserve">Marina Dias, Pedro Sitta, Polielly Morato</t>
  </si>
  <si>
    <t xml:space="preserve">https://app.clickup.com/t/86afj31pu</t>
  </si>
  <si>
    <t xml:space="preserve">86afq2zag</t>
  </si>
  <si>
    <t xml:space="preserve">Kit berço com colchão</t>
  </si>
  <si>
    <t xml:space="preserve">https://app.clickup.com/t/86afq2zag</t>
  </si>
  <si>
    <t xml:space="preserve">86adqx25r</t>
  </si>
  <si>
    <t xml:space="preserve">Cadastrar novo Produto Elgin</t>
  </si>
  <si>
    <t xml:space="preserve">Polielly Morato, João Vitor Bernardeli, Luis Goes, João Vithor Farias, Marcos Luciano Domus</t>
  </si>
  <si>
    <t xml:space="preserve">https://app.clickup.com/t/86adqx25r</t>
  </si>
  <si>
    <t xml:space="preserve">86ae35xbq</t>
  </si>
  <si>
    <t xml:space="preserve">Cadastrar Produto novo Barzel - 385116</t>
  </si>
  <si>
    <t xml:space="preserve">Polielly Morato, João Vitor Bernardeli, João Vithor Farias, Marcos Luciano Domus, Luis Goes, Heitor Vecchia</t>
  </si>
  <si>
    <t xml:space="preserve">https://app.clickup.com/t/86ae35xbq</t>
  </si>
  <si>
    <t xml:space="preserve">86adma4de</t>
  </si>
  <si>
    <t xml:space="preserve">P.I ITEM SEM CADASTRO / EM ESTOQUE</t>
  </si>
  <si>
    <t xml:space="preserve">Giulia Fernandes, João Vitor Bernardeli</t>
  </si>
  <si>
    <t xml:space="preserve">https://app.clickup.com/t/86adma4de</t>
  </si>
  <si>
    <t xml:space="preserve">86aedad5v</t>
  </si>
  <si>
    <t xml:space="preserve">CADASTRO NOVOS PRODUTOS PI VONDER</t>
  </si>
  <si>
    <t xml:space="preserve">Giulia Fernandes, Polielly Morato, Heitor Vecchia</t>
  </si>
  <si>
    <t xml:space="preserve">https://app.clickup.com/t/86aedad5v</t>
  </si>
  <si>
    <t xml:space="preserve">86aer2vtd</t>
  </si>
  <si>
    <t xml:space="preserve">CADASTRAR PRODUTO BREMEN -- &gt; MELI</t>
  </si>
  <si>
    <t xml:space="preserve">https://app.clickup.com/t/86aer2vtd</t>
  </si>
  <si>
    <t xml:space="preserve">86aeu2tuj</t>
  </si>
  <si>
    <t xml:space="preserve">FOTOS</t>
  </si>
  <si>
    <t xml:space="preserve">https://app.clickup.com/t/86aeu2tuj</t>
  </si>
  <si>
    <t xml:space="preserve">86ae2fkf9</t>
  </si>
  <si>
    <t xml:space="preserve">NOVO PRODUTO ELGIN</t>
  </si>
  <si>
    <t xml:space="preserve">Polielly Morato, Luis Goes, João Vithor Farias, João Vitor Bernardeli</t>
  </si>
  <si>
    <t xml:space="preserve">https://app.clickup.com/t/86ae2fkf9</t>
  </si>
  <si>
    <t xml:space="preserve">86adp7p26</t>
  </si>
  <si>
    <t xml:space="preserve">Cadastrar Produtos Novos Ortobom</t>
  </si>
  <si>
    <t xml:space="preserve">Polielly Morato, João Vitor Bernardeli, Mairon Henrique, Luis Goes</t>
  </si>
  <si>
    <t xml:space="preserve">https://app.clickup.com/t/86adp7p26</t>
  </si>
  <si>
    <t xml:space="preserve">86adt4c2r</t>
  </si>
  <si>
    <t xml:space="preserve">Cadastro Lavor</t>
  </si>
  <si>
    <t xml:space="preserve">https://app.clickup.com/t/86adt4c2r</t>
  </si>
  <si>
    <t xml:space="preserve">86ae2fare</t>
  </si>
  <si>
    <t xml:space="preserve">PRODUTO NOVO VONDER</t>
  </si>
  <si>
    <t xml:space="preserve">Polielly Morato, João Vithor Farias, Luis Goes, Heitor Vecchia, João Vitor Bernardeli</t>
  </si>
  <si>
    <t xml:space="preserve">https://app.clickup.com/t/86ae2fare</t>
  </si>
  <si>
    <t xml:space="preserve">86ae2fdtz</t>
  </si>
  <si>
    <t xml:space="preserve">fotos sku novo vonder</t>
  </si>
  <si>
    <t xml:space="preserve">https://app.clickup.com/t/86ae2fdtz</t>
  </si>
  <si>
    <t xml:space="preserve">86adzvqe9</t>
  </si>
  <si>
    <t xml:space="preserve">Novo Produto Elgin</t>
  </si>
  <si>
    <t xml:space="preserve">https://app.clickup.com/t/86adzvqe9</t>
  </si>
  <si>
    <t xml:space="preserve">86ae0t65h</t>
  </si>
  <si>
    <t xml:space="preserve">CADASTRO PRODUTO KIT BALANÇA</t>
  </si>
  <si>
    <t xml:space="preserve">https://app.clickup.com/t/86ae0t65h</t>
  </si>
  <si>
    <t xml:space="preserve">86adepkqb</t>
  </si>
  <si>
    <t xml:space="preserve">Revisão do código fornecedor - ARAMOVEIS PI</t>
  </si>
  <si>
    <t xml:space="preserve">Mairon Henrique, Giulia Fernandes</t>
  </si>
  <si>
    <t xml:space="preserve">https://app.clickup.com/t/86adepkqb</t>
  </si>
  <si>
    <t xml:space="preserve">86ad6250m</t>
  </si>
  <si>
    <t xml:space="preserve">Cadastrar Arvore de Natal 90cm Londrina</t>
  </si>
  <si>
    <t xml:space="preserve">https://app.clickup.com/t/86ad6250m</t>
  </si>
  <si>
    <t xml:space="preserve">86adr03db</t>
  </si>
  <si>
    <t xml:space="preserve">PRODUTOS VERICALIZADOS SPARTA</t>
  </si>
  <si>
    <t xml:space="preserve">Luis Goes, João Vitor Bernardeli</t>
  </si>
  <si>
    <t xml:space="preserve">https://app.clickup.com/t/86adr03db</t>
  </si>
  <si>
    <t xml:space="preserve">86adnxpf5</t>
  </si>
  <si>
    <t xml:space="preserve">Subir Sku's no Tiktok</t>
  </si>
  <si>
    <t xml:space="preserve">https://app.clickup.com/t/86adnxpf5</t>
  </si>
  <si>
    <t xml:space="preserve">86ada3e5k</t>
  </si>
  <si>
    <t xml:space="preserve">CLIMATIZADOR DE AR ELGIN 7,5L</t>
  </si>
  <si>
    <t xml:space="preserve">Polielly Morato, João Vitor Bernardeli, Heitor Vecchia, João Vithor Farias, Luis Goes</t>
  </si>
  <si>
    <t xml:space="preserve">https://app.clickup.com/t/86ada3e5k</t>
  </si>
  <si>
    <t xml:space="preserve">86adnjzv7</t>
  </si>
  <si>
    <t xml:space="preserve">Cadastrar Produto KALA (Bomba Manual)- 5948</t>
  </si>
  <si>
    <t xml:space="preserve">https://app.clickup.com/t/86adnjzv7</t>
  </si>
  <si>
    <t xml:space="preserve">86acwxc2t</t>
  </si>
  <si>
    <t xml:space="preserve">https://app.clickup.com/t/86acwxc2t</t>
  </si>
  <si>
    <t xml:space="preserve">86acwxc2r</t>
  </si>
  <si>
    <t xml:space="preserve">João Vitor Bernardeli, Marcos Luciano Domus, João Vithor Farias, Luis Goes</t>
  </si>
  <si>
    <t xml:space="preserve">https://app.clickup.com/t/86acwxc2r</t>
  </si>
  <si>
    <t xml:space="preserve">86adhdmpd</t>
  </si>
  <si>
    <t xml:space="preserve">Fotos Colchão Ortobom</t>
  </si>
  <si>
    <t xml:space="preserve">https://app.clickup.com/t/86adhdmpd</t>
  </si>
  <si>
    <t xml:space="preserve">86adg3x95</t>
  </si>
  <si>
    <t xml:space="preserve">CADASTRAR PRODUTO ORTOBOM</t>
  </si>
  <si>
    <t xml:space="preserve">https://app.clickup.com/t/86adg3x95</t>
  </si>
  <si>
    <t xml:space="preserve">86adb9b7h</t>
  </si>
  <si>
    <t xml:space="preserve">Subir produtos Tools</t>
  </si>
  <si>
    <t xml:space="preserve">Polielly Morato, João Vithor Farias, Luis Goes</t>
  </si>
  <si>
    <t xml:space="preserve">https://app.clickup.com/t/86adb9b7h</t>
  </si>
  <si>
    <t xml:space="preserve">86ac9njtk</t>
  </si>
  <si>
    <t xml:space="preserve">Marcos Luciano Domus, Mairon Henrique</t>
  </si>
  <si>
    <t xml:space="preserve">https://app.clickup.com/t/86ac9njtk</t>
  </si>
  <si>
    <t xml:space="preserve">86ac9njqm</t>
  </si>
  <si>
    <t xml:space="preserve">https://app.clickup.com/t/86ac9njqm</t>
  </si>
  <si>
    <t xml:space="preserve">86ac5xmgk</t>
  </si>
  <si>
    <t xml:space="preserve">Cadastrar Produto Novo PR - LINEA</t>
  </si>
  <si>
    <t xml:space="preserve">Giulia Fernandes, João Vitor Bernardeli, Polielly Morato, Mairon Henrique</t>
  </si>
  <si>
    <t xml:space="preserve">https://app.clickup.com/t/86ac5xmgk</t>
  </si>
  <si>
    <t xml:space="preserve">86acc2f0y</t>
  </si>
  <si>
    <t xml:space="preserve">informações</t>
  </si>
  <si>
    <t xml:space="preserve">https://app.clickup.com/t/86acc2f0y</t>
  </si>
  <si>
    <t xml:space="preserve">86acc2ev1</t>
  </si>
  <si>
    <t xml:space="preserve">https://app.clickup.com/t/86acc2ev1</t>
  </si>
  <si>
    <t xml:space="preserve">86acc2ejf</t>
  </si>
  <si>
    <t xml:space="preserve">https://app.clickup.com/t/86acc2ejf</t>
  </si>
  <si>
    <t xml:space="preserve">86ac5yky6</t>
  </si>
  <si>
    <t xml:space="preserve">Cadastrar Produto Novo -- QMOVI</t>
  </si>
  <si>
    <t xml:space="preserve">Giulia Fernandes, Polielly Morato, João Vitor Bernardeli, Marcos Luciano Domus, Mairon Henrique, Letícia Sakashita</t>
  </si>
  <si>
    <t xml:space="preserve">https://app.clickup.com/t/86ac5yky6</t>
  </si>
  <si>
    <t xml:space="preserve">86abvbt6y</t>
  </si>
  <si>
    <t xml:space="preserve">https://app.clickup.com/t/86abvbt6y</t>
  </si>
  <si>
    <t xml:space="preserve">86abvbt4g</t>
  </si>
  <si>
    <t xml:space="preserve">Cadastro</t>
  </si>
  <si>
    <t xml:space="preserve">https://app.clickup.com/t/86abvbt4g</t>
  </si>
  <si>
    <t xml:space="preserve">86abu3rce</t>
  </si>
  <si>
    <t xml:space="preserve">Cadastrar produto novo PADO -- 1197494</t>
  </si>
  <si>
    <t xml:space="preserve">Giulia Fernandes, Polielly Morato, João Vitor Bernardeli</t>
  </si>
  <si>
    <t xml:space="preserve">https://app.clickup.com/t/86abu3rce</t>
  </si>
  <si>
    <t xml:space="preserve">86ab983mk</t>
  </si>
  <si>
    <t xml:space="preserve">Mairon Henrique</t>
  </si>
  <si>
    <t xml:space="preserve">https://app.clickup.com/t/86ab983mk</t>
  </si>
  <si>
    <t xml:space="preserve">86ab9829f</t>
  </si>
  <si>
    <t xml:space="preserve">https://app.clickup.com/t/86ab9829f</t>
  </si>
  <si>
    <t xml:space="preserve">86ab8a9ym</t>
  </si>
  <si>
    <t xml:space="preserve">https://app.clickup.com/t/86ab8a9ym</t>
  </si>
  <si>
    <t xml:space="preserve">86ab80ky8</t>
  </si>
  <si>
    <t xml:space="preserve">Cadastrar produto novo PADO -- 1192626</t>
  </si>
  <si>
    <t xml:space="preserve">João Vitor Bernardeli, Giulia Fernandes, Polielly Morato</t>
  </si>
  <si>
    <t xml:space="preserve">https://app.clickup.com/t/86ab80ky8</t>
  </si>
  <si>
    <t xml:space="preserve">86abubxxz</t>
  </si>
  <si>
    <t xml:space="preserve">PRECIFICAÇÃO</t>
  </si>
  <si>
    <t xml:space="preserve">https://app.clickup.com/t/86abubxxz</t>
  </si>
  <si>
    <t xml:space="preserve">86abubxn9</t>
  </si>
  <si>
    <t xml:space="preserve">CADASTRO</t>
  </si>
  <si>
    <t xml:space="preserve">https://app.clickup.com/t/86abubxn9</t>
  </si>
  <si>
    <t xml:space="preserve">86abu3tdw</t>
  </si>
  <si>
    <t xml:space="preserve">Cadastrar produto novo AJAX -- 155039</t>
  </si>
  <si>
    <t xml:space="preserve">Giulia Fernandes, Polielly Morato, João Vitor Bernardeli, João Vithor Farias, Letícia Sakashita, Luis Goes</t>
  </si>
  <si>
    <t xml:space="preserve">https://app.clickup.com/t/86abu3tdw</t>
  </si>
  <si>
    <t xml:space="preserve">86ac8p8c6</t>
  </si>
  <si>
    <t xml:space="preserve">Cadastrar Produto novo Vonder -- 121278</t>
  </si>
  <si>
    <t xml:space="preserve">João Vitor Bernardeli, Giulia Fernandes, Polielly Morato, João Vithor Farias, Luis Goes, Marcos Luciano Domus</t>
  </si>
  <si>
    <t xml:space="preserve">https://app.clickup.com/t/86ac8p8c6</t>
  </si>
  <si>
    <t xml:space="preserve">86adb29zw</t>
  </si>
  <si>
    <t xml:space="preserve">https://app.clickup.com/t/86adb29zw</t>
  </si>
  <si>
    <t xml:space="preserve">86ad4ykm3</t>
  </si>
  <si>
    <t xml:space="preserve">Criar variação MARAL</t>
  </si>
  <si>
    <t xml:space="preserve">https://app.clickup.com/t/86ad4ykm3</t>
  </si>
  <si>
    <t xml:space="preserve">86aa95czc</t>
  </si>
  <si>
    <t xml:space="preserve">Letícia Sakashita, Kesia Caponi, Marcos Luciano Domus</t>
  </si>
  <si>
    <t xml:space="preserve">https://app.clickup.com/t/86aa95czc</t>
  </si>
  <si>
    <t xml:space="preserve">86aa5k6uk</t>
  </si>
  <si>
    <t xml:space="preserve">Cadastrar produtos Novos - Britania/Philco</t>
  </si>
  <si>
    <t xml:space="preserve">https://app.clickup.com/t/86aa5k6uk</t>
  </si>
  <si>
    <t xml:space="preserve">86ac9u1bn</t>
  </si>
  <si>
    <t xml:space="preserve">https://app.clickup.com/t/86ac9u1bn</t>
  </si>
  <si>
    <t xml:space="preserve">86ac9u16n</t>
  </si>
  <si>
    <t xml:space="preserve">https://app.clickup.com/t/86ac9u16n</t>
  </si>
  <si>
    <t xml:space="preserve">86ad8mbhp</t>
  </si>
  <si>
    <t xml:space="preserve">Subir INVERSOR-TIG150-RIV156 na shopee</t>
  </si>
  <si>
    <t xml:space="preserve">Polielly Morato, Giulia Fernandes, João Vitor Bernardeli, João Vithor Farias, Luis Goes</t>
  </si>
  <si>
    <t xml:space="preserve">https://app.clickup.com/t/86ad8mbhp</t>
  </si>
  <si>
    <t xml:space="preserve">86acw0nkk</t>
  </si>
  <si>
    <t xml:space="preserve">https://app.clickup.com/t/86acw0nkk</t>
  </si>
  <si>
    <t xml:space="preserve">86acvezuw</t>
  </si>
  <si>
    <t xml:space="preserve">Cadastrar Produto Novo KALA -- 5257</t>
  </si>
  <si>
    <t xml:space="preserve">Polielly Morato, Giulia Fernandes, João Vitor Bernardeli, João Vithor Farias, Letícia Sakashita, Luis Goes</t>
  </si>
  <si>
    <t xml:space="preserve">https://app.clickup.com/t/86acvezuw</t>
  </si>
  <si>
    <t xml:space="preserve">86ad7k12u</t>
  </si>
  <si>
    <t xml:space="preserve">Magalu Higiban</t>
  </si>
  <si>
    <t xml:space="preserve">Luis Goes, Polielly Morato</t>
  </si>
  <si>
    <t xml:space="preserve">https://app.clickup.com/t/86ad7k12u</t>
  </si>
  <si>
    <t xml:space="preserve">86ab8y09p</t>
  </si>
  <si>
    <t xml:space="preserve">https://app.clickup.com/t/86ab8y09p</t>
  </si>
  <si>
    <t xml:space="preserve">86ab8y047</t>
  </si>
  <si>
    <t xml:space="preserve">https://app.clickup.com/t/86ab8y047</t>
  </si>
  <si>
    <t xml:space="preserve">86aarcar0</t>
  </si>
  <si>
    <t xml:space="preserve">Cadastrar Produto Novo - HIGIBAN -- PR</t>
  </si>
  <si>
    <t xml:space="preserve">https://app.clickup.com/t/86aarcar0</t>
  </si>
  <si>
    <t xml:space="preserve">86ab8y06u</t>
  </si>
  <si>
    <t xml:space="preserve">https://app.clickup.com/t/86ab8y06u</t>
  </si>
  <si>
    <t xml:space="preserve">86abbkr11</t>
  </si>
  <si>
    <t xml:space="preserve">Cadastrar Produto Novo Camesa</t>
  </si>
  <si>
    <t xml:space="preserve">Giulia Fernandes, João Vitor Bernardeli, Polielly Morato</t>
  </si>
  <si>
    <t xml:space="preserve">https://app.clickup.com/t/86abbkr11</t>
  </si>
  <si>
    <t xml:space="preserve">86abmm25g</t>
  </si>
  <si>
    <t xml:space="preserve">https://app.clickup.com/t/86abmm25g</t>
  </si>
  <si>
    <t xml:space="preserve">86abmm1zh</t>
  </si>
  <si>
    <t xml:space="preserve">https://app.clickup.com/t/86abmm1zh</t>
  </si>
  <si>
    <t xml:space="preserve">86abmjfqt</t>
  </si>
  <si>
    <t xml:space="preserve">produto novo elgin 337489 itajai</t>
  </si>
  <si>
    <t xml:space="preserve">https://app.clickup.com/t/86abmjfqt</t>
  </si>
  <si>
    <t xml:space="preserve">86abceuf7</t>
  </si>
  <si>
    <t xml:space="preserve">https://app.clickup.com/t/86abceuf7</t>
  </si>
  <si>
    <t xml:space="preserve">86abceu08</t>
  </si>
  <si>
    <t xml:space="preserve">https://app.clickup.com/t/86abceu08</t>
  </si>
  <si>
    <t xml:space="preserve">86abegmfa</t>
  </si>
  <si>
    <t xml:space="preserve">Marcos Luciano Domus, Letícia Sakashita</t>
  </si>
  <si>
    <t xml:space="preserve">https://app.clickup.com/t/86abegmfa</t>
  </si>
  <si>
    <t xml:space="preserve">86abegmae</t>
  </si>
  <si>
    <t xml:space="preserve">https://app.clickup.com/t/86abegmae</t>
  </si>
  <si>
    <t xml:space="preserve">86abbvxzu</t>
  </si>
  <si>
    <t xml:space="preserve">https://app.clickup.com/t/86abbvxzu</t>
  </si>
  <si>
    <t xml:space="preserve">86abbq929</t>
  </si>
  <si>
    <t xml:space="preserve">Cadastrar Produto novo Enerbras -- 339524 LONDRINA</t>
  </si>
  <si>
    <t xml:space="preserve">https://app.clickup.com/t/86abbq929</t>
  </si>
  <si>
    <t xml:space="preserve">86ad3yxyu</t>
  </si>
  <si>
    <t xml:space="preserve">kit lampada</t>
  </si>
  <si>
    <t xml:space="preserve">João Vitor Bernardeli, Giulia Fernandes</t>
  </si>
  <si>
    <t xml:space="preserve">https://app.clickup.com/t/86ad3yxyu</t>
  </si>
  <si>
    <t xml:space="preserve">86ad3yyty</t>
  </si>
  <si>
    <t xml:space="preserve">https://app.clickup.com/t/86ad3yyty</t>
  </si>
  <si>
    <t xml:space="preserve">86acwxeru</t>
  </si>
  <si>
    <t xml:space="preserve">https://app.clickup.com/t/86acwxeru</t>
  </si>
  <si>
    <t xml:space="preserve">86acnmtu2</t>
  </si>
  <si>
    <t xml:space="preserve">Ferramentas Geral Magalu</t>
  </si>
  <si>
    <t xml:space="preserve">https://app.clickup.com/t/86acnmtu2</t>
  </si>
  <si>
    <t xml:space="preserve">86acwec8q</t>
  </si>
  <si>
    <t xml:space="preserve">https://app.clickup.com/t/86acwec8q</t>
  </si>
  <si>
    <t xml:space="preserve">86acweby3</t>
  </si>
  <si>
    <t xml:space="preserve">Prancha Britânia Viih Tube</t>
  </si>
  <si>
    <t xml:space="preserve">João Vitor Bernardeli, Polielly Morato, Giulia Fernandes, Marcos Luciano Domus, João Vithor Farias, Luis Goes</t>
  </si>
  <si>
    <t xml:space="preserve">https://app.clickup.com/t/86acweby3</t>
  </si>
  <si>
    <t xml:space="preserve">86acpacmg</t>
  </si>
  <si>
    <t xml:space="preserve">MARAL BRINQUEDOS</t>
  </si>
  <si>
    <t xml:space="preserve">João Vitor Bernardeli, Marcos Luciano Domus, João Vithor Farias, Heitor Vecchia, Luis Goes</t>
  </si>
  <si>
    <t xml:space="preserve">https://app.clickup.com/t/86acpacmg</t>
  </si>
  <si>
    <t xml:space="preserve">86abqzbdb</t>
  </si>
  <si>
    <t xml:space="preserve">ARMAR-MULTI-JADE-BRANCO</t>
  </si>
  <si>
    <t xml:space="preserve">https://app.clickup.com/t/86abqzbdb</t>
  </si>
  <si>
    <t xml:space="preserve">86acwecb8</t>
  </si>
  <si>
    <t xml:space="preserve">https://app.clickup.com/t/86acwecb8</t>
  </si>
  <si>
    <t xml:space="preserve">86acw0nt3</t>
  </si>
  <si>
    <t xml:space="preserve">https://app.clickup.com/t/86acw0nt3</t>
  </si>
  <si>
    <t xml:space="preserve">86ac4fc76</t>
  </si>
  <si>
    <t xml:space="preserve">https://app.clickup.com/t/86ac4fc76</t>
  </si>
  <si>
    <t xml:space="preserve">86ac4fc48</t>
  </si>
  <si>
    <t xml:space="preserve">https://app.clickup.com/t/86ac4fc48</t>
  </si>
  <si>
    <t xml:space="preserve">86abyfmqu</t>
  </si>
  <si>
    <t xml:space="preserve">Kit COLCHAO-SOLT-D23-12X78X188 + PROT90</t>
  </si>
  <si>
    <t xml:space="preserve">Polielly Morato, João Vitor Bernardeli, Marcos Luciano Domus</t>
  </si>
  <si>
    <t xml:space="preserve">https://app.clickup.com/t/86abyfmqu</t>
  </si>
  <si>
    <t xml:space="preserve">86acc9ja3</t>
  </si>
  <si>
    <t xml:space="preserve">https://app.clickup.com/t/86acc9ja3</t>
  </si>
  <si>
    <t xml:space="preserve">86aaefwzn</t>
  </si>
  <si>
    <t xml:space="preserve">Kits Toalhas Petra e Alamo</t>
  </si>
  <si>
    <t xml:space="preserve">https://app.clickup.com/t/86aaefwzn</t>
  </si>
  <si>
    <t xml:space="preserve">86ac1bqcz</t>
  </si>
  <si>
    <t xml:space="preserve">Marcos Luciano Domus</t>
  </si>
  <si>
    <t xml:space="preserve">https://app.clickup.com/t/86ac1bqcz</t>
  </si>
  <si>
    <t xml:space="preserve">86ac1bnac</t>
  </si>
  <si>
    <t xml:space="preserve">https://app.clickup.com/t/86ac1bnac</t>
  </si>
  <si>
    <t xml:space="preserve">86ac07ey2</t>
  </si>
  <si>
    <t xml:space="preserve">https://app.clickup.com/t/86ac07ey2</t>
  </si>
  <si>
    <t xml:space="preserve">86ac07e9y</t>
  </si>
  <si>
    <t xml:space="preserve">https://app.clickup.com/t/86ac07e9y</t>
  </si>
  <si>
    <t xml:space="preserve">86ac07e6k</t>
  </si>
  <si>
    <t xml:space="preserve">https://app.clickup.com/t/86ac07e6k</t>
  </si>
  <si>
    <t xml:space="preserve">86abydh3j</t>
  </si>
  <si>
    <t xml:space="preserve">Cadastrar Produto novo CAMESA -- 265025</t>
  </si>
  <si>
    <t xml:space="preserve">https://app.clickup.com/t/86abydh3j</t>
  </si>
  <si>
    <t xml:space="preserve">86acqag5h</t>
  </si>
  <si>
    <t xml:space="preserve">Kit protetor de Travesseiro master comfort</t>
  </si>
  <si>
    <t xml:space="preserve">https://app.clickup.com/t/86acqag5h</t>
  </si>
  <si>
    <t xml:space="preserve">86acr9u0m</t>
  </si>
  <si>
    <t xml:space="preserve">Excluir Cadastro</t>
  </si>
  <si>
    <t xml:space="preserve">João Vitor Bernardeli, Polielly Morato, Giulia Fernandes</t>
  </si>
  <si>
    <t xml:space="preserve">https://app.clickup.com/t/86acr9u0m</t>
  </si>
  <si>
    <t xml:space="preserve">86acrewv7</t>
  </si>
  <si>
    <t xml:space="preserve">Fotos</t>
  </si>
  <si>
    <t xml:space="preserve">https://app.clickup.com/t/86acrewv7</t>
  </si>
  <si>
    <t xml:space="preserve">86ac4fch2</t>
  </si>
  <si>
    <t xml:space="preserve">https://app.clickup.com/t/86ac4fch2</t>
  </si>
  <si>
    <t xml:space="preserve">86acc9jyh</t>
  </si>
  <si>
    <t xml:space="preserve">https://app.clickup.com/t/86acc9jyh</t>
  </si>
  <si>
    <t xml:space="preserve">86ac1869g</t>
  </si>
  <si>
    <t xml:space="preserve">https://app.clickup.com/t/86ac1869g</t>
  </si>
  <si>
    <t xml:space="preserve">86ackb3hp</t>
  </si>
  <si>
    <t xml:space="preserve">Melhoria Colchões - Tange</t>
  </si>
  <si>
    <t xml:space="preserve">João Vitor Bernardeli, Marcos Luciano Domus</t>
  </si>
  <si>
    <t xml:space="preserve">https://app.clickup.com/t/86ackb3hp</t>
  </si>
  <si>
    <t xml:space="preserve">86acjkudu</t>
  </si>
  <si>
    <t xml:space="preserve">https://app.clickup.com/t/86acjkudu</t>
  </si>
  <si>
    <t xml:space="preserve">86acdwyyy</t>
  </si>
  <si>
    <t xml:space="preserve">Cadastrar produto novo BOXER -- 105695</t>
  </si>
  <si>
    <t xml:space="preserve">Giulia Fernandes, João Vithor Farias</t>
  </si>
  <si>
    <t xml:space="preserve">https://app.clickup.com/t/86acdwyyy</t>
  </si>
  <si>
    <t xml:space="preserve">86ach5559</t>
  </si>
  <si>
    <t xml:space="preserve">https://app.clickup.com/t/86ach5559</t>
  </si>
  <si>
    <t xml:space="preserve">86ach54tj</t>
  </si>
  <si>
    <t xml:space="preserve">https://app.clickup.com/t/86ach54tj</t>
  </si>
  <si>
    <t xml:space="preserve">86ach2mfg</t>
  </si>
  <si>
    <t xml:space="preserve">Cadastrar Produto Elgin -- 607657</t>
  </si>
  <si>
    <t xml:space="preserve">Giulia Fernandes, João Vitor Bernardeli, Polielly Morato, João Vithor Farias</t>
  </si>
  <si>
    <t xml:space="preserve">https://app.clickup.com/t/86ach2mfg</t>
  </si>
  <si>
    <t xml:space="preserve">86ac9nke3</t>
  </si>
  <si>
    <t xml:space="preserve">https://app.clickup.com/t/86ac9nke3</t>
  </si>
  <si>
    <t xml:space="preserve">86acc2fht</t>
  </si>
  <si>
    <t xml:space="preserve">https://app.clickup.com/t/86acc2fht</t>
  </si>
  <si>
    <t xml:space="preserve">86acdzmtf</t>
  </si>
  <si>
    <t xml:space="preserve">https://app.clickup.com/t/86acdzmtf</t>
  </si>
  <si>
    <t xml:space="preserve">86ac9u196</t>
  </si>
  <si>
    <t xml:space="preserve">João Vithor Farias, Luis Goes</t>
  </si>
  <si>
    <t xml:space="preserve">https://app.clickup.com/t/86ac9u196</t>
  </si>
  <si>
    <t xml:space="preserve">86achjwfp</t>
  </si>
  <si>
    <t xml:space="preserve">BROCA-ANULAR-18X30MM</t>
  </si>
  <si>
    <t xml:space="preserve">https://app.clickup.com/t/86achjwfp</t>
  </si>
  <si>
    <t xml:space="preserve">86ach54zy</t>
  </si>
  <si>
    <t xml:space="preserve">João Vithor Farias, Marcos Luciano Domus, Letícia Sakashita, Luis Goes</t>
  </si>
  <si>
    <t xml:space="preserve">https://app.clickup.com/t/86ach54zy</t>
  </si>
  <si>
    <t xml:space="preserve">86accx3j4</t>
  </si>
  <si>
    <t xml:space="preserve">https://app.clickup.com/t/86accx3j4</t>
  </si>
  <si>
    <t xml:space="preserve">86ach553m</t>
  </si>
  <si>
    <t xml:space="preserve">INFO</t>
  </si>
  <si>
    <t xml:space="preserve">https://app.clickup.com/t/86ach553m</t>
  </si>
  <si>
    <t xml:space="preserve">86acge6ck</t>
  </si>
  <si>
    <t xml:space="preserve">magalu</t>
  </si>
  <si>
    <t xml:space="preserve">Luis Goes</t>
  </si>
  <si>
    <t xml:space="preserve">https://app.clickup.com/t/86acge6ck</t>
  </si>
  <si>
    <t xml:space="preserve">86ac5a38r</t>
  </si>
  <si>
    <t xml:space="preserve">https://app.clickup.com/t/86ac5a38r</t>
  </si>
  <si>
    <t xml:space="preserve">86ac5a1mf</t>
  </si>
  <si>
    <t xml:space="preserve">https://app.clickup.com/t/86ac5a1mf</t>
  </si>
  <si>
    <t xml:space="preserve">86ac4czey</t>
  </si>
  <si>
    <t xml:space="preserve">Cadastrar Produto novo Vonder -- 121196</t>
  </si>
  <si>
    <t xml:space="preserve">https://app.clickup.com/t/86ac4czey</t>
  </si>
  <si>
    <t xml:space="preserve">86acavd61</t>
  </si>
  <si>
    <t xml:space="preserve">https://app.clickup.com/t/86acavd61</t>
  </si>
  <si>
    <t xml:space="preserve">86acavd44</t>
  </si>
  <si>
    <t xml:space="preserve">https://app.clickup.com/t/86acavd44</t>
  </si>
  <si>
    <t xml:space="preserve">86ac9uv2j</t>
  </si>
  <si>
    <t xml:space="preserve">Cadastrar Produto novo Aramoveis -- 401719</t>
  </si>
  <si>
    <t xml:space="preserve">João Vitor Bernardeli, Polielly Morato, Giulia Fernandes, Marcos Luciano Domus, Mairon Henrique</t>
  </si>
  <si>
    <t xml:space="preserve">https://app.clickup.com/t/86ac9uv2j</t>
  </si>
  <si>
    <t xml:space="preserve">86acaz366</t>
  </si>
  <si>
    <t xml:space="preserve">https://app.clickup.com/t/86acaz366</t>
  </si>
  <si>
    <t xml:space="preserve">86acaz2vn</t>
  </si>
  <si>
    <t xml:space="preserve">https://app.clickup.com/t/86acaz2vn</t>
  </si>
  <si>
    <t xml:space="preserve">86ac9xa2f</t>
  </si>
  <si>
    <t xml:space="preserve">Cadastrar Produto novo Elgin -- 606693</t>
  </si>
  <si>
    <t xml:space="preserve">Giulia Fernandes, Polielly Morato, João Vitor Bernardeli, Luis Goes, Letícia Sakashita, João Vithor Farias</t>
  </si>
  <si>
    <t xml:space="preserve">https://app.clickup.com/t/86ac9xa2f</t>
  </si>
  <si>
    <t xml:space="preserve">86abegmh3</t>
  </si>
  <si>
    <t xml:space="preserve">https://app.clickup.com/t/86abegmh3</t>
  </si>
  <si>
    <t xml:space="preserve">86acb8muv</t>
  </si>
  <si>
    <t xml:space="preserve">Subir produtos Magalu</t>
  </si>
  <si>
    <t xml:space="preserve">https://app.clickup.com/t/86acb8muv</t>
  </si>
  <si>
    <t xml:space="preserve">86ac3b4rc</t>
  </si>
  <si>
    <t xml:space="preserve">https://app.clickup.com/t/86ac3b4rc</t>
  </si>
  <si>
    <t xml:space="preserve">86ac3b4m8</t>
  </si>
  <si>
    <t xml:space="preserve">https://app.clickup.com/t/86ac3b4m8</t>
  </si>
  <si>
    <t xml:space="preserve">86ac2pzdf</t>
  </si>
  <si>
    <t xml:space="preserve">Cadastrar Produto novo - Worker</t>
  </si>
  <si>
    <t xml:space="preserve">https://app.clickup.com/t/86ac2pzdf</t>
  </si>
  <si>
    <t xml:space="preserve">86ac7n7xz</t>
  </si>
  <si>
    <t xml:space="preserve">https://app.clickup.com/t/86ac7n7xz</t>
  </si>
  <si>
    <t xml:space="preserve">86ac6bu23</t>
  </si>
  <si>
    <t xml:space="preserve">https://app.clickup.com/t/86ac6bu23</t>
  </si>
  <si>
    <t xml:space="preserve">86ac6btww</t>
  </si>
  <si>
    <t xml:space="preserve">https://app.clickup.com/t/86ac6btww</t>
  </si>
  <si>
    <t xml:space="preserve">86ac6btun</t>
  </si>
  <si>
    <t xml:space="preserve">https://app.clickup.com/t/86ac6btun</t>
  </si>
  <si>
    <t xml:space="preserve">86ac5mvhd</t>
  </si>
  <si>
    <t xml:space="preserve">Cadastrar Produto novo AJ RORATO -- 1650475</t>
  </si>
  <si>
    <t xml:space="preserve">https://app.clickup.com/t/86ac5mvhd</t>
  </si>
  <si>
    <t xml:space="preserve">86acdzmn8</t>
  </si>
  <si>
    <t xml:space="preserve">https://app.clickup.com/t/86acdzmn8</t>
  </si>
  <si>
    <t xml:space="preserve">86acdzmfb</t>
  </si>
  <si>
    <t xml:space="preserve">https://app.clickup.com/t/86acdzmfb</t>
  </si>
  <si>
    <t xml:space="preserve">86acdzepd</t>
  </si>
  <si>
    <t xml:space="preserve">https://app.clickup.com/t/86acdzepd</t>
  </si>
  <si>
    <t xml:space="preserve">86acavddj</t>
  </si>
  <si>
    <t xml:space="preserve">https://app.clickup.com/t/86acavddj</t>
  </si>
  <si>
    <t xml:space="preserve">86ac8gfx3</t>
  </si>
  <si>
    <t xml:space="preserve">https://app.clickup.com/t/86ac8gfx3</t>
  </si>
  <si>
    <t xml:space="preserve">86ac8gfnu</t>
  </si>
  <si>
    <t xml:space="preserve">Mairon Henrique, Marcos Luciano Domus, Letícia Sakashita</t>
  </si>
  <si>
    <t xml:space="preserve">https://app.clickup.com/t/86ac8gfnu</t>
  </si>
  <si>
    <t xml:space="preserve">86ac8gfer</t>
  </si>
  <si>
    <t xml:space="preserve">https://app.clickup.com/t/86ac8gfer</t>
  </si>
  <si>
    <t xml:space="preserve">86ac8gcbj</t>
  </si>
  <si>
    <t xml:space="preserve">NOVOS PRODUTOS MASTER COMFORT</t>
  </si>
  <si>
    <t xml:space="preserve">https://app.clickup.com/t/86ac8gcbj</t>
  </si>
  <si>
    <t xml:space="preserve">86ac9u1ej</t>
  </si>
  <si>
    <t xml:space="preserve">https://app.clickup.com/t/86ac9u1ej</t>
  </si>
  <si>
    <t xml:space="preserve">86ac7n87x</t>
  </si>
  <si>
    <t xml:space="preserve">https://app.clickup.com/t/86ac7n87x</t>
  </si>
  <si>
    <t xml:space="preserve">86aa858wu</t>
  </si>
  <si>
    <t xml:space="preserve">Kits Protetores de Colchões Ortobom + Capas de Travesseiros Ortobom (MELI)</t>
  </si>
  <si>
    <t xml:space="preserve">https://app.clickup.com/t/86aa858wu</t>
  </si>
  <si>
    <t xml:space="preserve">86acc9jmp</t>
  </si>
  <si>
    <t xml:space="preserve">https://app.clickup.com/t/86acc9jmp</t>
  </si>
  <si>
    <t xml:space="preserve">86ac5f4y5</t>
  </si>
  <si>
    <t xml:space="preserve">Excluir Cadastro Vonder -- TESOURA-ÁRVORE</t>
  </si>
  <si>
    <t xml:space="preserve">https://app.clickup.com/t/86ac5f4y5</t>
  </si>
  <si>
    <t xml:space="preserve">86aa95c1t</t>
  </si>
  <si>
    <t xml:space="preserve">https://app.clickup.com/t/86aa95c1t</t>
  </si>
  <si>
    <t xml:space="preserve">86acaz34z</t>
  </si>
  <si>
    <t xml:space="preserve">https://app.clickup.com/t/86acaz34z</t>
  </si>
  <si>
    <t xml:space="preserve">86acavd9y</t>
  </si>
  <si>
    <t xml:space="preserve">https://app.clickup.com/t/86acavd9y</t>
  </si>
  <si>
    <t xml:space="preserve">86ac7jp07</t>
  </si>
  <si>
    <t xml:space="preserve">Excluir Cadastro COMODA-VITORIA-FREIJO - PR</t>
  </si>
  <si>
    <t xml:space="preserve">https://app.clickup.com/t/86ac7jp07</t>
  </si>
  <si>
    <t xml:space="preserve">86ac9nkce</t>
  </si>
  <si>
    <t xml:space="preserve">https://app.clickup.com/t/86ac9nkce</t>
  </si>
  <si>
    <t xml:space="preserve">86ac8gfu6</t>
  </si>
  <si>
    <t xml:space="preserve">Informações</t>
  </si>
  <si>
    <t xml:space="preserve">https://app.clickup.com/t/86ac8gfu6</t>
  </si>
  <si>
    <t xml:space="preserve">86ac1chd1</t>
  </si>
  <si>
    <t xml:space="preserve">TRAV-SPAZIO-SLIM-ORT-3</t>
  </si>
  <si>
    <t xml:space="preserve">https://app.clickup.com/t/86ac1chd1</t>
  </si>
  <si>
    <t xml:space="preserve">86ac7n86h</t>
  </si>
  <si>
    <t xml:space="preserve">https://app.clickup.com/t/86ac7n86h</t>
  </si>
  <si>
    <t xml:space="preserve">86ac5a3dt</t>
  </si>
  <si>
    <t xml:space="preserve">https://app.clickup.com/t/86ac5a3dt</t>
  </si>
  <si>
    <t xml:space="preserve">86ac3b4zn</t>
  </si>
  <si>
    <t xml:space="preserve">https://app.clickup.com/t/86ac3b4zn</t>
  </si>
  <si>
    <t xml:space="preserve">86ac5a23u</t>
  </si>
  <si>
    <t xml:space="preserve">https://app.clickup.com/t/86ac5a23u</t>
  </si>
  <si>
    <t xml:space="preserve">86abwj8bk</t>
  </si>
  <si>
    <t xml:space="preserve">Cadastrar Produto Novo Aramoveis -- 400618</t>
  </si>
  <si>
    <t xml:space="preserve">https://app.clickup.com/t/86abwj8bk</t>
  </si>
  <si>
    <t xml:space="preserve">86abwup2q</t>
  </si>
  <si>
    <t xml:space="preserve">https://app.clickup.com/t/86abwup2q</t>
  </si>
  <si>
    <t xml:space="preserve">86abwupdt</t>
  </si>
  <si>
    <t xml:space="preserve">https://app.clickup.com/t/86abwupdt</t>
  </si>
  <si>
    <t xml:space="preserve">86ac273jj</t>
  </si>
  <si>
    <t xml:space="preserve">https://app.clickup.com/t/86ac273jj</t>
  </si>
  <si>
    <t xml:space="preserve">86ac273h0</t>
  </si>
  <si>
    <t xml:space="preserve">https://app.clickup.com/t/86ac273h0</t>
  </si>
  <si>
    <t xml:space="preserve">86ac1jrth</t>
  </si>
  <si>
    <t xml:space="preserve">https://app.clickup.com/t/86ac1jrth</t>
  </si>
  <si>
    <t xml:space="preserve">86ac1jrmx</t>
  </si>
  <si>
    <t xml:space="preserve">TRAV-ANATOMICO-KIT4</t>
  </si>
  <si>
    <t xml:space="preserve">https://app.clickup.com/t/86ac1jrmx</t>
  </si>
  <si>
    <t xml:space="preserve">86aajc6zt</t>
  </si>
  <si>
    <t xml:space="preserve">KIT 4 unidades de TRAV-ANATOMICO</t>
  </si>
  <si>
    <t xml:space="preserve">https://app.clickup.com/t/86aajc6zt</t>
  </si>
  <si>
    <t xml:space="preserve">86ac5a21r</t>
  </si>
  <si>
    <t xml:space="preserve">https://app.clickup.com/t/86ac5a21r</t>
  </si>
  <si>
    <t xml:space="preserve">86ac4fcef</t>
  </si>
  <si>
    <t xml:space="preserve">https://app.clickup.com/t/86ac4fcef</t>
  </si>
  <si>
    <t xml:space="preserve">86ac3m4qq</t>
  </si>
  <si>
    <t xml:space="preserve">CADASTRAR MACACOS SPARTA (LONDRINA)</t>
  </si>
  <si>
    <t xml:space="preserve">https://app.clickup.com/t/86ac3m4qq</t>
  </si>
  <si>
    <t xml:space="preserve">86ac3b4xm</t>
  </si>
  <si>
    <t xml:space="preserve">https://app.clickup.com/t/86ac3b4xm</t>
  </si>
  <si>
    <t xml:space="preserve">86aajngjp</t>
  </si>
  <si>
    <t xml:space="preserve">JOGO-FERRAMENTAS-129PCS</t>
  </si>
  <si>
    <t xml:space="preserve">https://app.clickup.com/t/86aajngjp</t>
  </si>
  <si>
    <t xml:space="preserve">86ac1cfcm</t>
  </si>
  <si>
    <t xml:space="preserve">https://app.clickup.com/t/86ac1cfcm</t>
  </si>
  <si>
    <t xml:space="preserve">86abxuqny</t>
  </si>
  <si>
    <t xml:space="preserve">descritivo</t>
  </si>
  <si>
    <t xml:space="preserve">https://app.clickup.com/t/86abxuqny</t>
  </si>
  <si>
    <t xml:space="preserve">86abxuqjp</t>
  </si>
  <si>
    <t xml:space="preserve">Cdastro</t>
  </si>
  <si>
    <t xml:space="preserve">https://app.clickup.com/t/86abxuqjp</t>
  </si>
  <si>
    <t xml:space="preserve">86aajp8z3</t>
  </si>
  <si>
    <t xml:space="preserve">Kit 2 mesas de cabeceiras dhara 2 gavetas</t>
  </si>
  <si>
    <t xml:space="preserve">https://app.clickup.com/t/86aajp8z3</t>
  </si>
  <si>
    <t xml:space="preserve">86abwupmz</t>
  </si>
  <si>
    <t xml:space="preserve">https://app.clickup.com/t/86abwupmz</t>
  </si>
  <si>
    <t xml:space="preserve">86ac1jrqx</t>
  </si>
  <si>
    <t xml:space="preserve">https://app.clickup.com/t/86ac1jrqx</t>
  </si>
  <si>
    <t xml:space="preserve">86ac17gbe</t>
  </si>
  <si>
    <t xml:space="preserve">TRAV-LATEX-SPAZIO</t>
  </si>
  <si>
    <t xml:space="preserve">https://app.clickup.com/t/86ac17gbe</t>
  </si>
  <si>
    <t xml:space="preserve">86abuyuyy</t>
  </si>
  <si>
    <t xml:space="preserve">https://app.clickup.com/t/86abuyuyy</t>
  </si>
  <si>
    <t xml:space="preserve">86abuyuwp</t>
  </si>
  <si>
    <t xml:space="preserve">https://app.clickup.com/t/86abuyuwp</t>
  </si>
  <si>
    <t xml:space="preserve">86abuyur0</t>
  </si>
  <si>
    <t xml:space="preserve">https://app.clickup.com/t/86abuyur0</t>
  </si>
  <si>
    <t xml:space="preserve">86abemrnc</t>
  </si>
  <si>
    <t xml:space="preserve">https://app.clickup.com/t/86abemrnc</t>
  </si>
  <si>
    <t xml:space="preserve">86abeenmu</t>
  </si>
  <si>
    <t xml:space="preserve">Cadastrar produto Fame -- 1610085</t>
  </si>
  <si>
    <t xml:space="preserve">https://app.clickup.com/t/86abeenmu</t>
  </si>
  <si>
    <t xml:space="preserve">86ac17ftx</t>
  </si>
  <si>
    <t xml:space="preserve">TRAV-VISCO-SKY</t>
  </si>
  <si>
    <t xml:space="preserve">https://app.clickup.com/t/86ac17ftx</t>
  </si>
  <si>
    <t xml:space="preserve">86aara6eg</t>
  </si>
  <si>
    <t xml:space="preserve">Novos produtos Tekna (Nordtech)</t>
  </si>
  <si>
    <t xml:space="preserve">https://app.clickup.com/t/86aara6eg</t>
  </si>
  <si>
    <t xml:space="preserve">86ac17g7b</t>
  </si>
  <si>
    <t xml:space="preserve">TRAV-ANATOMICO</t>
  </si>
  <si>
    <t xml:space="preserve">https://app.clickup.com/t/86ac17g7b</t>
  </si>
  <si>
    <t xml:space="preserve">86aawgt7q</t>
  </si>
  <si>
    <t xml:space="preserve">https://app.clickup.com/t/86aawgt7q</t>
  </si>
  <si>
    <t xml:space="preserve">86aawgr82</t>
  </si>
  <si>
    <t xml:space="preserve">https://app.clickup.com/t/86aawgr82</t>
  </si>
  <si>
    <t xml:space="preserve">86abxuqqa</t>
  </si>
  <si>
    <t xml:space="preserve">https://app.clickup.com/t/86abxuqqa</t>
  </si>
  <si>
    <t xml:space="preserve">86ac0mkhz</t>
  </si>
  <si>
    <t xml:space="preserve">https://app.clickup.com/t/86ac0mkhz</t>
  </si>
  <si>
    <t xml:space="preserve">86abnbyd3</t>
  </si>
  <si>
    <t xml:space="preserve">https://app.clickup.com/t/86abnbyd3</t>
  </si>
  <si>
    <t xml:space="preserve">86abnbybr</t>
  </si>
  <si>
    <t xml:space="preserve">https://app.clickup.com/t/86abnbybr</t>
  </si>
  <si>
    <t xml:space="preserve">86abn54jy</t>
  </si>
  <si>
    <t xml:space="preserve">Cadastrar Produto novo Elements -- 062653</t>
  </si>
  <si>
    <t xml:space="preserve">https://app.clickup.com/t/86abn54jy</t>
  </si>
  <si>
    <t xml:space="preserve">86ac1bqbf</t>
  </si>
  <si>
    <t xml:space="preserve">https://app.clickup.com/t/86ac1bqbf</t>
  </si>
  <si>
    <t xml:space="preserve">86abu9gpf</t>
  </si>
  <si>
    <t xml:space="preserve">https://app.clickup.com/t/86abu9gpf</t>
  </si>
  <si>
    <t xml:space="preserve">86abu9gc4</t>
  </si>
  <si>
    <t xml:space="preserve">PRECIFICAÇÂO</t>
  </si>
  <si>
    <t xml:space="preserve">https://app.clickup.com/t/86abu9gc4</t>
  </si>
  <si>
    <t xml:space="preserve">86abu9g7u</t>
  </si>
  <si>
    <t xml:space="preserve">https://app.clickup.com/t/86abu9g7u</t>
  </si>
  <si>
    <t xml:space="preserve">86abu3ptf</t>
  </si>
  <si>
    <t xml:space="preserve">Cadastrar produto novo WELLMIX -- 125761</t>
  </si>
  <si>
    <t xml:space="preserve">https://app.clickup.com/t/86abu3ptf</t>
  </si>
  <si>
    <t xml:space="preserve">86ac07ezv</t>
  </si>
  <si>
    <t xml:space="preserve">https://app.clickup.com/t/86ac07ezv</t>
  </si>
  <si>
    <t xml:space="preserve">86ac17fmz</t>
  </si>
  <si>
    <t xml:space="preserve">TRAV-SPAZIO-SLIM-ORT</t>
  </si>
  <si>
    <t xml:space="preserve">https://app.clickup.com/t/86ac17fmz</t>
  </si>
  <si>
    <t xml:space="preserve">86ac07kby</t>
  </si>
  <si>
    <t xml:space="preserve">https://app.clickup.com/t/86ac07kby</t>
  </si>
  <si>
    <t xml:space="preserve">86ac07k72</t>
  </si>
  <si>
    <t xml:space="preserve">https://app.clickup.com/t/86ac07k72</t>
  </si>
  <si>
    <t xml:space="preserve">86ac01rbn</t>
  </si>
  <si>
    <t xml:space="preserve">Cadastrar produto novo BOXER -- 104303</t>
  </si>
  <si>
    <t xml:space="preserve">https://app.clickup.com/t/86ac01rbn</t>
  </si>
  <si>
    <t xml:space="preserve">86aby2gtp</t>
  </si>
  <si>
    <t xml:space="preserve">CADEIRA-VERTTA-PRO-PRETO</t>
  </si>
  <si>
    <t xml:space="preserve">https://app.clickup.com/t/86aby2gtp</t>
  </si>
  <si>
    <t xml:space="preserve">86abqjwz7</t>
  </si>
  <si>
    <t xml:space="preserve">https://app.clickup.com/t/86abqjwz7</t>
  </si>
  <si>
    <t xml:space="preserve">86abqjwxd</t>
  </si>
  <si>
    <t xml:space="preserve">https://app.clickup.com/t/86abqjwxd</t>
  </si>
  <si>
    <t xml:space="preserve">86abq155x</t>
  </si>
  <si>
    <t xml:space="preserve">Cadastrar Produto Novo Betttanin -- 685130</t>
  </si>
  <si>
    <t xml:space="preserve">https://app.clickup.com/t/86abq155x</t>
  </si>
  <si>
    <t xml:space="preserve">86ac0mkk4</t>
  </si>
  <si>
    <t xml:space="preserve">https://app.clickup.com/t/86ac0mkk4</t>
  </si>
  <si>
    <t xml:space="preserve">86ac083mb</t>
  </si>
  <si>
    <t xml:space="preserve">https://app.clickup.com/t/86ac083mb</t>
  </si>
  <si>
    <t xml:space="preserve">86ac0jk07</t>
  </si>
  <si>
    <t xml:space="preserve">https://app.clickup.com/t/86ac0jk07</t>
  </si>
  <si>
    <t xml:space="preserve">86abxjbnf</t>
  </si>
  <si>
    <t xml:space="preserve">https://app.clickup.com/t/86abxjbnf</t>
  </si>
  <si>
    <t xml:space="preserve">86abwzwt4</t>
  </si>
  <si>
    <t xml:space="preserve">KIT SERRA MARMORE + 2 DICOS DE CORTE (VONDER)</t>
  </si>
  <si>
    <t xml:space="preserve">https://app.clickup.com/t/86abwzwt4</t>
  </si>
  <si>
    <t xml:space="preserve">86ac0jjwr</t>
  </si>
  <si>
    <t xml:space="preserve">https://app.clickup.com/t/86ac0jjwr</t>
  </si>
  <si>
    <t xml:space="preserve">86ac083fz</t>
  </si>
  <si>
    <t xml:space="preserve">https://app.clickup.com/t/86ac083fz</t>
  </si>
  <si>
    <t xml:space="preserve">86abqjx3a</t>
  </si>
  <si>
    <t xml:space="preserve">https://app.clickup.com/t/86abqjx3a</t>
  </si>
  <si>
    <t xml:space="preserve">86abnbzma</t>
  </si>
  <si>
    <t xml:space="preserve">https://app.clickup.com/t/86abnbzma</t>
  </si>
  <si>
    <t xml:space="preserve">86ac07kgr</t>
  </si>
  <si>
    <t xml:space="preserve">https://app.clickup.com/t/86ac07kgr</t>
  </si>
  <si>
    <t xml:space="preserve">86abxjbyh</t>
  </si>
  <si>
    <t xml:space="preserve">https://app.clickup.com/t/86abxjbyh</t>
  </si>
  <si>
    <t xml:space="preserve">86ac07keu</t>
  </si>
  <si>
    <t xml:space="preserve">https://app.clickup.com/t/86ac07keu</t>
  </si>
  <si>
    <t xml:space="preserve">86abvbthr</t>
  </si>
  <si>
    <t xml:space="preserve">https://app.clickup.com/t/86abvbthr</t>
  </si>
  <si>
    <t xml:space="preserve">86aby2gtt</t>
  </si>
  <si>
    <t xml:space="preserve">meli</t>
  </si>
  <si>
    <t xml:space="preserve">https://app.clickup.com/t/86aby2gtt</t>
  </si>
  <si>
    <t xml:space="preserve">86aby2gtu</t>
  </si>
  <si>
    <t xml:space="preserve">https://app.clickup.com/t/86aby2gtu</t>
  </si>
  <si>
    <t xml:space="preserve">86abmm2et</t>
  </si>
  <si>
    <t xml:space="preserve">preços</t>
  </si>
  <si>
    <t xml:space="preserve">https://app.clickup.com/t/86abmm2et</t>
  </si>
  <si>
    <t xml:space="preserve">86abxm25x</t>
  </si>
  <si>
    <t xml:space="preserve">Subir ARVORE-120</t>
  </si>
  <si>
    <t xml:space="preserve">https://app.clickup.com/t/86abxm25x</t>
  </si>
  <si>
    <t xml:space="preserve">86abw09en</t>
  </si>
  <si>
    <t xml:space="preserve">Kesia Caponi, Letícia Sakashita</t>
  </si>
  <si>
    <t xml:space="preserve">https://app.clickup.com/t/86abw09en</t>
  </si>
  <si>
    <t xml:space="preserve">86abxjbwd</t>
  </si>
  <si>
    <t xml:space="preserve">https://app.clickup.com/t/86abxjbwd</t>
  </si>
  <si>
    <t xml:space="preserve">86abwupkk</t>
  </si>
  <si>
    <t xml:space="preserve">https://app.clickup.com/t/86abwupkk</t>
  </si>
  <si>
    <t xml:space="preserve">86abubyf6</t>
  </si>
  <si>
    <t xml:space="preserve">https://app.clickup.com/t/86abubyf6</t>
  </si>
  <si>
    <t xml:space="preserve">86abw09fp</t>
  </si>
  <si>
    <t xml:space="preserve">https://app.clickup.com/t/86abw09fp</t>
  </si>
  <si>
    <t xml:space="preserve">86abu9gr6</t>
  </si>
  <si>
    <t xml:space="preserve">https://app.clickup.com/t/86abu9gr6</t>
  </si>
  <si>
    <t xml:space="preserve">86abmm27v</t>
  </si>
  <si>
    <t xml:space="preserve">https://app.clickup.com/t/86abmm27v</t>
  </si>
  <si>
    <t xml:space="preserve">86abvbtfy</t>
  </si>
  <si>
    <t xml:space="preserve">https://app.clickup.com/t/86abvbtfy</t>
  </si>
  <si>
    <t xml:space="preserve">86abemt7c</t>
  </si>
  <si>
    <t xml:space="preserve">https://app.clickup.com/t/86abemt7c</t>
  </si>
  <si>
    <t xml:space="preserve">86abckbnz</t>
  </si>
  <si>
    <t xml:space="preserve">Cadastrar Produto novo BOXER</t>
  </si>
  <si>
    <t xml:space="preserve">Polielly Morato, Giulia Fernandes, João Vitor Bernardeli, João Vithor Farias</t>
  </si>
  <si>
    <t xml:space="preserve">https://app.clickup.com/t/86abckbnz</t>
  </si>
  <si>
    <t xml:space="preserve">86abubybx</t>
  </si>
  <si>
    <t xml:space="preserve">https://app.clickup.com/t/86abubybx</t>
  </si>
  <si>
    <t xml:space="preserve">86abe1tu8</t>
  </si>
  <si>
    <t xml:space="preserve">https://app.clickup.com/t/86abe1tu8</t>
  </si>
  <si>
    <t xml:space="preserve">86abjw6d8</t>
  </si>
  <si>
    <t xml:space="preserve">Shoppe</t>
  </si>
  <si>
    <t xml:space="preserve">https://app.clickup.com/t/86abjw6d8</t>
  </si>
  <si>
    <t xml:space="preserve">86abjw4jz</t>
  </si>
  <si>
    <t xml:space="preserve">https://app.clickup.com/t/86abjw4jz</t>
  </si>
  <si>
    <t xml:space="preserve">86abeczyd</t>
  </si>
  <si>
    <t xml:space="preserve">https://app.clickup.com/t/86abeczyd</t>
  </si>
  <si>
    <t xml:space="preserve">86abeczrq</t>
  </si>
  <si>
    <t xml:space="preserve">https://app.clickup.com/t/86abeczrq</t>
  </si>
  <si>
    <t xml:space="preserve">86ab5bh1j</t>
  </si>
  <si>
    <t xml:space="preserve">Cadastrar Produto Novo MOVAL -- 1337345</t>
  </si>
  <si>
    <t xml:space="preserve">https://app.clickup.com/t/86ab5bh1j</t>
  </si>
  <si>
    <t xml:space="preserve">86abqjx20</t>
  </si>
  <si>
    <t xml:space="preserve">https://app.clickup.com/t/86abqjx20</t>
  </si>
  <si>
    <t xml:space="preserve">86ab6kxp5</t>
  </si>
  <si>
    <t xml:space="preserve">https://app.clickup.com/t/86ab6kxp5</t>
  </si>
  <si>
    <t xml:space="preserve">86ab6kxmu</t>
  </si>
  <si>
    <t xml:space="preserve">https://app.clickup.com/t/86ab6kxmu</t>
  </si>
  <si>
    <t xml:space="preserve">86ab6kxd2</t>
  </si>
  <si>
    <t xml:space="preserve">https://app.clickup.com/t/86ab6kxd2</t>
  </si>
  <si>
    <t xml:space="preserve">86ab5g7zp</t>
  </si>
  <si>
    <t xml:space="preserve">https://app.clickup.com/t/86ab5g7zp</t>
  </si>
  <si>
    <t xml:space="preserve">86ab4nqgx</t>
  </si>
  <si>
    <t xml:space="preserve">KIT'S SOLDA (TAN</t>
  </si>
  <si>
    <t xml:space="preserve">https://app.clickup.com/t/86ab4nqgx</t>
  </si>
  <si>
    <t xml:space="preserve">86abafv79</t>
  </si>
  <si>
    <t xml:space="preserve">https://app.clickup.com/t/86abafv79</t>
  </si>
  <si>
    <t xml:space="preserve">86ab20fxj</t>
  </si>
  <si>
    <t xml:space="preserve">https://app.clickup.com/t/86ab20fxj</t>
  </si>
  <si>
    <t xml:space="preserve">86ab0x8kf</t>
  </si>
  <si>
    <t xml:space="preserve">https://app.clickup.com/t/86ab0x8kf</t>
  </si>
  <si>
    <t xml:space="preserve">86aazun87</t>
  </si>
  <si>
    <t xml:space="preserve">Cadastrar Produto novo Moval  -- E173000243</t>
  </si>
  <si>
    <t xml:space="preserve">https://app.clickup.com/t/86aazun87</t>
  </si>
  <si>
    <t xml:space="preserve">86ab6kw3y</t>
  </si>
  <si>
    <t xml:space="preserve">https://app.clickup.com/t/86ab6kw3y</t>
  </si>
  <si>
    <t xml:space="preserve">86ab6kvng</t>
  </si>
  <si>
    <t xml:space="preserve">https://app.clickup.com/t/86ab6kvng</t>
  </si>
  <si>
    <t xml:space="preserve">86ab5hkuq</t>
  </si>
  <si>
    <t xml:space="preserve">https://app.clickup.com/t/86ab5hkuq</t>
  </si>
  <si>
    <t xml:space="preserve">86ab5bf2q</t>
  </si>
  <si>
    <t xml:space="preserve">Cadastrar Produto novo Aramoveis -- 399806</t>
  </si>
  <si>
    <t xml:space="preserve">https://app.clickup.com/t/86ab5bf2q</t>
  </si>
  <si>
    <t xml:space="preserve">86abjw58f</t>
  </si>
  <si>
    <t xml:space="preserve">https://app.clickup.com/t/86abjw58f</t>
  </si>
  <si>
    <t xml:space="preserve">86abnbzj5</t>
  </si>
  <si>
    <t xml:space="preserve">https://app.clickup.com/t/86abnbzj5</t>
  </si>
  <si>
    <t xml:space="preserve">86abed01c</t>
  </si>
  <si>
    <t xml:space="preserve">https://app.clickup.com/t/86abed01c</t>
  </si>
  <si>
    <t xml:space="preserve">86abgjmpu</t>
  </si>
  <si>
    <t xml:space="preserve">Precificação Shopee</t>
  </si>
  <si>
    <t xml:space="preserve">https://app.clickup.com/t/86abgjmpu</t>
  </si>
  <si>
    <t xml:space="preserve">86abcphvd</t>
  </si>
  <si>
    <t xml:space="preserve">https://app.clickup.com/t/86abcphvd</t>
  </si>
  <si>
    <t xml:space="preserve">86abch7b3</t>
  </si>
  <si>
    <t xml:space="preserve">Cadastrar produto novo LENOVO -- 351626</t>
  </si>
  <si>
    <t xml:space="preserve">https://app.clickup.com/t/86abch7b3</t>
  </si>
  <si>
    <t xml:space="preserve">86abbxn82</t>
  </si>
  <si>
    <t xml:space="preserve">Cadastrar Produto novo ACER -- 671930</t>
  </si>
  <si>
    <t xml:space="preserve">https://app.clickup.com/t/86abbxn82</t>
  </si>
  <si>
    <t xml:space="preserve">86abcpjqa</t>
  </si>
  <si>
    <t xml:space="preserve">https://app.clickup.com/t/86abcpjqa</t>
  </si>
  <si>
    <t xml:space="preserve">86abch0h5</t>
  </si>
  <si>
    <t xml:space="preserve">https://app.clickup.com/t/86abch0h5</t>
  </si>
  <si>
    <t xml:space="preserve">86abch090</t>
  </si>
  <si>
    <t xml:space="preserve">https://app.clickup.com/t/86abch090</t>
  </si>
  <si>
    <t xml:space="preserve">86abbjb21</t>
  </si>
  <si>
    <t xml:space="preserve">Cadastrar Produto Novo PADO -- 1194902 / 1195381</t>
  </si>
  <si>
    <t xml:space="preserve">https://app.clickup.com/t/86abbjb21</t>
  </si>
  <si>
    <t xml:space="preserve">86abemt30</t>
  </si>
  <si>
    <t xml:space="preserve">https://app.clickup.com/t/86abemt30</t>
  </si>
  <si>
    <t xml:space="preserve">86ab57v96</t>
  </si>
  <si>
    <t xml:space="preserve">https://app.clickup.com/t/86ab57v96</t>
  </si>
  <si>
    <t xml:space="preserve">86ab4durd</t>
  </si>
  <si>
    <t xml:space="preserve">https://app.clickup.com/t/86ab4durd</t>
  </si>
  <si>
    <t xml:space="preserve">86ab31zxb</t>
  </si>
  <si>
    <t xml:space="preserve">Cadastrar produto novo Bremen Bonificação -- 236577</t>
  </si>
  <si>
    <t xml:space="preserve">https://app.clickup.com/t/86ab31zxb</t>
  </si>
  <si>
    <t xml:space="preserve">86abbvy81</t>
  </si>
  <si>
    <t xml:space="preserve">https://app.clickup.com/t/86abbvy81</t>
  </si>
  <si>
    <t xml:space="preserve">86ab6kw1d</t>
  </si>
  <si>
    <t xml:space="preserve">https://app.clickup.com/t/86ab6kw1d</t>
  </si>
  <si>
    <t xml:space="preserve">86abe1ufq</t>
  </si>
  <si>
    <t xml:space="preserve">https://app.clickup.com/t/86abe1ufq</t>
  </si>
  <si>
    <t xml:space="preserve">86abe1tnf</t>
  </si>
  <si>
    <t xml:space="preserve">https://app.clickup.com/t/86abe1tnf</t>
  </si>
  <si>
    <t xml:space="preserve">86abbqeah</t>
  </si>
  <si>
    <t xml:space="preserve">https://app.clickup.com/t/86abbqeah</t>
  </si>
  <si>
    <t xml:space="preserve">86abcpjpf</t>
  </si>
  <si>
    <t xml:space="preserve">https://app.clickup.com/t/86abcpjpf</t>
  </si>
  <si>
    <t xml:space="preserve">86abch0fh</t>
  </si>
  <si>
    <t xml:space="preserve">https://app.clickup.com/t/86abch0fh</t>
  </si>
  <si>
    <t xml:space="preserve">86abceue3</t>
  </si>
  <si>
    <t xml:space="preserve">https://app.clickup.com/t/86abceue3</t>
  </si>
  <si>
    <t xml:space="preserve">86abbvy6b</t>
  </si>
  <si>
    <t xml:space="preserve">INFORMAÇÕES</t>
  </si>
  <si>
    <t xml:space="preserve">https://app.clickup.com/t/86abbvy6b</t>
  </si>
  <si>
    <t xml:space="preserve">86abbqe36</t>
  </si>
  <si>
    <t xml:space="preserve">https://app.clickup.com/t/86abbqe36</t>
  </si>
  <si>
    <t xml:space="preserve">86abbqdvf</t>
  </si>
  <si>
    <t xml:space="preserve">https://app.clickup.com/t/86abbqdvf</t>
  </si>
  <si>
    <t xml:space="preserve">86abafz9p</t>
  </si>
  <si>
    <t xml:space="preserve">https://app.clickup.com/t/86abafz9p</t>
  </si>
  <si>
    <t xml:space="preserve">86ab2xhax</t>
  </si>
  <si>
    <t xml:space="preserve">https://app.clickup.com/t/86ab2xhax</t>
  </si>
  <si>
    <t xml:space="preserve">86ab2xh48</t>
  </si>
  <si>
    <t xml:space="preserve">https://app.clickup.com/t/86ab2xh48</t>
  </si>
  <si>
    <t xml:space="preserve">86ab1qdad</t>
  </si>
  <si>
    <t xml:space="preserve">Cadastrar Produto novo Vonder -- 117215</t>
  </si>
  <si>
    <t xml:space="preserve">https://app.clickup.com/t/86ab1qdad</t>
  </si>
  <si>
    <t xml:space="preserve">86ab0wmh6</t>
  </si>
  <si>
    <t xml:space="preserve">https://app.clickup.com/t/86ab0wmh6</t>
  </si>
  <si>
    <t xml:space="preserve">86ab0fvnh</t>
  </si>
  <si>
    <t xml:space="preserve">https://app.clickup.com/t/86ab0fvnh</t>
  </si>
  <si>
    <t xml:space="preserve">86aazkwyh</t>
  </si>
  <si>
    <t xml:space="preserve">Cadastrar produto novo Camesa -- 162910</t>
  </si>
  <si>
    <t xml:space="preserve">https://app.clickup.com/t/86aazkwyh</t>
  </si>
  <si>
    <t xml:space="preserve">86aa45w2m</t>
  </si>
  <si>
    <t xml:space="preserve">https://app.clickup.com/t/86aa45w2m</t>
  </si>
  <si>
    <t xml:space="preserve">86aa3d0r1</t>
  </si>
  <si>
    <t xml:space="preserve">https://app.clickup.com/t/86aa3d0r1</t>
  </si>
  <si>
    <t xml:space="preserve">86a9zycp5</t>
  </si>
  <si>
    <t xml:space="preserve">Kit roupão</t>
  </si>
  <si>
    <t xml:space="preserve">https://app.clickup.com/t/86a9zycp5</t>
  </si>
  <si>
    <t xml:space="preserve">86aaznkfn</t>
  </si>
  <si>
    <t xml:space="preserve">Cadastrar produto novo Sparta -- 020140</t>
  </si>
  <si>
    <t xml:space="preserve">https://app.clickup.com/t/86aaznkfn</t>
  </si>
  <si>
    <t xml:space="preserve">86aacy0yz</t>
  </si>
  <si>
    <t xml:space="preserve">Kits da Elgin (KIT-2UN-PILHA-REC-2500MAH-4UND E KIT-CARREG-COM-PILHA)</t>
  </si>
  <si>
    <t xml:space="preserve">Letícia Sakashita, João Vitor Bernardeli, Polielly Morato</t>
  </si>
  <si>
    <t xml:space="preserve">https://app.clickup.com/t/86aacy0yz</t>
  </si>
  <si>
    <t xml:space="preserve">86ab7wmq5</t>
  </si>
  <si>
    <t xml:space="preserve">KIT 2 BALDES 10L</t>
  </si>
  <si>
    <t xml:space="preserve">https://app.clickup.com/t/86ab7wmq5</t>
  </si>
  <si>
    <t xml:space="preserve">86ab2ywda</t>
  </si>
  <si>
    <t xml:space="preserve">Precifi</t>
  </si>
  <si>
    <t xml:space="preserve">https://app.clickup.com/t/86ab2ywda</t>
  </si>
  <si>
    <t xml:space="preserve">86ab28y16</t>
  </si>
  <si>
    <t xml:space="preserve">https://app.clickup.com/t/86ab28y16</t>
  </si>
  <si>
    <t xml:space="preserve">86ab21wxr</t>
  </si>
  <si>
    <t xml:space="preserve">Cadastrar Produto novo Garthen -- 942319</t>
  </si>
  <si>
    <t xml:space="preserve">https://app.clickup.com/t/86ab21wxr</t>
  </si>
  <si>
    <t xml:space="preserve">86abafz2a</t>
  </si>
  <si>
    <t xml:space="preserve">https://app.clickup.com/t/86abafz2a</t>
  </si>
  <si>
    <t xml:space="preserve">86ab8aa73</t>
  </si>
  <si>
    <t xml:space="preserve">https://app.clickup.com/t/86ab8aa73</t>
  </si>
  <si>
    <t xml:space="preserve">86ab8dbqf</t>
  </si>
  <si>
    <t xml:space="preserve">REFAZER ANÚNCIO DO BALDE DOBRAVEL</t>
  </si>
  <si>
    <t xml:space="preserve">https://app.clickup.com/t/86ab8dbqf</t>
  </si>
  <si>
    <t xml:space="preserve">86ab8aa5g</t>
  </si>
  <si>
    <t xml:space="preserve">https://app.clickup.com/t/86ab8aa5g</t>
  </si>
  <si>
    <t xml:space="preserve">86ab57ve5</t>
  </si>
  <si>
    <t xml:space="preserve">https://app.clickup.com/t/86ab57ve5</t>
  </si>
  <si>
    <t xml:space="preserve">86ab0t7ky</t>
  </si>
  <si>
    <t xml:space="preserve">https://app.clickup.com/t/86ab0t7ky</t>
  </si>
  <si>
    <t xml:space="preserve">86ab03n1c</t>
  </si>
  <si>
    <t xml:space="preserve">https://app.clickup.com/t/86ab03n1c</t>
  </si>
  <si>
    <t xml:space="preserve">86aazkvw5</t>
  </si>
  <si>
    <t xml:space="preserve">Cadastrar produto novo Menegotti - 462043</t>
  </si>
  <si>
    <t xml:space="preserve">https://app.clickup.com/t/86aazkvw5</t>
  </si>
  <si>
    <t xml:space="preserve">86ab5g89f</t>
  </si>
  <si>
    <t xml:space="preserve">https://app.clickup.com/t/86ab5g89f</t>
  </si>
  <si>
    <t xml:space="preserve">86ab5hm14</t>
  </si>
  <si>
    <t xml:space="preserve">https://app.clickup.com/t/86ab5hm14</t>
  </si>
  <si>
    <t xml:space="preserve">86ab57vht</t>
  </si>
  <si>
    <t xml:space="preserve">https://app.clickup.com/t/86ab57vht</t>
  </si>
  <si>
    <t xml:space="preserve">86ab5g88m</t>
  </si>
  <si>
    <t xml:space="preserve">https://app.clickup.com/t/86ab5g88m</t>
  </si>
  <si>
    <t xml:space="preserve">86ab5hkzm</t>
  </si>
  <si>
    <t xml:space="preserve">https://app.clickup.com/t/86ab5hkzm</t>
  </si>
  <si>
    <t xml:space="preserve">86ab4duyt</t>
  </si>
  <si>
    <t xml:space="preserve">https://app.clickup.com/t/86ab4duyt</t>
  </si>
  <si>
    <t xml:space="preserve">86ab4duwu</t>
  </si>
  <si>
    <t xml:space="preserve">https://app.clickup.com/t/86ab4duwu</t>
  </si>
  <si>
    <t xml:space="preserve">86ab0t8ux</t>
  </si>
  <si>
    <t xml:space="preserve">https://app.clickup.com/t/86ab0t8ux</t>
  </si>
  <si>
    <t xml:space="preserve">86ab0up4c</t>
  </si>
  <si>
    <t xml:space="preserve">https://app.clickup.com/t/86ab0up4c</t>
  </si>
  <si>
    <t xml:space="preserve">86ab2ywgf</t>
  </si>
  <si>
    <t xml:space="preserve">https://app.clickup.com/t/86ab2ywgf</t>
  </si>
  <si>
    <t xml:space="preserve">86ab2xha0</t>
  </si>
  <si>
    <t xml:space="preserve">https://app.clickup.com/t/86ab2xha0</t>
  </si>
  <si>
    <t xml:space="preserve">86aa8wr74</t>
  </si>
  <si>
    <t xml:space="preserve">Cadastrar Produto novo - Fame</t>
  </si>
  <si>
    <t xml:space="preserve">https://app.clickup.com/t/86aa8wr74</t>
  </si>
  <si>
    <t xml:space="preserve">86ab0wmvz</t>
  </si>
  <si>
    <t xml:space="preserve">https://app.clickup.com/t/86ab0wmvz</t>
  </si>
  <si>
    <t xml:space="preserve">86ab20m0h</t>
  </si>
  <si>
    <t xml:space="preserve">https://app.clickup.com/t/86ab20m0h</t>
  </si>
  <si>
    <t xml:space="preserve">86ab28zdf</t>
  </si>
  <si>
    <t xml:space="preserve">https://app.clickup.com/t/86ab28zdf</t>
  </si>
  <si>
    <t xml:space="preserve">86ab2aquw</t>
  </si>
  <si>
    <t xml:space="preserve">https://app.clickup.com/t/86ab2aquw</t>
  </si>
  <si>
    <t xml:space="preserve">86ab20kbc</t>
  </si>
  <si>
    <t xml:space="preserve">https://app.clickup.com/t/86ab20kbc</t>
  </si>
  <si>
    <t xml:space="preserve">86aav3ya8</t>
  </si>
  <si>
    <t xml:space="preserve">https://app.clickup.com/t/86aav3ya8</t>
  </si>
  <si>
    <t xml:space="preserve">86ab0wn3d</t>
  </si>
  <si>
    <t xml:space="preserve">https://app.clickup.com/t/86ab0wn3d</t>
  </si>
  <si>
    <t xml:space="preserve">86ab0t8qe</t>
  </si>
  <si>
    <t xml:space="preserve">https://app.clickup.com/t/86ab0t8qe</t>
  </si>
  <si>
    <t xml:space="preserve">86ab0nnmg</t>
  </si>
  <si>
    <t xml:space="preserve">https://app.clickup.com/t/86ab0nnmg</t>
  </si>
  <si>
    <t xml:space="preserve">86ab0nnby</t>
  </si>
  <si>
    <t xml:space="preserve">Letícia Sakashita, João Vithor Farias</t>
  </si>
  <si>
    <t xml:space="preserve">https://app.clickup.com/t/86ab0nnby</t>
  </si>
  <si>
    <t xml:space="preserve">86aazzgrm</t>
  </si>
  <si>
    <t xml:space="preserve">https://app.clickup.com/t/86aazzgrm</t>
  </si>
  <si>
    <t xml:space="preserve">86aaznqjr</t>
  </si>
  <si>
    <t xml:space="preserve">Cadastrar produto novo Sparta -- 020133</t>
  </si>
  <si>
    <t xml:space="preserve">https://app.clickup.com/t/86aaznqjr</t>
  </si>
  <si>
    <t xml:space="preserve">86a93n934</t>
  </si>
  <si>
    <t xml:space="preserve">produtos de curva C</t>
  </si>
  <si>
    <t xml:space="preserve">https://app.clickup.com/t/86a93n934</t>
  </si>
  <si>
    <t xml:space="preserve">86a93n8zd</t>
  </si>
  <si>
    <t xml:space="preserve">produtos de curva B</t>
  </si>
  <si>
    <t xml:space="preserve">https://app.clickup.com/t/86a93n8zd</t>
  </si>
  <si>
    <t xml:space="preserve">86a93n8qp</t>
  </si>
  <si>
    <t xml:space="preserve">produtos de curva A</t>
  </si>
  <si>
    <t xml:space="preserve">https://app.clickup.com/t/86a93n8qp</t>
  </si>
  <si>
    <t xml:space="preserve">86a8xu7w1</t>
  </si>
  <si>
    <t xml:space="preserve">PI na Shopee Oficial</t>
  </si>
  <si>
    <t xml:space="preserve">https://app.clickup.com/t/86a8xu7w1</t>
  </si>
  <si>
    <t xml:space="preserve">86ab28zb1</t>
  </si>
  <si>
    <t xml:space="preserve">https://app.clickup.com/t/86ab28zb1</t>
  </si>
  <si>
    <t xml:space="preserve">86ab0x8r7</t>
  </si>
  <si>
    <t xml:space="preserve">https://app.clickup.com/t/86ab0x8r7</t>
  </si>
  <si>
    <t xml:space="preserve">86aad2evz</t>
  </si>
  <si>
    <t xml:space="preserve">Cadastrar produto novo - Elgin</t>
  </si>
  <si>
    <t xml:space="preserve">https://app.clickup.com/t/86aad2evz</t>
  </si>
  <si>
    <t xml:space="preserve">86aav3xtu</t>
  </si>
  <si>
    <t xml:space="preserve">https://app.clickup.com/t/86aav3xtu</t>
  </si>
  <si>
    <t xml:space="preserve">86aatnqya</t>
  </si>
  <si>
    <t xml:space="preserve">https://app.clickup.com/t/86aatnqya</t>
  </si>
  <si>
    <t xml:space="preserve">86aat4qr3</t>
  </si>
  <si>
    <t xml:space="preserve">Cadastrar Produto Novo - TEKNA</t>
  </si>
  <si>
    <t xml:space="preserve">https://app.clickup.com/t/86aat4qr3</t>
  </si>
  <si>
    <t xml:space="preserve">86aatyu0p</t>
  </si>
  <si>
    <t xml:space="preserve">https://app.clickup.com/t/86aatyu0p</t>
  </si>
  <si>
    <t xml:space="preserve">86aatvb6r</t>
  </si>
  <si>
    <t xml:space="preserve">Cadastrar Produto Novo - Menegotti</t>
  </si>
  <si>
    <t xml:space="preserve">https://app.clickup.com/t/86aatvb6r</t>
  </si>
  <si>
    <t xml:space="preserve">86aa5k4tw</t>
  </si>
  <si>
    <t xml:space="preserve">Cadastrar Produto novos - Elements</t>
  </si>
  <si>
    <t xml:space="preserve">https://app.clickup.com/t/86aa5k4tw</t>
  </si>
  <si>
    <t xml:space="preserve">86aat3mrw</t>
  </si>
  <si>
    <t xml:space="preserve">https://app.clickup.com/t/86aat3mrw</t>
  </si>
  <si>
    <t xml:space="preserve">86aanujmc</t>
  </si>
  <si>
    <t xml:space="preserve">https://app.clickup.com/t/86aanujmc</t>
  </si>
  <si>
    <t xml:space="preserve">86aajvbgm</t>
  </si>
  <si>
    <t xml:space="preserve">Novos Produtos PADO</t>
  </si>
  <si>
    <t xml:space="preserve">https://app.clickup.com/t/86aajvbgm</t>
  </si>
  <si>
    <t xml:space="preserve">86aa5kj6c</t>
  </si>
  <si>
    <t xml:space="preserve">Produto novo - Menegotti</t>
  </si>
  <si>
    <t xml:space="preserve">https://app.clickup.com/t/86aa5kj6c</t>
  </si>
  <si>
    <t xml:space="preserve">86ab0fvrb</t>
  </si>
  <si>
    <t xml:space="preserve">https://app.clickup.com/t/86ab0fvrb</t>
  </si>
  <si>
    <t xml:space="preserve">86ab03neb</t>
  </si>
  <si>
    <t xml:space="preserve">https://app.clickup.com/t/86ab03neb</t>
  </si>
  <si>
    <t xml:space="preserve">86ab0x8qd</t>
  </si>
  <si>
    <t xml:space="preserve">https://app.clickup.com/t/86ab0x8qd</t>
  </si>
  <si>
    <t xml:space="preserve">86aajqdwk</t>
  </si>
  <si>
    <t xml:space="preserve">Cadastrar Produtos Novos - ToolsWord</t>
  </si>
  <si>
    <t xml:space="preserve">https://app.clickup.com/t/86aajqdwk</t>
  </si>
  <si>
    <t xml:space="preserve">86ab0nnqa</t>
  </si>
  <si>
    <t xml:space="preserve">https://app.clickup.com/t/86ab0nnqa</t>
  </si>
  <si>
    <t xml:space="preserve">86aav3ha8</t>
  </si>
  <si>
    <t xml:space="preserve">https://app.clickup.com/t/86aav3ha8</t>
  </si>
  <si>
    <t xml:space="preserve">86aar61x4</t>
  </si>
  <si>
    <t xml:space="preserve">https://app.clickup.com/t/86aar61x4</t>
  </si>
  <si>
    <t xml:space="preserve">86aakcghr</t>
  </si>
  <si>
    <t xml:space="preserve">Cadastrar Produto novo - Elements</t>
  </si>
  <si>
    <t xml:space="preserve">https://app.clickup.com/t/86aakcghr</t>
  </si>
  <si>
    <t xml:space="preserve">86ab0up0p</t>
  </si>
  <si>
    <t xml:space="preserve">https://app.clickup.com/t/86ab0up0p</t>
  </si>
  <si>
    <t xml:space="preserve">86ab0unwe</t>
  </si>
  <si>
    <t xml:space="preserve">https://app.clickup.com/t/86ab0unwe</t>
  </si>
  <si>
    <t xml:space="preserve">86ab01u7n</t>
  </si>
  <si>
    <t xml:space="preserve">https://app.clickup.com/t/86ab01u7n</t>
  </si>
  <si>
    <t xml:space="preserve">86aav1eqp</t>
  </si>
  <si>
    <t xml:space="preserve">https://app.clickup.com/t/86aav1eqp</t>
  </si>
  <si>
    <t xml:space="preserve">86aatz5d7</t>
  </si>
  <si>
    <t xml:space="preserve">https://app.clickup.com/t/86aatz5d7</t>
  </si>
  <si>
    <t xml:space="preserve">86aat7523</t>
  </si>
  <si>
    <t xml:space="preserve">NOVOS PRODUTOS PHILCO (VENTILADORES)</t>
  </si>
  <si>
    <t xml:space="preserve">https://app.clickup.com/t/86aat7523</t>
  </si>
  <si>
    <t xml:space="preserve">86aafkvwn</t>
  </si>
  <si>
    <t xml:space="preserve">NOVOS PRODUTOS ELETROPLAS</t>
  </si>
  <si>
    <t xml:space="preserve">https://app.clickup.com/t/86aafkvwn</t>
  </si>
  <si>
    <t xml:space="preserve">86aazzhpz</t>
  </si>
  <si>
    <t xml:space="preserve">https://app.clickup.com/t/86aazzhpz</t>
  </si>
  <si>
    <t xml:space="preserve">86aaav8r6</t>
  </si>
  <si>
    <t xml:space="preserve">Disjuntores Elgin</t>
  </si>
  <si>
    <t xml:space="preserve">https://app.clickup.com/t/86aaav8r6</t>
  </si>
  <si>
    <t xml:space="preserve">86ab0fvq2</t>
  </si>
  <si>
    <t xml:space="preserve">https://app.clickup.com/t/86ab0fvq2</t>
  </si>
  <si>
    <t xml:space="preserve">86ab03n9b</t>
  </si>
  <si>
    <t xml:space="preserve">https://app.clickup.com/t/86ab03n9b</t>
  </si>
  <si>
    <t xml:space="preserve">86ab01u3n</t>
  </si>
  <si>
    <t xml:space="preserve">https://app.clickup.com/t/86ab01u3n</t>
  </si>
  <si>
    <t xml:space="preserve">86ab01twd</t>
  </si>
  <si>
    <t xml:space="preserve">https://app.clickup.com/t/86ab01twd</t>
  </si>
  <si>
    <t xml:space="preserve">86aazzh3q</t>
  </si>
  <si>
    <t xml:space="preserve">https://app.clickup.com/t/86aazzh3q</t>
  </si>
  <si>
    <t xml:space="preserve">86aaztm6v</t>
  </si>
  <si>
    <t xml:space="preserve">BOMBA-HIDRO-ECH-75I-1</t>
  </si>
  <si>
    <t xml:space="preserve">https://app.clickup.com/t/86aaztm6v</t>
  </si>
  <si>
    <t xml:space="preserve">86aaztm3f</t>
  </si>
  <si>
    <t xml:space="preserve">BOMBA-PERIF-EP50</t>
  </si>
  <si>
    <t xml:space="preserve">https://app.clickup.com/t/86aaztm3f</t>
  </si>
  <si>
    <t xml:space="preserve">86aaztkzg</t>
  </si>
  <si>
    <t xml:space="preserve">BOMBA-HIDRO-ECH-100I-1</t>
  </si>
  <si>
    <t xml:space="preserve">https://app.clickup.com/t/86aaztkzg</t>
  </si>
  <si>
    <t xml:space="preserve">86aaztkw2</t>
  </si>
  <si>
    <t xml:space="preserve">CONTR-PRESS-CAE-10-1</t>
  </si>
  <si>
    <t xml:space="preserve">https://app.clickup.com/t/86aaztkw2</t>
  </si>
  <si>
    <t xml:space="preserve">86aaztkqw</t>
  </si>
  <si>
    <t xml:space="preserve">BOMBA-HIDRO-ECH-50I-1</t>
  </si>
  <si>
    <t xml:space="preserve">https://app.clickup.com/t/86aaztkqw</t>
  </si>
  <si>
    <t xml:space="preserve">86aaztkmf</t>
  </si>
  <si>
    <t xml:space="preserve">BOMBA-SUBMER-MBC-100</t>
  </si>
  <si>
    <t xml:space="preserve">https://app.clickup.com/t/86aaztkmf</t>
  </si>
  <si>
    <t xml:space="preserve">86aaef4q7</t>
  </si>
  <si>
    <t xml:space="preserve">Cadastrar Produto Novo - Garthen/eletroplas</t>
  </si>
  <si>
    <t xml:space="preserve">https://app.clickup.com/t/86aaef4q7</t>
  </si>
  <si>
    <t xml:space="preserve">86aanvvt1</t>
  </si>
  <si>
    <t xml:space="preserve">https://app.clickup.com/t/86aanvvt1</t>
  </si>
  <si>
    <t xml:space="preserve">86aamqe3m</t>
  </si>
  <si>
    <t xml:space="preserve">Cadastrar produto novo - SCHULZ</t>
  </si>
  <si>
    <t xml:space="preserve">https://app.clickup.com/t/86aamqe3m</t>
  </si>
  <si>
    <t xml:space="preserve">86aaw9gn6</t>
  </si>
  <si>
    <t xml:space="preserve">https://app.clickup.com/t/86aaw9gn6</t>
  </si>
  <si>
    <t xml:space="preserve">86aanrc03</t>
  </si>
  <si>
    <t xml:space="preserve">https://app.clickup.com/t/86aanrc03</t>
  </si>
  <si>
    <t xml:space="preserve">86aam2n2t</t>
  </si>
  <si>
    <t xml:space="preserve">Cadastrar Produto novo - BREMEM</t>
  </si>
  <si>
    <t xml:space="preserve">https://app.clickup.com/t/86aam2n2t</t>
  </si>
  <si>
    <t xml:space="preserve">86aawfyyp</t>
  </si>
  <si>
    <t xml:space="preserve">https://app.clickup.com/t/86aawfyyp</t>
  </si>
  <si>
    <t xml:space="preserve">86aawfyab</t>
  </si>
  <si>
    <t xml:space="preserve">https://app.clickup.com/t/86aawfyab</t>
  </si>
  <si>
    <t xml:space="preserve">86aaphtrt</t>
  </si>
  <si>
    <t xml:space="preserve">Cadastrar Produto novo - Menegotti</t>
  </si>
  <si>
    <t xml:space="preserve">https://app.clickup.com/t/86aaphtrt</t>
  </si>
  <si>
    <t xml:space="preserve">86aaq2rvf</t>
  </si>
  <si>
    <t xml:space="preserve">https://app.clickup.com/t/86aaq2rvf</t>
  </si>
  <si>
    <t xml:space="preserve">86aayknf0</t>
  </si>
  <si>
    <t xml:space="preserve">Subir Anuncio Meli (SUPORTE-ESME-LSET45) - LYNUS</t>
  </si>
  <si>
    <t xml:space="preserve">https://app.clickup.com/t/86aayknf0</t>
  </si>
  <si>
    <t xml:space="preserve">86aap10ya</t>
  </si>
  <si>
    <t xml:space="preserve">https://app.clickup.com/t/86aap10ya</t>
  </si>
  <si>
    <t xml:space="preserve">86aap10ty</t>
  </si>
  <si>
    <t xml:space="preserve">https://app.clickup.com/t/86aap10ty</t>
  </si>
  <si>
    <t xml:space="preserve">86aak95at</t>
  </si>
  <si>
    <t xml:space="preserve">Cadastrar Produtos Novos - Higiban</t>
  </si>
  <si>
    <t xml:space="preserve">https://app.clickup.com/t/86aak95at</t>
  </si>
  <si>
    <t xml:space="preserve">86aaw9jw7</t>
  </si>
  <si>
    <t xml:space="preserve">https://app.clickup.com/t/86aaw9jw7</t>
  </si>
  <si>
    <t xml:space="preserve">86aatz5f8</t>
  </si>
  <si>
    <t xml:space="preserve">https://app.clickup.com/t/86aatz5f8</t>
  </si>
  <si>
    <t xml:space="preserve">86aar62an</t>
  </si>
  <si>
    <t xml:space="preserve">https://app.clickup.com/t/86aar62an</t>
  </si>
  <si>
    <t xml:space="preserve">86aaq2t4c</t>
  </si>
  <si>
    <t xml:space="preserve">https://app.clickup.com/t/86aaq2t4c</t>
  </si>
  <si>
    <t xml:space="preserve">86aanrc29</t>
  </si>
  <si>
    <t xml:space="preserve">https://app.clickup.com/t/86aanrc29</t>
  </si>
  <si>
    <t xml:space="preserve">86aav3ht7</t>
  </si>
  <si>
    <t xml:space="preserve">https://app.clickup.com/t/86aav3ht7</t>
  </si>
  <si>
    <t xml:space="preserve">86aaw9h9g</t>
  </si>
  <si>
    <t xml:space="preserve">https://app.clickup.com/t/86aaw9h9g</t>
  </si>
  <si>
    <t xml:space="preserve">86aap10x5</t>
  </si>
  <si>
    <t xml:space="preserve">https://app.clickup.com/t/86aap10x5</t>
  </si>
  <si>
    <t xml:space="preserve">86aav3hy0</t>
  </si>
  <si>
    <t xml:space="preserve">https://app.clickup.com/t/86aav3hy0</t>
  </si>
  <si>
    <t xml:space="preserve">86aav6mpu</t>
  </si>
  <si>
    <t xml:space="preserve">https://app.clickup.com/t/86aav6mpu</t>
  </si>
  <si>
    <t xml:space="preserve">86aav6n03</t>
  </si>
  <si>
    <t xml:space="preserve">https://app.clickup.com/t/86aav6n03</t>
  </si>
  <si>
    <t xml:space="preserve">86aav6mw7</t>
  </si>
  <si>
    <t xml:space="preserve">https://app.clickup.com/t/86aav6mw7</t>
  </si>
  <si>
    <t xml:space="preserve">86aatnr3b</t>
  </si>
  <si>
    <t xml:space="preserve">https://app.clickup.com/t/86aatnr3b</t>
  </si>
  <si>
    <t xml:space="preserve">86aandtha</t>
  </si>
  <si>
    <t xml:space="preserve">https://app.clickup.com/t/86aandtha</t>
  </si>
  <si>
    <t xml:space="preserve">86aandr0v</t>
  </si>
  <si>
    <t xml:space="preserve">https://app.clickup.com/t/86aandr0v</t>
  </si>
  <si>
    <t xml:space="preserve">86aaneafh</t>
  </si>
  <si>
    <t xml:space="preserve">https://app.clickup.com/t/86aaneafh</t>
  </si>
  <si>
    <t xml:space="preserve">86aanea8t</t>
  </si>
  <si>
    <t xml:space="preserve">https://app.clickup.com/t/86aanea8t</t>
  </si>
  <si>
    <t xml:space="preserve">86aane97e</t>
  </si>
  <si>
    <t xml:space="preserve">https://app.clickup.com/t/86aane97e</t>
  </si>
  <si>
    <t xml:space="preserve">86aane938</t>
  </si>
  <si>
    <t xml:space="preserve">https://app.clickup.com/t/86aane938</t>
  </si>
  <si>
    <t xml:space="preserve">86aagaw5q</t>
  </si>
  <si>
    <t xml:space="preserve">CADASTRO DE PRODUTOS ENERBRAS</t>
  </si>
  <si>
    <t xml:space="preserve">https://app.clickup.com/t/86aagaw5q</t>
  </si>
  <si>
    <t xml:space="preserve">86aat3mxz</t>
  </si>
  <si>
    <t xml:space="preserve">https://app.clickup.com/t/86aat3mxz</t>
  </si>
  <si>
    <t xml:space="preserve">86aav1f4r</t>
  </si>
  <si>
    <t xml:space="preserve">https://app.clickup.com/t/86aav1f4r</t>
  </si>
  <si>
    <t xml:space="preserve">86aav1dam</t>
  </si>
  <si>
    <t xml:space="preserve">https://app.clickup.com/t/86aav1dam</t>
  </si>
  <si>
    <t xml:space="preserve">86aav1d7b</t>
  </si>
  <si>
    <t xml:space="preserve">https://app.clickup.com/t/86aav1d7b</t>
  </si>
  <si>
    <t xml:space="preserve">86aav1d0z</t>
  </si>
  <si>
    <t xml:space="preserve">João Vithor Farias, Marcos Luciano Domus</t>
  </si>
  <si>
    <t xml:space="preserve">https://app.clickup.com/t/86aav1d0z</t>
  </si>
  <si>
    <t xml:space="preserve">86aatyufm</t>
  </si>
  <si>
    <t xml:space="preserve">https://app.clickup.com/t/86aatyufm</t>
  </si>
  <si>
    <t xml:space="preserve">86aa45uvc</t>
  </si>
  <si>
    <t xml:space="preserve">https://app.clickup.com/t/86aa45uvc</t>
  </si>
  <si>
    <t xml:space="preserve">86aa45uva</t>
  </si>
  <si>
    <t xml:space="preserve">https://app.clickup.com/t/86aa45uva</t>
  </si>
  <si>
    <t xml:space="preserve">86aa45uv9</t>
  </si>
  <si>
    <t xml:space="preserve">AIR-FRYER-PRAT-FRY-1400W</t>
  </si>
  <si>
    <t xml:space="preserve">https://app.clickup.com/t/86aa45uv9</t>
  </si>
  <si>
    <t xml:space="preserve">86aatz5ep</t>
  </si>
  <si>
    <t xml:space="preserve">https://app.clickup.com/t/86aatz5ep</t>
  </si>
  <si>
    <t xml:space="preserve">86aakert6</t>
  </si>
  <si>
    <t xml:space="preserve">MACACO-JACARE-2T-MALETA</t>
  </si>
  <si>
    <t xml:space="preserve">https://app.clickup.com/t/86aakert6</t>
  </si>
  <si>
    <t xml:space="preserve">86aatyu31</t>
  </si>
  <si>
    <t xml:space="preserve">https://app.clickup.com/t/86aatyu31</t>
  </si>
  <si>
    <t xml:space="preserve">86aatnr1u</t>
  </si>
  <si>
    <t xml:space="preserve">https://app.clickup.com/t/86aatnr1u</t>
  </si>
  <si>
    <t xml:space="preserve">86aanvvxv</t>
  </si>
  <si>
    <t xml:space="preserve">https://app.clickup.com/t/86aanvvxv</t>
  </si>
  <si>
    <t xml:space="preserve">86aanujqg</t>
  </si>
  <si>
    <t xml:space="preserve">https://app.clickup.com/t/86aanujqg</t>
  </si>
  <si>
    <t xml:space="preserve">86aa27dza</t>
  </si>
  <si>
    <t xml:space="preserve">https://app.clickup.com/t/86aa27dza</t>
  </si>
  <si>
    <t xml:space="preserve">86a9yvv4a</t>
  </si>
  <si>
    <t xml:space="preserve">Produtos novos Ajax (Lonas)</t>
  </si>
  <si>
    <t xml:space="preserve">https://app.clickup.com/t/86a9yvv4a</t>
  </si>
  <si>
    <t xml:space="preserve">86aa169dq</t>
  </si>
  <si>
    <t xml:space="preserve">Castrasto Fotos</t>
  </si>
  <si>
    <t xml:space="preserve">https://app.clickup.com/t/86aa169dq</t>
  </si>
  <si>
    <t xml:space="preserve">86aa01rvp</t>
  </si>
  <si>
    <t xml:space="preserve">LONA-4X4-100G-150M-AJAX</t>
  </si>
  <si>
    <t xml:space="preserve">https://app.clickup.com/t/86aa01rvp</t>
  </si>
  <si>
    <t xml:space="preserve">86aa989jz</t>
  </si>
  <si>
    <t xml:space="preserve">Cadastrar Produto novo - Elgin</t>
  </si>
  <si>
    <t xml:space="preserve">https://app.clickup.com/t/86aa989jz</t>
  </si>
  <si>
    <t xml:space="preserve">86aafrbry</t>
  </si>
  <si>
    <t xml:space="preserve">FERRO-IRON-PRESS</t>
  </si>
  <si>
    <t xml:space="preserve">https://app.clickup.com/t/86aafrbry</t>
  </si>
  <si>
    <t xml:space="preserve">86aar627c</t>
  </si>
  <si>
    <t xml:space="preserve">https://app.clickup.com/t/86aar627c</t>
  </si>
  <si>
    <t xml:space="preserve">86aaq2ryt</t>
  </si>
  <si>
    <t xml:space="preserve">https://app.clickup.com/t/86aaq2ryt</t>
  </si>
  <si>
    <t xml:space="preserve">86aam64tp</t>
  </si>
  <si>
    <t xml:space="preserve">https://app.clickup.com/t/86aam64tp</t>
  </si>
  <si>
    <t xml:space="preserve">86aandtmc</t>
  </si>
  <si>
    <t xml:space="preserve">https://app.clickup.com/t/86aandtmc</t>
  </si>
  <si>
    <t xml:space="preserve">86aane9b4</t>
  </si>
  <si>
    <t xml:space="preserve">https://app.clickup.com/t/86aane9b4</t>
  </si>
  <si>
    <t xml:space="preserve">86aana22d</t>
  </si>
  <si>
    <t xml:space="preserve">https://app.clickup.com/t/86aana22d</t>
  </si>
  <si>
    <t xml:space="preserve">86aanvvwx</t>
  </si>
  <si>
    <t xml:space="preserve">https://app.clickup.com/t/86aanvvwx</t>
  </si>
  <si>
    <t xml:space="preserve">86aamj99y</t>
  </si>
  <si>
    <t xml:space="preserve">Camarim Sonhos - Moval</t>
  </si>
  <si>
    <t xml:space="preserve">https://app.clickup.com/t/86aamj99y</t>
  </si>
  <si>
    <t xml:space="preserve">86aakex6x</t>
  </si>
  <si>
    <t xml:space="preserve">CADASTRAR SKU NOVO MOVAL</t>
  </si>
  <si>
    <t xml:space="preserve">https://app.clickup.com/t/86aakex6x</t>
  </si>
  <si>
    <t xml:space="preserve">86aacxm8p</t>
  </si>
  <si>
    <t xml:space="preserve">https://app.clickup.com/t/86aacxm8p</t>
  </si>
  <si>
    <t xml:space="preserve">86aanrc1w</t>
  </si>
  <si>
    <t xml:space="preserve">https://app.clickup.com/t/86aanrc1w</t>
  </si>
  <si>
    <t xml:space="preserve">86aanujq1</t>
  </si>
  <si>
    <t xml:space="preserve">https://app.clickup.com/t/86aanujq1</t>
  </si>
  <si>
    <t xml:space="preserve">86aana293</t>
  </si>
  <si>
    <t xml:space="preserve">https://app.clickup.com/t/86aana293</t>
  </si>
  <si>
    <t xml:space="preserve">86aakmbk7</t>
  </si>
  <si>
    <t xml:space="preserve">https://app.clickup.com/t/86aakmbk7</t>
  </si>
  <si>
    <t xml:space="preserve">86aakmb8k</t>
  </si>
  <si>
    <t xml:space="preserve">CAdastro</t>
  </si>
  <si>
    <t xml:space="preserve">https://app.clickup.com/t/86aakmb8k</t>
  </si>
  <si>
    <t xml:space="preserve">86aana1pn</t>
  </si>
  <si>
    <t xml:space="preserve">https://app.clickup.com/t/86aana1pn</t>
  </si>
  <si>
    <t xml:space="preserve">86aa95kym</t>
  </si>
  <si>
    <t xml:space="preserve">https://app.clickup.com/t/86aa95kym</t>
  </si>
  <si>
    <t xml:space="preserve">86aa6w6uy</t>
  </si>
  <si>
    <t xml:space="preserve">Cadastrar Produtos novos - Elgin</t>
  </si>
  <si>
    <t xml:space="preserve">https://app.clickup.com/t/86aa6w6uy</t>
  </si>
  <si>
    <t xml:space="preserve">86a9mg188</t>
  </si>
  <si>
    <t xml:space="preserve">Cadastrar PFV 120I - PR</t>
  </si>
  <si>
    <t xml:space="preserve">https://app.clickup.com/t/86a9mg188</t>
  </si>
  <si>
    <t xml:space="preserve">86aa26bf8</t>
  </si>
  <si>
    <t xml:space="preserve">https://app.clickup.com/t/86aa26bf8</t>
  </si>
  <si>
    <t xml:space="preserve">86aa26b3t</t>
  </si>
  <si>
    <t xml:space="preserve">https://app.clickup.com/t/86aa26b3t</t>
  </si>
  <si>
    <t xml:space="preserve">86aakmbmm</t>
  </si>
  <si>
    <t xml:space="preserve">imagens</t>
  </si>
  <si>
    <t xml:space="preserve">https://app.clickup.com/t/86aakmbmm</t>
  </si>
  <si>
    <t xml:space="preserve">86aam64mz</t>
  </si>
  <si>
    <t xml:space="preserve">https://app.clickup.com/t/86aam64mz</t>
  </si>
  <si>
    <t xml:space="preserve">86aam64aq</t>
  </si>
  <si>
    <t xml:space="preserve">https://app.clickup.com/t/86aam64aq</t>
  </si>
  <si>
    <t xml:space="preserve">86aa26b7t</t>
  </si>
  <si>
    <t xml:space="preserve">https://app.clickup.com/t/86aa26b7t</t>
  </si>
  <si>
    <t xml:space="preserve">86aaejab8</t>
  </si>
  <si>
    <t xml:space="preserve">PRODUTOS MOVAL</t>
  </si>
  <si>
    <t xml:space="preserve">https://app.clickup.com/t/86aaejab8</t>
  </si>
  <si>
    <t xml:space="preserve">86aa02kdg</t>
  </si>
  <si>
    <t xml:space="preserve">LONA-3X2-150M-BRA-AJAX</t>
  </si>
  <si>
    <t xml:space="preserve">https://app.clickup.com/t/86aa02kdg</t>
  </si>
  <si>
    <t xml:space="preserve">86a91zrcc</t>
  </si>
  <si>
    <t xml:space="preserve">Cadastrar Novos Produtos Vonder</t>
  </si>
  <si>
    <t xml:space="preserve">https://app.clickup.com/t/86a91zrcc</t>
  </si>
  <si>
    <t xml:space="preserve">86a9depvd</t>
  </si>
  <si>
    <t xml:space="preserve">LANTERNA-CABEÇA-REC-LCV400</t>
  </si>
  <si>
    <t xml:space="preserve">https://app.clickup.com/t/86a9depvd</t>
  </si>
  <si>
    <t xml:space="preserve">86a9gryhv</t>
  </si>
  <si>
    <t xml:space="preserve">LAV-ALT-PRES-LAV1600I-VONDER</t>
  </si>
  <si>
    <t xml:space="preserve">https://app.clickup.com/t/86a9gryhv</t>
  </si>
  <si>
    <t xml:space="preserve">86aadafk4</t>
  </si>
  <si>
    <t xml:space="preserve">https://app.clickup.com/t/86aadafk4</t>
  </si>
  <si>
    <t xml:space="preserve">86aacwv8n</t>
  </si>
  <si>
    <t xml:space="preserve">CHUVEIROS INTENSE FAME</t>
  </si>
  <si>
    <t xml:space="preserve">https://app.clickup.com/t/86aacwv8n</t>
  </si>
  <si>
    <t xml:space="preserve">86aacxm76</t>
  </si>
  <si>
    <t xml:space="preserve">https://app.clickup.com/t/86aacxm76</t>
  </si>
  <si>
    <t xml:space="preserve">86aa86c7b</t>
  </si>
  <si>
    <t xml:space="preserve">Otimizar fotos TRAV-LATEX-SPAZIO</t>
  </si>
  <si>
    <t xml:space="preserve">https://app.clickup.com/t/86aa86c7b</t>
  </si>
  <si>
    <t xml:space="preserve">86aa3d0vn</t>
  </si>
  <si>
    <t xml:space="preserve">Imagens</t>
  </si>
  <si>
    <t xml:space="preserve">https://app.clickup.com/t/86aa3d0vn</t>
  </si>
  <si>
    <t xml:space="preserve">86aa3p4jb</t>
  </si>
  <si>
    <t xml:space="preserve">https://app.clickup.com/t/86aa3p4jb</t>
  </si>
  <si>
    <t xml:space="preserve">86a9v6dqf</t>
  </si>
  <si>
    <t xml:space="preserve">Produto novo Titanium</t>
  </si>
  <si>
    <t xml:space="preserve">https://app.clickup.com/t/86a9v6dqf</t>
  </si>
  <si>
    <t xml:space="preserve">86aa3p55e</t>
  </si>
  <si>
    <t xml:space="preserve">https://app.clickup.com/t/86aa3p55e</t>
  </si>
  <si>
    <t xml:space="preserve">86aa96auc</t>
  </si>
  <si>
    <t xml:space="preserve">https://app.clickup.com/t/86aa96auc</t>
  </si>
  <si>
    <t xml:space="preserve">86aa45uyk</t>
  </si>
  <si>
    <t xml:space="preserve">https://app.clickup.com/t/86aa45uyk</t>
  </si>
  <si>
    <t xml:space="preserve">86aa96apd</t>
  </si>
  <si>
    <t xml:space="preserve">https://app.clickup.com/t/86aa96apd</t>
  </si>
  <si>
    <t xml:space="preserve">86aa95kxv</t>
  </si>
  <si>
    <t xml:space="preserve">https://app.clickup.com/t/86aa95kxv</t>
  </si>
  <si>
    <t xml:space="preserve">86aa394dc</t>
  </si>
  <si>
    <t xml:space="preserve">KIT-TOALHA-BANH-ROST-SPIN</t>
  </si>
  <si>
    <t xml:space="preserve">https://app.clickup.com/t/86aa394dc</t>
  </si>
  <si>
    <t xml:space="preserve">86a9q2a00</t>
  </si>
  <si>
    <t xml:space="preserve">Colchões + PROT-90</t>
  </si>
  <si>
    <t xml:space="preserve">https://app.clickup.com/t/86a9q2a00</t>
  </si>
  <si>
    <t xml:space="preserve">86aa27e2v</t>
  </si>
  <si>
    <t xml:space="preserve">https://app.clickup.com/t/86aa27e2v</t>
  </si>
  <si>
    <t xml:space="preserve">86a9vj6yr</t>
  </si>
  <si>
    <t xml:space="preserve">Descrição</t>
  </si>
  <si>
    <t xml:space="preserve">https://app.clickup.com/t/86a9vj6yr</t>
  </si>
  <si>
    <t xml:space="preserve">86a9vj6qb</t>
  </si>
  <si>
    <t xml:space="preserve">https://app.clickup.com/t/86a9vj6qb</t>
  </si>
  <si>
    <t xml:space="preserve">86a9gj0vq</t>
  </si>
  <si>
    <t xml:space="preserve">kit toalhas Spin e Dynamo (Rosto e Corpo)</t>
  </si>
  <si>
    <t xml:space="preserve">https://app.clickup.com/t/86a9gj0vq</t>
  </si>
  <si>
    <t xml:space="preserve">86aa272u2</t>
  </si>
  <si>
    <t xml:space="preserve">https://app.clickup.com/t/86aa272u2</t>
  </si>
  <si>
    <t xml:space="preserve">86aa1nue8</t>
  </si>
  <si>
    <t xml:space="preserve">CARREGAD-PILHAS-2UN-AA Elgin</t>
  </si>
  <si>
    <t xml:space="preserve">https://app.clickup.com/t/86aa1nue8</t>
  </si>
  <si>
    <t xml:space="preserve">86aa3p47z</t>
  </si>
  <si>
    <t xml:space="preserve">https://app.clickup.com/t/86aa3p47z</t>
  </si>
  <si>
    <t xml:space="preserve">86a9b1juq</t>
  </si>
  <si>
    <t xml:space="preserve">https://app.clickup.com/t/86a9b1juq</t>
  </si>
  <si>
    <t xml:space="preserve">86a97818t</t>
  </si>
  <si>
    <t xml:space="preserve">https://app.clickup.com/t/86a97818t</t>
  </si>
  <si>
    <t xml:space="preserve">86a97818k</t>
  </si>
  <si>
    <t xml:space="preserve">Toalhas Camesa pt 2</t>
  </si>
  <si>
    <t xml:space="preserve">https://app.clickup.com/t/86a97818k</t>
  </si>
  <si>
    <t xml:space="preserve">86a9gh1pj</t>
  </si>
  <si>
    <t xml:space="preserve">https://app.clickup.com/t/86a9gh1pj</t>
  </si>
  <si>
    <t xml:space="preserve">86a9g6kkt</t>
  </si>
  <si>
    <t xml:space="preserve">https://app.clickup.com/t/86a9g6kkt</t>
  </si>
  <si>
    <t xml:space="preserve">86a9g5v7z</t>
  </si>
  <si>
    <t xml:space="preserve">https://app.clickup.com/t/86a9g5v7z</t>
  </si>
  <si>
    <t xml:space="preserve">86a9ddj45</t>
  </si>
  <si>
    <t xml:space="preserve">KIT-COLCH-SOLT-D33-18X88X188-LENÇ-3PCS</t>
  </si>
  <si>
    <t xml:space="preserve">https://app.clickup.com/t/86a9ddj45</t>
  </si>
  <si>
    <t xml:space="preserve">86a9ddhx1</t>
  </si>
  <si>
    <t xml:space="preserve">KIT-COLCH-SOLT-D45-17X88X188-LENÇ-3PCS</t>
  </si>
  <si>
    <t xml:space="preserve">https://app.clickup.com/t/86a9ddhx1</t>
  </si>
  <si>
    <t xml:space="preserve">86a9ddhpm</t>
  </si>
  <si>
    <t xml:space="preserve">KIT-COLCH-SOLT-D45-18x78x188-LENÇ-3PCS</t>
  </si>
  <si>
    <t xml:space="preserve">https://app.clickup.com/t/86a9ddhpm</t>
  </si>
  <si>
    <t xml:space="preserve">86a9ddh4k</t>
  </si>
  <si>
    <t xml:space="preserve">KIT-COLCH-SOLT-D33-17X88X188-LENÇ-3PCS</t>
  </si>
  <si>
    <t xml:space="preserve">https://app.clickup.com/t/86a9ddh4k</t>
  </si>
  <si>
    <t xml:space="preserve">86a9ddghx</t>
  </si>
  <si>
    <t xml:space="preserve">Kits colchões com lençóis</t>
  </si>
  <si>
    <t xml:space="preserve">https://app.clickup.com/t/86a9ddghx</t>
  </si>
  <si>
    <t xml:space="preserve">86aa45uxz</t>
  </si>
  <si>
    <t xml:space="preserve">https://app.clickup.com/t/86aa45uxz</t>
  </si>
  <si>
    <t xml:space="preserve">86aa3p5cr</t>
  </si>
  <si>
    <t xml:space="preserve">https://app.clickup.com/t/86aa3p5cr</t>
  </si>
  <si>
    <t xml:space="preserve">86aa272zg</t>
  </si>
  <si>
    <t xml:space="preserve">https://app.clickup.com/t/86aa272zg</t>
  </si>
  <si>
    <t xml:space="preserve">86aa3jnnq</t>
  </si>
  <si>
    <t xml:space="preserve">https://app.clickup.com/t/86aa3jnnq</t>
  </si>
  <si>
    <t xml:space="preserve">86aa263j7</t>
  </si>
  <si>
    <t xml:space="preserve">https://app.clickup.com/t/86aa263j7</t>
  </si>
  <si>
    <t xml:space="preserve">86a9qr1mw</t>
  </si>
  <si>
    <t xml:space="preserve">Produtos Novos Elgin (Lâmpadas)</t>
  </si>
  <si>
    <t xml:space="preserve">https://app.clickup.com/t/86a9qr1mw</t>
  </si>
  <si>
    <t xml:space="preserve">86a9zvfzd</t>
  </si>
  <si>
    <t xml:space="preserve">https://app.clickup.com/t/86a9zvfzd</t>
  </si>
  <si>
    <t xml:space="preserve">86a9th9z5</t>
  </si>
  <si>
    <t xml:space="preserve">Novo produto: ESTEIRA-MECAN-BREMEN</t>
  </si>
  <si>
    <t xml:space="preserve">https://app.clickup.com/t/86a9th9z5</t>
  </si>
  <si>
    <t xml:space="preserve">86aa3d0u9</t>
  </si>
  <si>
    <t xml:space="preserve">Descritivo</t>
  </si>
  <si>
    <t xml:space="preserve">https://app.clickup.com/t/86aa3d0u9</t>
  </si>
  <si>
    <t xml:space="preserve">86a9v346j</t>
  </si>
  <si>
    <t xml:space="preserve">https://app.clickup.com/t/86a9v346j</t>
  </si>
  <si>
    <t xml:space="preserve">86a9d51v6</t>
  </si>
  <si>
    <t xml:space="preserve">Produto novo LYNUS</t>
  </si>
  <si>
    <t xml:space="preserve">https://app.clickup.com/t/86a9d51v6</t>
  </si>
  <si>
    <t xml:space="preserve">86a9hkwvf</t>
  </si>
  <si>
    <t xml:space="preserve">https://app.clickup.com/t/86a9hkwvf</t>
  </si>
  <si>
    <t xml:space="preserve">86a9hm0jd</t>
  </si>
  <si>
    <t xml:space="preserve">https://app.clickup.com/t/86a9hm0jd</t>
  </si>
  <si>
    <t xml:space="preserve">86a9v7t4e</t>
  </si>
  <si>
    <t xml:space="preserve">Cadastrar produto novo Lynus</t>
  </si>
  <si>
    <t xml:space="preserve">https://app.clickup.com/t/86a9v7t4e</t>
  </si>
  <si>
    <t xml:space="preserve">86aa1nxc1</t>
  </si>
  <si>
    <t xml:space="preserve">https://app.clickup.com/t/86aa1nxc1</t>
  </si>
  <si>
    <t xml:space="preserve">86aa1nx7h</t>
  </si>
  <si>
    <t xml:space="preserve">https://app.clickup.com/t/86aa1nx7h</t>
  </si>
  <si>
    <t xml:space="preserve">86aa1mxja</t>
  </si>
  <si>
    <t xml:space="preserve">https://app.clickup.com/t/86aa1mxja</t>
  </si>
  <si>
    <t xml:space="preserve">86aa1mxb1</t>
  </si>
  <si>
    <t xml:space="preserve">https://app.clickup.com/t/86aa1mxb1</t>
  </si>
  <si>
    <t xml:space="preserve">86aa1mxaz</t>
  </si>
  <si>
    <t xml:space="preserve">Travesseiros Ortobom</t>
  </si>
  <si>
    <t xml:space="preserve">https://app.clickup.com/t/86aa1mxaz</t>
  </si>
  <si>
    <t xml:space="preserve">86aa2731f</t>
  </si>
  <si>
    <t xml:space="preserve">https://app.clickup.com/t/86aa2731f</t>
  </si>
  <si>
    <t xml:space="preserve">86aa27e87</t>
  </si>
  <si>
    <t xml:space="preserve">https://app.clickup.com/t/86aa27e87</t>
  </si>
  <si>
    <t xml:space="preserve">86aa16660</t>
  </si>
  <si>
    <t xml:space="preserve">https://app.clickup.com/t/86aa16660</t>
  </si>
  <si>
    <t xml:space="preserve">86aa165xb</t>
  </si>
  <si>
    <t xml:space="preserve">https://app.clickup.com/t/86aa165xb</t>
  </si>
  <si>
    <t xml:space="preserve">86a9z8rzn</t>
  </si>
  <si>
    <t xml:space="preserve">CADASTRAR PRODUTO TINY LOND</t>
  </si>
  <si>
    <t xml:space="preserve">https://app.clickup.com/t/86a9z8rzn</t>
  </si>
  <si>
    <t xml:space="preserve">86a9jp9a4</t>
  </si>
  <si>
    <t xml:space="preserve">Cadastrar Produto novo Menegotti</t>
  </si>
  <si>
    <t xml:space="preserve">https://app.clickup.com/t/86a9jp9a4</t>
  </si>
  <si>
    <t xml:space="preserve">86a9wnr3w</t>
  </si>
  <si>
    <t xml:space="preserve">CHUV-INTENSE-FAME</t>
  </si>
  <si>
    <t xml:space="preserve">https://app.clickup.com/t/86a9wnr3w</t>
  </si>
  <si>
    <t xml:space="preserve">86a9zvh1q</t>
  </si>
  <si>
    <t xml:space="preserve">https://app.clickup.com/t/86a9zvh1q</t>
  </si>
  <si>
    <t xml:space="preserve">86aa24mrd</t>
  </si>
  <si>
    <t xml:space="preserve">https://app.clickup.com/t/86aa24mrd</t>
  </si>
  <si>
    <t xml:space="preserve">86aa169m5</t>
  </si>
  <si>
    <t xml:space="preserve">Cadastro Fotoss</t>
  </si>
  <si>
    <t xml:space="preserve">https://app.clickup.com/t/86aa169m5</t>
  </si>
  <si>
    <t xml:space="preserve">86aa1nxdz</t>
  </si>
  <si>
    <t xml:space="preserve">https://app.clickup.com/t/86aa1nxdz</t>
  </si>
  <si>
    <t xml:space="preserve">86aa1668a</t>
  </si>
  <si>
    <t xml:space="preserve">https://app.clickup.com/t/86aa1668a</t>
  </si>
  <si>
    <t xml:space="preserve">86a9v1q1w</t>
  </si>
  <si>
    <t xml:space="preserve">https://app.clickup.com/t/86a9v1q1w</t>
  </si>
  <si>
    <t xml:space="preserve">86a9zvh4m</t>
  </si>
  <si>
    <t xml:space="preserve">https://app.clickup.com/t/86a9zvh4m</t>
  </si>
  <si>
    <t xml:space="preserve">86a9yrdgf</t>
  </si>
  <si>
    <t xml:space="preserve">Subir novamente Clips negados pelo MELI Londrina e Itajaí (acredito que recusaram por bug)</t>
  </si>
  <si>
    <t xml:space="preserve">https://app.clickup.com/t/86a9yrdgf</t>
  </si>
  <si>
    <t xml:space="preserve">86a9vj72t</t>
  </si>
  <si>
    <t xml:space="preserve">https://app.clickup.com/t/86a9vj72t</t>
  </si>
  <si>
    <t xml:space="preserve">86a9v34m3</t>
  </si>
  <si>
    <t xml:space="preserve">https://app.clickup.com/t/86a9v34m3</t>
  </si>
  <si>
    <t xml:space="preserve">86a9v1q0z</t>
  </si>
  <si>
    <t xml:space="preserve">https://app.clickup.com/t/86a9v1q0z</t>
  </si>
  <si>
    <t xml:space="preserve">86a9v34k3</t>
  </si>
  <si>
    <t xml:space="preserve">https://app.clickup.com/t/86a9v34k3</t>
  </si>
  <si>
    <t xml:space="preserve">86a9pqv30</t>
  </si>
  <si>
    <t xml:space="preserve">Meli Precificação</t>
  </si>
  <si>
    <t xml:space="preserve">https://app.clickup.com/t/86a9pqv30</t>
  </si>
  <si>
    <t xml:space="preserve">86a9ddbaj</t>
  </si>
  <si>
    <t xml:space="preserve">Kits colchões com protetores</t>
  </si>
  <si>
    <t xml:space="preserve">https://app.clickup.com/t/86a9ddbaj</t>
  </si>
  <si>
    <t xml:space="preserve">86a9pnh81</t>
  </si>
  <si>
    <t xml:space="preserve">Shopee Oficial</t>
  </si>
  <si>
    <t xml:space="preserve">https://app.clickup.com/t/86a9pnh81</t>
  </si>
  <si>
    <t xml:space="preserve">86a9p6q7y</t>
  </si>
  <si>
    <t xml:space="preserve">https://app.clickup.com/t/86a9p6q7y</t>
  </si>
  <si>
    <t xml:space="preserve">86a9p116m</t>
  </si>
  <si>
    <t xml:space="preserve">Novos Produtos Menegotti</t>
  </si>
  <si>
    <t xml:space="preserve">https://app.clickup.com/t/86a9p116m</t>
  </si>
  <si>
    <t xml:space="preserve">86a9r0y7v</t>
  </si>
  <si>
    <t xml:space="preserve">kit fotos KIT-VIBRAD-CONCRE-MANGT
</t>
  </si>
  <si>
    <t xml:space="preserve">https://app.clickup.com/t/86a9r0y7v</t>
  </si>
  <si>
    <t xml:space="preserve">86a9pmytu</t>
  </si>
  <si>
    <t xml:space="preserve">Estoque e Custo</t>
  </si>
  <si>
    <t xml:space="preserve">https://app.clickup.com/t/86a9pmytu</t>
  </si>
  <si>
    <t xml:space="preserve">86a96mwpd</t>
  </si>
  <si>
    <t xml:space="preserve">Camesa Toalhas</t>
  </si>
  <si>
    <t xml:space="preserve">https://app.clickup.com/t/86a96mwpd</t>
  </si>
  <si>
    <t xml:space="preserve">86a9p6qr2</t>
  </si>
  <si>
    <t xml:space="preserve">https://app.clickup.com/t/86a9p6qr2</t>
  </si>
  <si>
    <t xml:space="preserve">86a9hqqbp</t>
  </si>
  <si>
    <t xml:space="preserve">ROUPAO-NEO P e M</t>
  </si>
  <si>
    <t xml:space="preserve">https://app.clickup.com/t/86a9hqqbp</t>
  </si>
  <si>
    <t xml:space="preserve">86a9g3578</t>
  </si>
  <si>
    <t xml:space="preserve">https://app.clickup.com/t/86a9g3578</t>
  </si>
  <si>
    <t xml:space="preserve">86a9ddd39</t>
  </si>
  <si>
    <t xml:space="preserve">KIT-COLCH-SOLT-D33-18X88X188-PROT-90</t>
  </si>
  <si>
    <t xml:space="preserve">https://app.clickup.com/t/86a9ddd39</t>
  </si>
  <si>
    <t xml:space="preserve">86a9eu4ue</t>
  </si>
  <si>
    <t xml:space="preserve">https://app.clickup.com/t/86a9eu4ue</t>
  </si>
  <si>
    <t xml:space="preserve">86a9ddbnw</t>
  </si>
  <si>
    <t xml:space="preserve">KIT-COLCH-SOLT-D45-17X88X188-PROT-90</t>
  </si>
  <si>
    <t xml:space="preserve">https://app.clickup.com/t/86a9ddbnw</t>
  </si>
  <si>
    <t xml:space="preserve">86a9em7qm</t>
  </si>
  <si>
    <t xml:space="preserve">https://app.clickup.com/t/86a9em7qm</t>
  </si>
  <si>
    <t xml:space="preserve">86a9ddbfa</t>
  </si>
  <si>
    <t xml:space="preserve">KIT-COLCH-SOLT-D33-17X88X188-PROT-90</t>
  </si>
  <si>
    <t xml:space="preserve">https://app.clickup.com/t/86a9ddbfa</t>
  </si>
  <si>
    <t xml:space="preserve">86a9ddbk3</t>
  </si>
  <si>
    <t xml:space="preserve">KIT-COLCH-SOLT-D45-18X78X188-PROT-90</t>
  </si>
  <si>
    <t xml:space="preserve">https://app.clickup.com/t/86a9ddbk3</t>
  </si>
  <si>
    <t xml:space="preserve">86a9p6qnn</t>
  </si>
  <si>
    <t xml:space="preserve">DESCRITIVO</t>
  </si>
  <si>
    <t xml:space="preserve">https://app.clickup.com/t/86a9p6qnn</t>
  </si>
  <si>
    <t xml:space="preserve">86a9hbfjt</t>
  </si>
  <si>
    <t xml:space="preserve">https://app.clickup.com/t/86a9hbfjt</t>
  </si>
  <si>
    <t xml:space="preserve">86a9cma57</t>
  </si>
  <si>
    <t xml:space="preserve">Criar Kit Lav. 1300 e Aspirador APV1010 VONDER</t>
  </si>
  <si>
    <t xml:space="preserve">https://app.clickup.com/t/86a9cma57</t>
  </si>
  <si>
    <t xml:space="preserve">86a8xzhu6</t>
  </si>
  <si>
    <t xml:space="preserve">ASPIRADOR-PÓ-APL-1200</t>
  </si>
  <si>
    <t xml:space="preserve">https://app.clickup.com/t/86a8xzhu6</t>
  </si>
  <si>
    <t xml:space="preserve">86a8y00h5</t>
  </si>
  <si>
    <t xml:space="preserve">https://app.clickup.com/t/86a8y00h5</t>
  </si>
  <si>
    <t xml:space="preserve">86a9c3ret</t>
  </si>
  <si>
    <t xml:space="preserve">Preço Baseado em Concorrente (Pá)</t>
  </si>
  <si>
    <t xml:space="preserve">https://app.clickup.com/t/86a9c3ret</t>
  </si>
  <si>
    <t xml:space="preserve">86a90907c</t>
  </si>
  <si>
    <t xml:space="preserve">Pá Noviça (abrir tarefa)</t>
  </si>
  <si>
    <t xml:space="preserve">https://app.clickup.com/t/86a90907c</t>
  </si>
  <si>
    <t xml:space="preserve">86a9hxqw2</t>
  </si>
  <si>
    <t xml:space="preserve">Fazer fotos para amazon</t>
  </si>
  <si>
    <t xml:space="preserve">João Vitor Bernardeli, Luis Goes</t>
  </si>
  <si>
    <t xml:space="preserve">https://app.clickup.com/t/86a9hxqw2</t>
  </si>
  <si>
    <t xml:space="preserve">86a9mkd3n</t>
  </si>
  <si>
    <t xml:space="preserve">https://app.clickup.com/t/86a9mkd3n</t>
  </si>
  <si>
    <t xml:space="preserve">86a9mkdcf</t>
  </si>
  <si>
    <t xml:space="preserve">https://app.clickup.com/t/86a9mkdcf</t>
  </si>
  <si>
    <t xml:space="preserve">86a9cmcku</t>
  </si>
  <si>
    <t xml:space="preserve">Criar Kit Lav. 1600 e Aspirador de Pó APV 1010 Vonder</t>
  </si>
  <si>
    <t xml:space="preserve">https://app.clickup.com/t/86a9cmcku</t>
  </si>
  <si>
    <t xml:space="preserve">86a9mkdf1</t>
  </si>
  <si>
    <t xml:space="preserve">https://app.clickup.com/t/86a9mkdf1</t>
  </si>
  <si>
    <t xml:space="preserve">86a9hmt6r</t>
  </si>
  <si>
    <t xml:space="preserve">https://app.clickup.com/t/86a9hmt6r</t>
  </si>
  <si>
    <t xml:space="preserve">86a9hmrpz</t>
  </si>
  <si>
    <t xml:space="preserve">Denzel</t>
  </si>
  <si>
    <t xml:space="preserve">https://app.clickup.com/t/86a9hmrpz</t>
  </si>
  <si>
    <t xml:space="preserve">86a9hmzek</t>
  </si>
  <si>
    <t xml:space="preserve">https://app.clickup.com/t/86a9hmzek</t>
  </si>
  <si>
    <t xml:space="preserve">86a9jz62d</t>
  </si>
  <si>
    <t xml:space="preserve">https://app.clickup.com/t/86a9jz62d</t>
  </si>
  <si>
    <t xml:space="preserve">86a90v2d6</t>
  </si>
  <si>
    <t xml:space="preserve">https://app.clickup.com/t/86a90v2d6</t>
  </si>
  <si>
    <t xml:space="preserve">86a90uy09</t>
  </si>
  <si>
    <t xml:space="preserve">https://app.clickup.com/t/86a90uy09</t>
  </si>
  <si>
    <t xml:space="preserve">86a8zn0x6</t>
  </si>
  <si>
    <t xml:space="preserve">Elements</t>
  </si>
  <si>
    <t xml:space="preserve">https://app.clickup.com/t/86a8zn0x6</t>
  </si>
  <si>
    <t xml:space="preserve">86a9hmt08</t>
  </si>
  <si>
    <t xml:space="preserve">https://app.clickup.com/t/86a9hmt08</t>
  </si>
  <si>
    <t xml:space="preserve">86a9cjcrp</t>
  </si>
  <si>
    <t xml:space="preserve">https://app.clickup.com/t/86a9cjcrp</t>
  </si>
  <si>
    <t xml:space="preserve">86a9cjcat</t>
  </si>
  <si>
    <t xml:space="preserve">https://app.clickup.com/t/86a9cjcat</t>
  </si>
  <si>
    <t xml:space="preserve">86a9bhuf2</t>
  </si>
  <si>
    <t xml:space="preserve">Fazer kits de lona ajax com corda</t>
  </si>
  <si>
    <t xml:space="preserve">Polielly Morato, Letícia Sakashita, João Vitor Bernardeli</t>
  </si>
  <si>
    <t xml:space="preserve">https://app.clickup.com/t/86a9bhuf2</t>
  </si>
  <si>
    <t xml:space="preserve">86a9hbfpb</t>
  </si>
  <si>
    <t xml:space="preserve">https://app.clickup.com/t/86a9hbfpb</t>
  </si>
  <si>
    <t xml:space="preserve">86a9hm0mq</t>
  </si>
  <si>
    <t xml:space="preserve">https://app.clickup.com/t/86a9hm0mq</t>
  </si>
  <si>
    <t xml:space="preserve">86a9hmzhy</t>
  </si>
  <si>
    <t xml:space="preserve">https://app.clickup.com/t/86a9hmzhy</t>
  </si>
  <si>
    <t xml:space="preserve">86a9hmthv</t>
  </si>
  <si>
    <t xml:space="preserve">https://app.clickup.com/t/86a9hmthv</t>
  </si>
  <si>
    <t xml:space="preserve">86a9hmtdw</t>
  </si>
  <si>
    <t xml:space="preserve">https://app.clickup.com/t/86a9hmtdw</t>
  </si>
  <si>
    <t xml:space="preserve">86a9e9mw0</t>
  </si>
  <si>
    <t xml:space="preserve">https://app.clickup.com/t/86a9e9mw0</t>
  </si>
  <si>
    <t xml:space="preserve">86a9e9n1n</t>
  </si>
  <si>
    <t xml:space="preserve">https://app.clickup.com/t/86a9e9n1n</t>
  </si>
  <si>
    <t xml:space="preserve">86a9hcch2</t>
  </si>
  <si>
    <t xml:space="preserve">https://app.clickup.com/t/86a9hcch2</t>
  </si>
  <si>
    <t xml:space="preserve">86a9h99pg</t>
  </si>
  <si>
    <t xml:space="preserve">https://app.clickup.com/t/86a9h99pg</t>
  </si>
  <si>
    <t xml:space="preserve">86a9h95fq</t>
  </si>
  <si>
    <t xml:space="preserve">https://app.clickup.com/t/86a9h95fq</t>
  </si>
  <si>
    <t xml:space="preserve">86a9dpd3n</t>
  </si>
  <si>
    <t xml:space="preserve">COMPRESS-AUTO-CAV126-VONDER</t>
  </si>
  <si>
    <t xml:space="preserve">https://app.clickup.com/t/86a9dpd3n</t>
  </si>
  <si>
    <t xml:space="preserve">86a9dpcw8</t>
  </si>
  <si>
    <t xml:space="preserve">PAQUIMETRO-DIGITAL-IP67-PD152</t>
  </si>
  <si>
    <t xml:space="preserve">https://app.clickup.com/t/86a9dpcw8</t>
  </si>
  <si>
    <t xml:space="preserve">86a9edbrt</t>
  </si>
  <si>
    <t xml:space="preserve">Cadastrar produtos novos SPARTA</t>
  </si>
  <si>
    <t xml:space="preserve">https://app.clickup.com/t/86a9edbrt</t>
  </si>
  <si>
    <t xml:space="preserve">86a9ddkwu</t>
  </si>
  <si>
    <t xml:space="preserve">LIXADEIRA-ORBITAL-LRV350B</t>
  </si>
  <si>
    <t xml:space="preserve">https://app.clickup.com/t/86a9ddkwu</t>
  </si>
  <si>
    <t xml:space="preserve">86a9bp45e</t>
  </si>
  <si>
    <t xml:space="preserve">FURAD-IMPAC-PFV238I-VONDER</t>
  </si>
  <si>
    <t xml:space="preserve">https://app.clickup.com/t/86a9bp45e</t>
  </si>
  <si>
    <t xml:space="preserve">86a9bp51n</t>
  </si>
  <si>
    <t xml:space="preserve">ESCOVAS-FURAD-3PCS-VONDER</t>
  </si>
  <si>
    <t xml:space="preserve">https://app.clickup.com/t/86a9bp51n</t>
  </si>
  <si>
    <t xml:space="preserve">86a9bnzm9</t>
  </si>
  <si>
    <t xml:space="preserve">EXTRT-RLM-1/2A2POL-3GR-VONDER</t>
  </si>
  <si>
    <t xml:space="preserve">https://app.clickup.com/t/86a9bnzm9</t>
  </si>
  <si>
    <t xml:space="preserve">86a9gme40</t>
  </si>
  <si>
    <t xml:space="preserve">MELI inativou o anúncio pelas fotos dos PILLOW-TOP-SOLT-400F, alterar fotos de capa :(</t>
  </si>
  <si>
    <t xml:space="preserve">https://app.clickup.com/t/86a9gme40</t>
  </si>
  <si>
    <t xml:space="preserve">86a9526n9</t>
  </si>
  <si>
    <t xml:space="preserve">REMOV-PARABRISA-4PÇS-VONDER</t>
  </si>
  <si>
    <t xml:space="preserve">https://app.clickup.com/t/86a9526n9</t>
  </si>
  <si>
    <t xml:space="preserve">86a9gh2jc</t>
  </si>
  <si>
    <t xml:space="preserve">https://app.clickup.com/t/86a9gh2jc</t>
  </si>
  <si>
    <t xml:space="preserve">86a9gjb3z</t>
  </si>
  <si>
    <t xml:space="preserve">https://app.clickup.com/t/86a9gjb3z</t>
  </si>
  <si>
    <t xml:space="preserve">86a9g6kwg</t>
  </si>
  <si>
    <t xml:space="preserve">https://app.clickup.com/t/86a9g6kwg</t>
  </si>
  <si>
    <t xml:space="preserve">86a9g5ver</t>
  </si>
  <si>
    <t xml:space="preserve">https://app.clickup.com/t/86a9g5ver</t>
  </si>
  <si>
    <t xml:space="preserve">86a9bpbf8</t>
  </si>
  <si>
    <t xml:space="preserve">CATRACA-CC080-VONDER</t>
  </si>
  <si>
    <t xml:space="preserve">https://app.clickup.com/t/86a9bpbf8</t>
  </si>
  <si>
    <t xml:space="preserve">86a951uk5</t>
  </si>
  <si>
    <t xml:space="preserve">CATRACA-ARAME-VONDER</t>
  </si>
  <si>
    <t xml:space="preserve">https://app.clickup.com/t/86a951uk5</t>
  </si>
  <si>
    <t xml:space="preserve">86a9dbvhu</t>
  </si>
  <si>
    <t xml:space="preserve">CARREG-INTELIG-BAT-220V-240V-CIB200</t>
  </si>
  <si>
    <t xml:space="preserve">https://app.clickup.com/t/86a9dbvhu</t>
  </si>
  <si>
    <t xml:space="preserve">86a9gjb1y</t>
  </si>
  <si>
    <t xml:space="preserve">https://app.clickup.com/t/86a9gjb1y</t>
  </si>
  <si>
    <t xml:space="preserve">86a9g6kqq</t>
  </si>
  <si>
    <t xml:space="preserve">https://app.clickup.com/t/86a9g6kqq</t>
  </si>
  <si>
    <t xml:space="preserve">86a9g5vca</t>
  </si>
  <si>
    <t xml:space="preserve">descrição</t>
  </si>
  <si>
    <t xml:space="preserve">https://app.clickup.com/t/86a9g5vca</t>
  </si>
  <si>
    <t xml:space="preserve">86a9bnxm5</t>
  </si>
  <si>
    <t xml:space="preserve">CARREG-BATERIA-CIB003-VONDER</t>
  </si>
  <si>
    <t xml:space="preserve">https://app.clickup.com/t/86a9bnxm5</t>
  </si>
  <si>
    <t xml:space="preserve">86a9gh2fv</t>
  </si>
  <si>
    <t xml:space="preserve">https://app.clickup.com/t/86a9gh2fv</t>
  </si>
  <si>
    <t xml:space="preserve">86a9g35k7</t>
  </si>
  <si>
    <t xml:space="preserve">https://app.clickup.com/t/86a9g35k7</t>
  </si>
  <si>
    <t xml:space="preserve">86a9eu52g</t>
  </si>
  <si>
    <t xml:space="preserve">https://app.clickup.com/t/86a9eu52g</t>
  </si>
  <si>
    <t xml:space="preserve">86a9em8k0</t>
  </si>
  <si>
    <t xml:space="preserve">https://app.clickup.com/t/86a9em8k0</t>
  </si>
  <si>
    <t xml:space="preserve">86a9et7u8</t>
  </si>
  <si>
    <t xml:space="preserve">https://app.clickup.com/t/86a9et7u8</t>
  </si>
  <si>
    <t xml:space="preserve">86a9e9n3y</t>
  </si>
  <si>
    <t xml:space="preserve">https://app.clickup.com/t/86a9e9n3y</t>
  </si>
  <si>
    <t xml:space="preserve">86a9g359f</t>
  </si>
  <si>
    <t xml:space="preserve">https://app.clickup.com/t/86a9g359f</t>
  </si>
  <si>
    <t xml:space="preserve">86a9eu4zz</t>
  </si>
  <si>
    <t xml:space="preserve">https://app.clickup.com/t/86a9eu4zz</t>
  </si>
  <si>
    <t xml:space="preserve">86a9em83p</t>
  </si>
  <si>
    <t xml:space="preserve">https://app.clickup.com/t/86a9em83p</t>
  </si>
  <si>
    <t xml:space="preserve">86a9et7pp</t>
  </si>
  <si>
    <t xml:space="preserve">https://app.clickup.com/t/86a9et7pp</t>
  </si>
  <si>
    <t xml:space="preserve">86a93xxqd</t>
  </si>
  <si>
    <t xml:space="preserve">COMPRES-BIVOLT-CAV150-VONDER</t>
  </si>
  <si>
    <t xml:space="preserve">https://app.clickup.com/t/86a93xxqd</t>
  </si>
  <si>
    <t xml:space="preserve">86a93xx4e</t>
  </si>
  <si>
    <t xml:space="preserve">MARTELETE-1500N-VONDER</t>
  </si>
  <si>
    <t xml:space="preserve">https://app.clickup.com/t/86a93xx4e</t>
  </si>
  <si>
    <t xml:space="preserve">86a978k2c</t>
  </si>
  <si>
    <t xml:space="preserve">500 skus na Marca Vonder</t>
  </si>
  <si>
    <t xml:space="preserve">itajaí, meli</t>
  </si>
  <si>
    <t xml:space="preserve">https://app.clickup.com/t/86a978k2c</t>
  </si>
  <si>
    <t xml:space="preserve">86a8y02ky</t>
  </si>
  <si>
    <t xml:space="preserve">SHOPEE</t>
  </si>
  <si>
    <t xml:space="preserve">https://app.clickup.com/t/86a8y02ky</t>
  </si>
  <si>
    <t xml:space="preserve">86a8y01gz</t>
  </si>
  <si>
    <t xml:space="preserve">MELI</t>
  </si>
  <si>
    <t xml:space="preserve">https://app.clickup.com/t/86a8y01gz</t>
  </si>
  <si>
    <t xml:space="preserve">86a9c4gej</t>
  </si>
  <si>
    <t xml:space="preserve">Otimizar fotos dos Pillows São Bento</t>
  </si>
  <si>
    <t xml:space="preserve">https://app.clickup.com/t/86a9c4gej</t>
  </si>
  <si>
    <t xml:space="preserve">86a8y00ce</t>
  </si>
  <si>
    <t xml:space="preserve">https://app.clickup.com/t/86a8y00ce</t>
  </si>
  <si>
    <t xml:space="preserve">86a90uxy5</t>
  </si>
  <si>
    <t xml:space="preserve">https://app.clickup.com/t/86a90uxy5</t>
  </si>
  <si>
    <t xml:space="preserve">86a8zmym2</t>
  </si>
  <si>
    <t xml:space="preserve">Cadastrar produto novo Barzel</t>
  </si>
  <si>
    <t xml:space="preserve">https://app.clickup.com/t/86a8zmym2</t>
  </si>
  <si>
    <t xml:space="preserve">86a97km6p</t>
  </si>
  <si>
    <t xml:space="preserve">https://app.clickup.com/t/86a97km6p</t>
  </si>
  <si>
    <t xml:space="preserve">86a97km6m</t>
  </si>
  <si>
    <t xml:space="preserve">KIT-SECAD-ESCOVA-ELGIN</t>
  </si>
  <si>
    <t xml:space="preserve">https://app.clickup.com/t/86a97km6m</t>
  </si>
  <si>
    <t xml:space="preserve">86a9a97c3</t>
  </si>
  <si>
    <t xml:space="preserve">https://app.clickup.com/t/86a9a97c3</t>
  </si>
  <si>
    <t xml:space="preserve">86a9a9740</t>
  </si>
  <si>
    <t xml:space="preserve">https://app.clickup.com/t/86a9a9740</t>
  </si>
  <si>
    <t xml:space="preserve">86a9a7z27</t>
  </si>
  <si>
    <t xml:space="preserve">KIT-APLICADOR-PU</t>
  </si>
  <si>
    <t xml:space="preserve">https://app.clickup.com/t/86a9a7z27</t>
  </si>
  <si>
    <t xml:space="preserve">86a9cunt2</t>
  </si>
  <si>
    <t xml:space="preserve">SHOPEE LONDRINA</t>
  </si>
  <si>
    <t xml:space="preserve">https://app.clickup.com/t/86a9cunt2</t>
  </si>
  <si>
    <t xml:space="preserve">86a90v4hd</t>
  </si>
  <si>
    <t xml:space="preserve">https://app.clickup.com/t/86a90v4hd</t>
  </si>
  <si>
    <t xml:space="preserve">86a97kp3m</t>
  </si>
  <si>
    <t xml:space="preserve">https://app.clickup.com/t/86a97kp3m</t>
  </si>
  <si>
    <t xml:space="preserve">86a97km6u</t>
  </si>
  <si>
    <t xml:space="preserve">https://app.clickup.com/t/86a97km6u</t>
  </si>
  <si>
    <t xml:space="preserve">86a9cjcht</t>
  </si>
  <si>
    <t xml:space="preserve">https://app.clickup.com/t/86a9cjcht</t>
  </si>
  <si>
    <t xml:space="preserve">86a9c7u61</t>
  </si>
  <si>
    <t xml:space="preserve">https://app.clickup.com/t/86a9c7u61</t>
  </si>
  <si>
    <t xml:space="preserve">86a9c7ugm</t>
  </si>
  <si>
    <t xml:space="preserve">https://app.clickup.com/t/86a9c7ugm</t>
  </si>
  <si>
    <t xml:space="preserve">86a9c7udr</t>
  </si>
  <si>
    <t xml:space="preserve">https://app.clickup.com/t/86a9c7udr</t>
  </si>
  <si>
    <t xml:space="preserve">86a96mwpf</t>
  </si>
  <si>
    <t xml:space="preserve">https://app.clickup.com/t/86a96mwpf</t>
  </si>
  <si>
    <t xml:space="preserve">86a90984a</t>
  </si>
  <si>
    <t xml:space="preserve">Fazer balanço no estoque: 11 unidades</t>
  </si>
  <si>
    <t xml:space="preserve">https://app.clickup.com/t/86a90984a</t>
  </si>
  <si>
    <t xml:space="preserve">86a952vvj</t>
  </si>
  <si>
    <t xml:space="preserve">JOGO-FERRA-110PCS-VONDER</t>
  </si>
  <si>
    <t xml:space="preserve">https://app.clickup.com/t/86a952vvj</t>
  </si>
  <si>
    <t xml:space="preserve">86a952qdz</t>
  </si>
  <si>
    <t xml:space="preserve">CHAVE-COMBIN-6X32MM-26PÇ-954</t>
  </si>
  <si>
    <t xml:space="preserve">https://app.clickup.com/t/86a952qdz</t>
  </si>
  <si>
    <t xml:space="preserve">86a93xyd3</t>
  </si>
  <si>
    <t xml:space="preserve">MEDIDOR-LASER-VD40-VONDER</t>
  </si>
  <si>
    <t xml:space="preserve">https://app.clickup.com/t/86a93xyd3</t>
  </si>
  <si>
    <t xml:space="preserve">86a93xyzh</t>
  </si>
  <si>
    <t xml:space="preserve">APARA-GRAMA-AGV1000-VONDER</t>
  </si>
  <si>
    <t xml:space="preserve">https://app.clickup.com/t/86a93xyzh</t>
  </si>
  <si>
    <t xml:space="preserve">86a93xygh</t>
  </si>
  <si>
    <t xml:space="preserve">ESMER-ANGULAR-860N</t>
  </si>
  <si>
    <t xml:space="preserve">https://app.clickup.com/t/86a93xygh</t>
  </si>
  <si>
    <t xml:space="preserve">86a93xy5j</t>
  </si>
  <si>
    <t xml:space="preserve">ASPIRADOR-APV1010-VONDER</t>
  </si>
  <si>
    <t xml:space="preserve">https://app.clickup.com/t/86a93xy5j</t>
  </si>
  <si>
    <t xml:space="preserve">86a8v2j97</t>
  </si>
  <si>
    <t xml:space="preserve">Cadastrar Produto novo CAMESA</t>
  </si>
  <si>
    <t xml:space="preserve">https://app.clickup.com/t/86a8v2j97</t>
  </si>
  <si>
    <t xml:space="preserve">86a9b1d53</t>
  </si>
  <si>
    <t xml:space="preserve">Atualizar foto de capa petra (deixar apenas uma)</t>
  </si>
  <si>
    <t xml:space="preserve">https://app.clickup.com/t/86a9b1d53</t>
  </si>
  <si>
    <t xml:space="preserve">86a9a97gg</t>
  </si>
  <si>
    <t xml:space="preserve">https://app.clickup.com/t/86a9a97gg</t>
  </si>
  <si>
    <t xml:space="preserve">86a9b16r4</t>
  </si>
  <si>
    <t xml:space="preserve">SHOPEE MAIRON</t>
  </si>
  <si>
    <t xml:space="preserve">https://app.clickup.com/t/86a9b16r4</t>
  </si>
  <si>
    <t xml:space="preserve">86a952ywz</t>
  </si>
  <si>
    <t xml:space="preserve">CORT-PARED-CPV3150-VONDER</t>
  </si>
  <si>
    <t xml:space="preserve">https://app.clickup.com/t/86a952ywz</t>
  </si>
  <si>
    <t xml:space="preserve">86a978856</t>
  </si>
  <si>
    <t xml:space="preserve">ESTOQUE E CUSTO</t>
  </si>
  <si>
    <t xml:space="preserve">https://app.clickup.com/t/86a978856</t>
  </si>
  <si>
    <t xml:space="preserve">86a97kp1f</t>
  </si>
  <si>
    <t xml:space="preserve">https://app.clickup.com/t/86a97kp1f</t>
  </si>
  <si>
    <t xml:space="preserve">86a97kmpt</t>
  </si>
  <si>
    <t xml:space="preserve">https://app.clickup.com/t/86a97kmpt</t>
  </si>
  <si>
    <t xml:space="preserve">86a97818n</t>
  </si>
  <si>
    <t xml:space="preserve">https://app.clickup.com/t/86a97818n</t>
  </si>
  <si>
    <t xml:space="preserve">86a977p77</t>
  </si>
  <si>
    <t xml:space="preserve">https://app.clickup.com/t/86a977p77</t>
  </si>
  <si>
    <t xml:space="preserve">86a977pf2</t>
  </si>
  <si>
    <t xml:space="preserve">https://app.clickup.com/t/86a977pf2</t>
  </si>
  <si>
    <t xml:space="preserve">86a978hcp</t>
  </si>
  <si>
    <t xml:space="preserve">https://app.clickup.com/t/86a978hcp</t>
  </si>
  <si>
    <t xml:space="preserve">86a9ab01d</t>
  </si>
  <si>
    <t xml:space="preserve">CADEIRA-VERTTA-PRETA</t>
  </si>
  <si>
    <t xml:space="preserve">https://app.clickup.com/t/86a9ab01d</t>
  </si>
  <si>
    <t xml:space="preserve">86a90v4br</t>
  </si>
  <si>
    <t xml:space="preserve">https://app.clickup.com/t/86a90v4br</t>
  </si>
  <si>
    <t xml:space="preserve">86a90v4ke</t>
  </si>
  <si>
    <t xml:space="preserve">https://app.clickup.com/t/86a90v4ke</t>
  </si>
  <si>
    <t xml:space="preserve">86a977pgp</t>
  </si>
  <si>
    <t xml:space="preserve">https://app.clickup.com/t/86a977pgp</t>
  </si>
  <si>
    <t xml:space="preserve">86a8rrd7u</t>
  </si>
  <si>
    <t xml:space="preserve">Subir nota sparta - mundo das ferramentas</t>
  </si>
  <si>
    <t xml:space="preserve">https://app.clickup.com/t/86a8rrd7u</t>
  </si>
  <si>
    <t xml:space="preserve">86a8rujbr</t>
  </si>
  <si>
    <t xml:space="preserve">Selante PU40</t>
  </si>
  <si>
    <t xml:space="preserve">https://app.clickup.com/t/86a8rujbr</t>
  </si>
  <si>
    <t xml:space="preserve">86a91et8j</t>
  </si>
  <si>
    <t xml:space="preserve">Cadastrar produto novo Ajax</t>
  </si>
  <si>
    <t xml:space="preserve">https://app.clickup.com/t/86a91et8j</t>
  </si>
  <si>
    <t xml:space="preserve">86a90v3ex</t>
  </si>
  <si>
    <t xml:space="preserve">https://app.clickup.com/t/86a90v3ex</t>
  </si>
  <si>
    <t xml:space="preserve">86a97kmmn</t>
  </si>
  <si>
    <t xml:space="preserve">https://app.clickup.com/t/86a97kmmn</t>
  </si>
  <si>
    <t xml:space="preserve">86a978h57</t>
  </si>
  <si>
    <t xml:space="preserve">https://app.clickup.com/t/86a978h57</t>
  </si>
  <si>
    <t xml:space="preserve">86a8y017h</t>
  </si>
  <si>
    <t xml:space="preserve">DESCRIÇÃO</t>
  </si>
  <si>
    <t xml:space="preserve">https://app.clickup.com/t/86a8y017h</t>
  </si>
  <si>
    <t xml:space="preserve">86a94gj15</t>
  </si>
  <si>
    <t xml:space="preserve">https://app.clickup.com/t/86a94gj15</t>
  </si>
  <si>
    <t xml:space="preserve">86a8wc2r9</t>
  </si>
  <si>
    <t xml:space="preserve">Produtos Hydronorth</t>
  </si>
  <si>
    <t xml:space="preserve">https://app.clickup.com/t/86a8wc2r9</t>
  </si>
  <si>
    <t xml:space="preserve">86a96mwpk</t>
  </si>
  <si>
    <t xml:space="preserve">https://app.clickup.com/t/86a96mwpk</t>
  </si>
  <si>
    <t xml:space="preserve">86a94gj26</t>
  </si>
  <si>
    <t xml:space="preserve">https://app.clickup.com/t/86a94gj26</t>
  </si>
  <si>
    <t xml:space="preserve">86a8ztw20</t>
  </si>
  <si>
    <t xml:space="preserve">https://app.clickup.com/t/86a8ztw20</t>
  </si>
  <si>
    <t xml:space="preserve">86a91x1hv</t>
  </si>
  <si>
    <t xml:space="preserve">Clonar anúncio 5248567402 MELI Londrina (R$ 57,90)</t>
  </si>
  <si>
    <t xml:space="preserve">https://app.clickup.com/t/86a91x1hv</t>
  </si>
  <si>
    <t xml:space="preserve">86a94ze8m</t>
  </si>
  <si>
    <t xml:space="preserve">MLB5414637118 verificar se esse funciona</t>
  </si>
  <si>
    <t xml:space="preserve">https://app.clickup.com/t/86a94ze8m</t>
  </si>
  <si>
    <t xml:space="preserve">86a8ruk34</t>
  </si>
  <si>
    <t xml:space="preserve">SHOPEE ITJ</t>
  </si>
  <si>
    <t xml:space="preserve">https://app.clickup.com/t/86a8ruk34</t>
  </si>
  <si>
    <t xml:space="preserve">86a8rujga</t>
  </si>
  <si>
    <t xml:space="preserve">https://app.clickup.com/t/86a8rujga</t>
  </si>
  <si>
    <t xml:space="preserve">86a90v1xz</t>
  </si>
  <si>
    <t xml:space="preserve">https://app.clickup.com/t/86a90v1xz</t>
  </si>
  <si>
    <t xml:space="preserve">86a93zwk7</t>
  </si>
  <si>
    <t xml:space="preserve">Subir custo</t>
  </si>
  <si>
    <t xml:space="preserve">https://app.clickup.com/t/86a93zwk7</t>
  </si>
  <si>
    <t xml:space="preserve">86a90v422</t>
  </si>
  <si>
    <t xml:space="preserve">https://app.clickup.com/t/86a90v422</t>
  </si>
  <si>
    <t xml:space="preserve">86a93uemw</t>
  </si>
  <si>
    <t xml:space="preserve">BANCADA-MULTI-BM600</t>
  </si>
  <si>
    <t xml:space="preserve">https://app.clickup.com/t/86a93uemw</t>
  </si>
  <si>
    <t xml:space="preserve">86a9096x9</t>
  </si>
  <si>
    <t xml:space="preserve">Criar Cadastro</t>
  </si>
  <si>
    <t xml:space="preserve">https://app.clickup.com/t/86a9096x9</t>
  </si>
  <si>
    <t xml:space="preserve">86a90v31r</t>
  </si>
  <si>
    <t xml:space="preserve">https://app.clickup.com/t/86a90v31r</t>
  </si>
  <si>
    <t xml:space="preserve">86a90v0zr</t>
  </si>
  <si>
    <t xml:space="preserve">https://app.clickup.com/t/86a90v0zr</t>
  </si>
  <si>
    <t xml:space="preserve">86a90v3np</t>
  </si>
  <si>
    <t xml:space="preserve">https://app.clickup.com/t/86a90v3np</t>
  </si>
  <si>
    <t xml:space="preserve">86a90v30c</t>
  </si>
  <si>
    <t xml:space="preserve">https://app.clickup.com/t/86a90v30c</t>
  </si>
  <si>
    <t xml:space="preserve">86a90uy3m</t>
  </si>
  <si>
    <t xml:space="preserve">https://app.clickup.com/t/86a90uy3m</t>
  </si>
  <si>
    <t xml:space="preserve">86a8w1bf4</t>
  </si>
  <si>
    <t xml:space="preserve">https://app.clickup.com/t/86a8w1bf4</t>
  </si>
  <si>
    <t xml:space="preserve">86a8uxvja</t>
  </si>
  <si>
    <t xml:space="preserve">KIT TEKNA LAVADORA + ASPIRADOR</t>
  </si>
  <si>
    <t xml:space="preserve">https://app.clickup.com/t/86a8uxvja</t>
  </si>
  <si>
    <t xml:space="preserve">86a8z7c3w</t>
  </si>
  <si>
    <t xml:space="preserve">https://app.clickup.com/t/86a8z7c3w</t>
  </si>
  <si>
    <t xml:space="preserve">86a8z7cnj</t>
  </si>
  <si>
    <t xml:space="preserve">https://app.clickup.com/t/86a8z7cnj</t>
  </si>
  <si>
    <t xml:space="preserve">86a8xu15r</t>
  </si>
  <si>
    <t xml:space="preserve">MOTO-ESMERIL-350W-6POL</t>
  </si>
  <si>
    <t xml:space="preserve">https://app.clickup.com/t/86a8xu15r</t>
  </si>
  <si>
    <t xml:space="preserve">86a8xu1cz</t>
  </si>
  <si>
    <t xml:space="preserve">https://app.clickup.com/t/86a8xu1cz</t>
  </si>
  <si>
    <t xml:space="preserve">86a8y0f24</t>
  </si>
  <si>
    <t xml:space="preserve">https://app.clickup.com/t/86a8y0f24</t>
  </si>
  <si>
    <t xml:space="preserve">86a8w1bu2</t>
  </si>
  <si>
    <t xml:space="preserve">https://app.clickup.com/t/86a8w1bu2</t>
  </si>
  <si>
    <t xml:space="preserve">86a8uvb7k</t>
  </si>
  <si>
    <t xml:space="preserve">Cadastro Produto Bremen</t>
  </si>
  <si>
    <t xml:space="preserve">https://app.clickup.com/t/86a8uvb7k</t>
  </si>
  <si>
    <t xml:space="preserve">86a8uvr5a</t>
  </si>
  <si>
    <t xml:space="preserve">CADSTRO IMAGENS</t>
  </si>
  <si>
    <t xml:space="preserve">https://app.clickup.com/t/86a8uvr5a</t>
  </si>
  <si>
    <t xml:space="preserve">86a8uvqm3</t>
  </si>
  <si>
    <t xml:space="preserve">https://app.clickup.com/t/86a8uvqm3</t>
  </si>
  <si>
    <t xml:space="preserve">86a8z7ckg</t>
  </si>
  <si>
    <t xml:space="preserve">https://app.clickup.com/t/86a8z7ckg</t>
  </si>
  <si>
    <t xml:space="preserve">86a8wdtp8</t>
  </si>
  <si>
    <t xml:space="preserve">promoção nos produtos mundo das ferramentas</t>
  </si>
  <si>
    <t xml:space="preserve">https://app.clickup.com/t/86a8wdtp8</t>
  </si>
  <si>
    <t xml:space="preserve">86a8y0ere</t>
  </si>
  <si>
    <t xml:space="preserve">https://app.clickup.com/t/86a8y0ere</t>
  </si>
  <si>
    <t xml:space="preserve">86a8w8m7h</t>
  </si>
  <si>
    <t xml:space="preserve">Subir anúncios Lonas c/corda Shopee</t>
  </si>
  <si>
    <t xml:space="preserve">https://app.clickup.com/t/86a8w8m7h</t>
  </si>
  <si>
    <t xml:space="preserve">86a8y01aj</t>
  </si>
  <si>
    <t xml:space="preserve">https://app.clickup.com/t/86a8y01aj</t>
  </si>
  <si>
    <t xml:space="preserve">86a8v7rmy</t>
  </si>
  <si>
    <t xml:space="preserve">Subir Anuncio</t>
  </si>
  <si>
    <t xml:space="preserve">https://app.clickup.com/t/86a8v7rmy</t>
  </si>
  <si>
    <t xml:space="preserve">86a8ruwvv</t>
  </si>
  <si>
    <t xml:space="preserve">KIT-ARAME-SOLDA-LAM-0.9</t>
  </si>
  <si>
    <t xml:space="preserve">https://app.clickup.com/t/86a8ruwvv</t>
  </si>
  <si>
    <t xml:space="preserve">86a8ruw2m</t>
  </si>
  <si>
    <t xml:space="preserve">KIT-MAQUINA-SOLDA-250AL</t>
  </si>
  <si>
    <t xml:space="preserve">https://app.clickup.com/t/86a8ruw2m</t>
  </si>
  <si>
    <t xml:space="preserve">86a8ruv8v</t>
  </si>
  <si>
    <t xml:space="preserve">KIT-INVERSORA-SOLDA-LIM220I</t>
  </si>
  <si>
    <t xml:space="preserve">https://app.clickup.com/t/86a8ruv8v</t>
  </si>
  <si>
    <t xml:space="preserve">86a8ruuh2</t>
  </si>
  <si>
    <t xml:space="preserve">KIT-MAQUINA-SOLDA-LIM140</t>
  </si>
  <si>
    <t xml:space="preserve">https://app.clickup.com/t/86a8ruuh2</t>
  </si>
  <si>
    <t xml:space="preserve">86a8rutww</t>
  </si>
  <si>
    <t xml:space="preserve">KIT-MAQUINA-SOLDA-ISL165SB</t>
  </si>
  <si>
    <t xml:space="preserve">https://app.clickup.com/t/86a8rutww</t>
  </si>
  <si>
    <t xml:space="preserve">86a8rutcy</t>
  </si>
  <si>
    <t xml:space="preserve">Kits de Solda</t>
  </si>
  <si>
    <t xml:space="preserve">https://app.clickup.com/t/86a8rutcy</t>
  </si>
  <si>
    <t xml:space="preserve">86a8v80d4</t>
  </si>
  <si>
    <t xml:space="preserve">https://app.clickup.com/t/86a8v80d4</t>
  </si>
  <si>
    <t xml:space="preserve">86a8v7r0k</t>
  </si>
  <si>
    <t xml:space="preserve">https://app.clickup.com/t/86a8v7r0k</t>
  </si>
  <si>
    <t xml:space="preserve">86a8v7qqp</t>
  </si>
  <si>
    <t xml:space="preserve">https://app.clickup.com/t/86a8v7qqp</t>
  </si>
  <si>
    <t xml:space="preserve">86a8xu15w</t>
  </si>
  <si>
    <t xml:space="preserve">https://app.clickup.com/t/86a8xu15w</t>
  </si>
  <si>
    <t xml:space="preserve">86a8xu22z</t>
  </si>
  <si>
    <t xml:space="preserve">https://app.clickup.com/t/86a8xu22z</t>
  </si>
  <si>
    <t xml:space="preserve">86a8v7qcn</t>
  </si>
  <si>
    <t xml:space="preserve">https://app.clickup.com/t/86a8v7qcn</t>
  </si>
  <si>
    <t xml:space="preserve">86a8xu20c</t>
  </si>
  <si>
    <t xml:space="preserve">https://app.clickup.com/t/86a8xu20c</t>
  </si>
  <si>
    <t xml:space="preserve">86a8u4ha5</t>
  </si>
  <si>
    <t xml:space="preserve">Cadastro de Fotos</t>
  </si>
  <si>
    <t xml:space="preserve">https://app.clickup.com/t/86a8u4ha5</t>
  </si>
  <si>
    <t xml:space="preserve">86a8u4gvm</t>
  </si>
  <si>
    <t xml:space="preserve">https://app.clickup.com/t/86a8u4gvm</t>
  </si>
  <si>
    <t xml:space="preserve">86a8u4g79</t>
  </si>
  <si>
    <t xml:space="preserve">https://app.clickup.com/t/86a8u4g79</t>
  </si>
  <si>
    <t xml:space="preserve">86a8u4g3m</t>
  </si>
  <si>
    <t xml:space="preserve">https://app.clickup.com/t/86a8u4g3m</t>
  </si>
  <si>
    <t xml:space="preserve">86adn0pvj</t>
  </si>
  <si>
    <t xml:space="preserve">Orçamento Suprimentos - Itajai</t>
  </si>
  <si>
    <t xml:space="preserve">List</t>
  </si>
  <si>
    <t xml:space="preserve">https://app.clickup.com/t/86adn0pvj</t>
  </si>
  <si>
    <t xml:space="preserve">86ae0uh7j</t>
  </si>
  <si>
    <t xml:space="preserve">Orçamento equip. informatica ITAJAI</t>
  </si>
  <si>
    <t xml:space="preserve">https://app.clickup.com/t/86ae0uh7j</t>
  </si>
  <si>
    <t xml:space="preserve">86adpdhmp</t>
  </si>
  <si>
    <t xml:space="preserve">Orçamento Rampa - Expedição Itajai</t>
  </si>
  <si>
    <t xml:space="preserve">https://app.clickup.com/t/86adpdhmp</t>
  </si>
  <si>
    <t xml:space="preserve">86adn0wfz</t>
  </si>
  <si>
    <t xml:space="preserve">Orçamento Cadeira - Itajai</t>
  </si>
  <si>
    <t xml:space="preserve">https://app.clickup.com/t/86adn0wfz</t>
  </si>
  <si>
    <t xml:space="preserve">86adgxy0k</t>
  </si>
  <si>
    <t xml:space="preserve">Orçamento Escada trepadeira - Londrina</t>
  </si>
  <si>
    <t xml:space="preserve">https://app.clickup.com/t/86adgxy0k</t>
  </si>
  <si>
    <t xml:space="preserve">86adgxx84</t>
  </si>
  <si>
    <t xml:space="preserve">Orçamento Bancada expedição</t>
  </si>
  <si>
    <t xml:space="preserve">https://app.clickup.com/t/86adgxx84</t>
  </si>
  <si>
    <t xml:space="preserve">86adgxxg6</t>
  </si>
  <si>
    <t xml:space="preserve">Orçamento Eletricista - Itajai</t>
  </si>
  <si>
    <t xml:space="preserve">https://app.clickup.com/t/86adgxxg6</t>
  </si>
  <si>
    <t xml:space="preserve">86a99yw2h</t>
  </si>
  <si>
    <t xml:space="preserve">Arrumar Preço de custo Tools World - Preço certo</t>
  </si>
  <si>
    <t xml:space="preserve">Hafer Lucas, Letícia Sakashita</t>
  </si>
  <si>
    <t xml:space="preserve">https://app.clickup.com/t/86a99yw2h</t>
  </si>
  <si>
    <t xml:space="preserve">86a9pet3p</t>
  </si>
  <si>
    <t xml:space="preserve">TRANSFERENCIA CARRO - ITAJAI</t>
  </si>
  <si>
    <t xml:space="preserve">https://app.clickup.com/t/86a9pet3p</t>
  </si>
  <si>
    <t xml:space="preserve">86a9pf8zh</t>
  </si>
  <si>
    <t xml:space="preserve">COMPRA CONE BARRACÃO LONDRINA</t>
  </si>
  <si>
    <t xml:space="preserve">https://app.clickup.com/t/86a9pf8zh</t>
  </si>
  <si>
    <t xml:space="preserve">86a9bhmxu</t>
  </si>
  <si>
    <t xml:space="preserve">Solicitar orçamento - Ajax</t>
  </si>
  <si>
    <t xml:space="preserve">https://app.clickup.com/t/86a9bhmxu</t>
  </si>
  <si>
    <t xml:space="preserve">86a9bgcgg</t>
  </si>
  <si>
    <t xml:space="preserve">Solicitar orçamento - Tools World</t>
  </si>
  <si>
    <t xml:space="preserve">https://app.clickup.com/t/86a9bgcgg</t>
  </si>
  <si>
    <t xml:space="preserve">86a93phfk</t>
  </si>
  <si>
    <t xml:space="preserve">ALICATE-PUNCIONADOR-AP300</t>
  </si>
  <si>
    <t xml:space="preserve">https://app.clickup.com/t/86a93phfk</t>
  </si>
  <si>
    <t xml:space="preserve">86a93phbr</t>
  </si>
  <si>
    <t xml:space="preserve">ESTICADOR-FITA-5/8</t>
  </si>
  <si>
    <t xml:space="preserve">https://app.clickup.com/t/86a93phbr</t>
  </si>
  <si>
    <t xml:space="preserve">86a93ph6w</t>
  </si>
  <si>
    <t xml:space="preserve">PARAF-FUSAD-IPFV1819I-S-BAT</t>
  </si>
  <si>
    <t xml:space="preserve">https://app.clickup.com/t/86a93ph6w</t>
  </si>
  <si>
    <t xml:space="preserve">86a93pgv3</t>
  </si>
  <si>
    <t xml:space="preserve">preço com erro no Tiny</t>
  </si>
  <si>
    <t xml:space="preserve">https://app.clickup.com/t/86a93pgv3</t>
  </si>
  <si>
    <t xml:space="preserve">86a8rv88p</t>
  </si>
  <si>
    <t xml:space="preserve">Encontrar aplicadores de P,U40</t>
  </si>
  <si>
    <t xml:space="preserve">https://app.clickup.com/t/86a8rv88p</t>
  </si>
  <si>
    <t xml:space="preserve">86a8ty64u</t>
  </si>
  <si>
    <t xml:space="preserve">Realizar Benchmarking All Travesseiros</t>
  </si>
  <si>
    <t xml:space="preserve">Kesia Caponi, Mairon Henrique, Luis Goes</t>
  </si>
  <si>
    <t xml:space="preserve">https://app.clickup.com/t/86a8ty64u</t>
  </si>
  <si>
    <t xml:space="preserve">86a8rv7mm</t>
  </si>
  <si>
    <t xml:space="preserve">Verificar sobre cordas - Ajax</t>
  </si>
  <si>
    <t xml:space="preserve">https://app.clickup.com/t/86a8rv7mm</t>
  </si>
  <si>
    <t xml:space="preserve">86ada3d0c</t>
  </si>
  <si>
    <t xml:space="preserve">Arrumar cadastros de kits de macaco</t>
  </si>
  <si>
    <t xml:space="preserve">Mercado Livre</t>
  </si>
  <si>
    <t xml:space="preserve">https://app.clickup.com/t/86ada3d0c</t>
  </si>
  <si>
    <t xml:space="preserve">86a8w3gdp</t>
  </si>
  <si>
    <t xml:space="preserve">Roxo</t>
  </si>
  <si>
    <t xml:space="preserve">https://app.clickup.com/t/86a8w3gdp</t>
  </si>
  <si>
    <t xml:space="preserve">86a8w3gen</t>
  </si>
  <si>
    <t xml:space="preserve">Salmão</t>
  </si>
  <si>
    <t xml:space="preserve">https://app.clickup.com/t/86a8w3gen</t>
  </si>
  <si>
    <t xml:space="preserve">86aea2xfa</t>
  </si>
  <si>
    <t xml:space="preserve">Campanha Programa de Vantagens 2026</t>
  </si>
  <si>
    <t xml:space="preserve">Catarina Mota</t>
  </si>
  <si>
    <t xml:space="preserve">https://app.clickup.com/t/86aea2xfa</t>
  </si>
  <si>
    <t xml:space="preserve">86advnrjz</t>
  </si>
  <si>
    <t xml:space="preserve">Atividades Letícia</t>
  </si>
  <si>
    <t xml:space="preserve">https://app.clickup.com/t/86advnrjz</t>
  </si>
  <si>
    <t xml:space="preserve">86ad6n1cf</t>
  </si>
  <si>
    <t xml:space="preserve">Cadastro de produtos - KEHOME</t>
  </si>
  <si>
    <t xml:space="preserve">https://app.clickup.com/t/86ad6n1cf</t>
  </si>
  <si>
    <t xml:space="preserve">86abbt9zb</t>
  </si>
  <si>
    <t xml:space="preserve">MELI 402624964</t>
  </si>
  <si>
    <t xml:space="preserve">Chamados</t>
  </si>
  <si>
    <t xml:space="preserve">https://app.clickup.com/t/86abbt9zb</t>
  </si>
  <si>
    <t xml:space="preserve">86a9nqxzc</t>
  </si>
  <si>
    <t xml:space="preserve">FORÇA TAREFA -- PRODUTO CONGELADO ELGIN</t>
  </si>
  <si>
    <t xml:space="preserve">Kesia Caponi, João Vithor Farias, Luis Goes</t>
  </si>
  <si>
    <t xml:space="preserve">https://app.clickup.com/t/86a9nqxzc</t>
  </si>
  <si>
    <t xml:space="preserve">86ab897c9</t>
  </si>
  <si>
    <t xml:space="preserve">Realizar Benchmark Marcas DJI/ETILUX/WESTLAKE/BESTWAY/MULTILASER</t>
  </si>
  <si>
    <t xml:space="preserve">Kesia Caponi, Mairon Henrique, Marcos Luciano Domus, João Vithor Farias, Letícia Sakashita, Luis Goes</t>
  </si>
  <si>
    <t xml:space="preserve">https://app.clickup.com/t/86ab897c9</t>
  </si>
  <si>
    <t xml:space="preserve">86a9hyjfu</t>
  </si>
  <si>
    <t xml:space="preserve">Benchimark WESCO</t>
  </si>
  <si>
    <t xml:space="preserve">Mairon Henrique, Marcos Luciano Domus, João Vithor Farias, Luis Goes</t>
  </si>
  <si>
    <t xml:space="preserve">https://app.clickup.com/t/86a9hyjfu</t>
  </si>
  <si>
    <t xml:space="preserve">86a9dbtmu</t>
  </si>
  <si>
    <t xml:space="preserve">Fazer Benchmarking Philco/Britania</t>
  </si>
  <si>
    <t xml:space="preserve">Kesia Caponi, Marcos Luciano Domus, João Vithor Farias, Letícia Sakashita, Luis Goes</t>
  </si>
  <si>
    <t xml:space="preserve">https://app.clickup.com/t/86a9dbtmu</t>
  </si>
  <si>
    <t xml:space="preserve">86a95ad2r</t>
  </si>
  <si>
    <t xml:space="preserve">Comprar Mesa/Bancada para a preparação do Full de Itajaí (Gustavo aprovou)</t>
  </si>
  <si>
    <t xml:space="preserve">Compra de Insumos</t>
  </si>
  <si>
    <t xml:space="preserve">https://app.clickup.com/t/86a95ad2r</t>
  </si>
  <si>
    <t xml:space="preserve">86a95ace3</t>
  </si>
  <si>
    <t xml:space="preserve">Comprar Café</t>
  </si>
  <si>
    <t xml:space="preserve">https://app.clickup.com/t/86a95ace3</t>
  </si>
  <si>
    <t xml:space="preserve">86a9b1p8m</t>
  </si>
  <si>
    <t xml:space="preserve">Alterar origem do produto MOP-COMPACT-10L (MELI e Tiny)</t>
  </si>
  <si>
    <t xml:space="preserve">https://app.clickup.com/t/86a9b1p8m</t>
  </si>
  <si>
    <t xml:space="preserve">86a8r7n37</t>
  </si>
  <si>
    <t xml:space="preserve">Precificar Toalhas CAMESA</t>
  </si>
  <si>
    <t xml:space="preserve">https://app.clickup.com/t/86a8r7n37</t>
  </si>
  <si>
    <t xml:space="preserve">86a9986ka</t>
  </si>
  <si>
    <t xml:space="preserve">Resolver situação Tatiana Caus (3 cadeiras em avaria)</t>
  </si>
  <si>
    <t xml:space="preserve">Devoluções</t>
  </si>
  <si>
    <t xml:space="preserve">https://app.clickup.com/t/86a9986ka</t>
  </si>
  <si>
    <t xml:space="preserve">86a8vy75d</t>
  </si>
  <si>
    <t xml:space="preserve">Conversar com a Noviça e verificar embalagem dos Mops Noviça</t>
  </si>
  <si>
    <t xml:space="preserve">Kesia Caponi, Hafer Lucas</t>
  </si>
  <si>
    <t xml:space="preserve">https://app.clickup.com/t/86a8vy75d</t>
  </si>
  <si>
    <t xml:space="preserve">86a8w3f9m</t>
  </si>
  <si>
    <t xml:space="preserve">Cadastrar Variações no Roupão Microfibra (abrir)</t>
  </si>
  <si>
    <t xml:space="preserve">Kesia Caponi, Polielly Morato</t>
  </si>
  <si>
    <t xml:space="preserve">https://app.clickup.com/t/86a8w3f9m</t>
  </si>
  <si>
    <t xml:space="preserve">86a8ryaaj</t>
  </si>
  <si>
    <t xml:space="preserve">Responsáveis pelas atividades - Viagem </t>
  </si>
  <si>
    <t xml:space="preserve">Letícia Sakashita, Kesia Caponi, Marcos Luciano Domus, João Vithor Farias, </t>
  </si>
  <si>
    <t xml:space="preserve">Expedição</t>
  </si>
  <si>
    <t xml:space="preserve">https://app.clickup.com/t/86a8ryaaj</t>
  </si>
  <si>
    <t xml:space="preserve">86a8y35bq</t>
  </si>
  <si>
    <t xml:space="preserve">Validação Processo Impressão de Remessas (POP)</t>
  </si>
  <si>
    <t xml:space="preserve">https://app.clickup.com/t/86a8y35bq</t>
  </si>
  <si>
    <t xml:space="preserve">86a8y35kf</t>
  </si>
  <si>
    <t xml:space="preserve">Auxílio no fullfilment se necessário</t>
  </si>
  <si>
    <t xml:space="preserve">https://app.clickup.com/t/86a8y35kf</t>
  </si>
  <si>
    <t xml:space="preserve">86a8y355q</t>
  </si>
  <si>
    <t xml:space="preserve">Processamento de Devoluções</t>
  </si>
  <si>
    <t xml:space="preserve">https://app.clickup.com/t/86a8y355q</t>
  </si>
  <si>
    <t xml:space="preserve">86a8twzzj</t>
  </si>
  <si>
    <t xml:space="preserve">Full 23/05</t>
  </si>
  <si>
    <t xml:space="preserve">https://app.clickup.com/t/86a8twzzj</t>
  </si>
  <si>
    <t xml:space="preserve">86a8r23he</t>
  </si>
  <si>
    <t xml:space="preserve">Identificar MOP-DUO em Itajaí</t>
  </si>
  <si>
    <t xml:space="preserve">https://app.clickup.com/t/86a8r23he</t>
  </si>
  <si>
    <t xml:space="preserve">86a8uywpv</t>
  </si>
  <si>
    <t xml:space="preserve">Fazer Benchmarking -- WAP</t>
  </si>
  <si>
    <t xml:space="preserve">https://app.clickup.com/t/86a8uywpv</t>
  </si>
  <si>
    <t xml:space="preserve">86ahjxj11</t>
  </si>
  <si>
    <t xml:space="preserve">Cadastrar Kit no Meli</t>
  </si>
  <si>
    <t xml:space="preserve">https://app.clickup.com/t/86ahjxj11</t>
  </si>
  <si>
    <t xml:space="preserve">wdrhz2tdug</t>
  </si>
  <si>
    <t xml:space="preserve">Subir Gazin no Meli</t>
  </si>
  <si>
    <t xml:space="preserve">https://app.clickup.com/t/wdrhz2tdug</t>
  </si>
  <si>
    <t xml:space="preserve">86ahvg4nw</t>
  </si>
  <si>
    <t xml:space="preserve">https://app.clickup.com/t/86ahvg4nw</t>
  </si>
  <si>
    <t xml:space="preserve">86ahpe6zj</t>
  </si>
  <si>
    <t xml:space="preserve">Subir SKU no Meli como ME2</t>
  </si>
  <si>
    <t xml:space="preserve">https://app.clickup.com/t/86ahpe6zj</t>
  </si>
  <si>
    <t xml:space="preserve">86aeabvcp</t>
  </si>
  <si>
    <t xml:space="preserve">https://app.clickup.com/t/86aeabvcp</t>
  </si>
  <si>
    <t xml:space="preserve">86aa04ptj</t>
  </si>
  <si>
    <t xml:space="preserve">kit de protetor</t>
  </si>
  <si>
    <t xml:space="preserve">https://app.clickup.com/t/86aa04ptj</t>
  </si>
  <si>
    <t xml:space="preserve">86a945rbz</t>
  </si>
  <si>
    <t xml:space="preserve">Finalizar Pedido de Móveis</t>
  </si>
  <si>
    <t xml:space="preserve">Kesia Caponi, João Vithor Farias, Hafer Lucas</t>
  </si>
  <si>
    <t xml:space="preserve">https://app.clickup.com/t/86a945rbz</t>
  </si>
  <si>
    <t xml:space="preserve">86a9c9r9c</t>
  </si>
  <si>
    <t xml:space="preserve">Kit KIT-5-JGS-LENÇOL-SOLT-3PCS</t>
  </si>
  <si>
    <t xml:space="preserve">em progresso</t>
  </si>
  <si>
    <t xml:space="preserve">https://app.clickup.com/t/86a9c9r9c</t>
  </si>
  <si>
    <t xml:space="preserve">86a9cjv0z</t>
  </si>
  <si>
    <t xml:space="preserve">https://app.clickup.com/t/86a9cjv0z</t>
  </si>
  <si>
    <t xml:space="preserve">86a9cjuhx</t>
  </si>
  <si>
    <t xml:space="preserve">https://app.clickup.com/t/86a9cjuhx</t>
  </si>
  <si>
    <t xml:space="preserve">86a9cju9c</t>
  </si>
  <si>
    <t xml:space="preserve">https://app.clickup.com/t/86a9cju9c</t>
  </si>
  <si>
    <t xml:space="preserve">86a9c9xu5</t>
  </si>
  <si>
    <t xml:space="preserve">Cadastrar no catálogo</t>
  </si>
  <si>
    <t xml:space="preserve">https://app.clickup.com/t/86a9c9xu5</t>
  </si>
  <si>
    <t xml:space="preserve">86a9dezem</t>
  </si>
  <si>
    <t xml:space="preserve">Cadastrar roupão neo no tiny de londrina</t>
  </si>
  <si>
    <t xml:space="preserve">https://app.clickup.com/t/86a9dezem</t>
  </si>
  <si>
    <t xml:space="preserve">86a98rtuc</t>
  </si>
  <si>
    <t xml:space="preserve">All Fibra, definir quantidade</t>
  </si>
  <si>
    <t xml:space="preserve">https://app.clickup.com/t/86a98rtuc</t>
  </si>
  <si>
    <t xml:space="preserve">86a8tx152</t>
  </si>
  <si>
    <t xml:space="preserve">Alterar fotos Roupões NEO</t>
  </si>
  <si>
    <t xml:space="preserve">https://app.clickup.com/t/86a8tx152</t>
  </si>
  <si>
    <t xml:space="preserve">86a93ruj3</t>
  </si>
  <si>
    <t xml:space="preserve">benchmark All Fibra Travesseiros</t>
  </si>
  <si>
    <t xml:space="preserve">https://app.clickup.com/t/86a93ruj3</t>
  </si>
  <si>
    <t xml:space="preserve">86a8w8qg2</t>
  </si>
  <si>
    <t xml:space="preserve">Duplicar Anúncio de Roupão Marrom (as fotos estão atualizadas no Tiny)</t>
  </si>
  <si>
    <t xml:space="preserve">https://app.clickup.com/t/86a8w8qg2</t>
  </si>
  <si>
    <t xml:space="preserve">86a8r1kce</t>
  </si>
  <si>
    <t xml:space="preserve">Estoque Congelado</t>
  </si>
  <si>
    <t xml:space="preserve">https://app.clickup.com/t/86a8r1kce</t>
  </si>
  <si>
    <t xml:space="preserve">86a8r223y</t>
  </si>
  <si>
    <t xml:space="preserve">Catálogo Elgin Fritadeira Elétrica</t>
  </si>
  <si>
    <t xml:space="preserve">https://app.clickup.com/t/86a8r223y</t>
  </si>
  <si>
    <t xml:space="preserve">86a8r22pv</t>
  </si>
  <si>
    <t xml:space="preserve">Catálogo Elgin Liquidificador</t>
  </si>
  <si>
    <t xml:space="preserve">https://app.clickup.com/t/86a8r22pv</t>
  </si>
  <si>
    <t xml:space="preserve">86a8r24a2</t>
  </si>
  <si>
    <t xml:space="preserve">Catálogos São Bento</t>
  </si>
  <si>
    <t xml:space="preserve">https://app.clickup.com/t/86a8r24a2</t>
  </si>
  <si>
    <t xml:space="preserve">86a8r24fv</t>
  </si>
  <si>
    <t xml:space="preserve">Fotos São Bento (CHAT GPT)</t>
  </si>
  <si>
    <t xml:space="preserve">https://app.clickup.com/t/86a8r24fv</t>
  </si>
  <si>
    <t xml:space="preserve">86a8w7adh</t>
  </si>
  <si>
    <t xml:space="preserve">Ajustar fotos CADEIRA-JOB</t>
  </si>
  <si>
    <t xml:space="preserve">https://app.clickup.com/t/86a8w7adh</t>
  </si>
  <si>
    <t xml:space="preserve">86a8r1zf0</t>
  </si>
  <si>
    <t xml:space="preserve">Full Itajaí 23/05</t>
  </si>
  <si>
    <t xml:space="preserve">https://app.clickup.com/t/86a8r1zf0</t>
  </si>
  <si>
    <t xml:space="preserve">86a8r1ztg</t>
  </si>
  <si>
    <t xml:space="preserve">Ajustar Aba HML</t>
  </si>
  <si>
    <t xml:space="preserve">Marcos Luciano Domus, Letícia Sakashita, Kesia Caponi</t>
  </si>
  <si>
    <t xml:space="preserve">https://app.clickup.com/t/86a8r1ztg</t>
  </si>
  <si>
    <t xml:space="preserve">86a8r42tf</t>
  </si>
  <si>
    <t xml:space="preserve">Subir anúncio KIT-COLC-BABY-LIGHT-PROT-60x130x12</t>
  </si>
  <si>
    <t xml:space="preserve">https://app.clickup.com/t/86a8r42tf</t>
  </si>
  <si>
    <t xml:space="preserve">86a8t4u1b</t>
  </si>
  <si>
    <t xml:space="preserve">Informações de litros da lixeira basculante Camesa</t>
  </si>
  <si>
    <t xml:space="preserve">https://app.clickup.com/t/86a8t4u1b</t>
  </si>
  <si>
    <t xml:space="preserve">86a8r4h36</t>
  </si>
  <si>
    <t xml:space="preserve">Promoções Lixeiras Camesa</t>
  </si>
  <si>
    <t xml:space="preserve">https://app.clickup.com/t/86a8r4h36</t>
  </si>
  <si>
    <t xml:space="preserve">86a8r1m0e</t>
  </si>
  <si>
    <t xml:space="preserve">Colchões</t>
  </si>
  <si>
    <t xml:space="preserve">https://app.clickup.com/t/86a8r1m0e</t>
  </si>
  <si>
    <t xml:space="preserve">86a8r1pwd</t>
  </si>
  <si>
    <t xml:space="preserve">Casadinho</t>
  </si>
  <si>
    <t xml:space="preserve">https://app.clickup.com/t/86a8r1pwd</t>
  </si>
  <si>
    <t xml:space="preserve">86a8r1ptj</t>
  </si>
  <si>
    <t xml:space="preserve">Roupões Infantis</t>
  </si>
  <si>
    <t xml:space="preserve">https://app.clickup.com/t/86a8r1ptj</t>
  </si>
  <si>
    <t xml:space="preserve">86a8r1pmp</t>
  </si>
  <si>
    <t xml:space="preserve">Roupões NEO</t>
  </si>
  <si>
    <t xml:space="preserve">https://app.clickup.com/t/86a8r1pmp</t>
  </si>
  <si>
    <t xml:space="preserve">86a8r1pjt</t>
  </si>
  <si>
    <t xml:space="preserve">Protetores</t>
  </si>
  <si>
    <t xml:space="preserve">https://app.clickup.com/t/86a8r1pjt</t>
  </si>
  <si>
    <t xml:space="preserve">86a8r1pgk</t>
  </si>
  <si>
    <t xml:space="preserve">Mop Twister</t>
  </si>
  <si>
    <t xml:space="preserve">https://app.clickup.com/t/86a8r1pgk</t>
  </si>
  <si>
    <t xml:space="preserve">86a8r1mzd</t>
  </si>
  <si>
    <t xml:space="preserve">Capa Impermeável Ortobom</t>
  </si>
  <si>
    <t xml:space="preserve">https://app.clickup.com/t/86a8r1mzd</t>
  </si>
  <si>
    <t xml:space="preserve">86a8r1pct</t>
  </si>
  <si>
    <t xml:space="preserve">Protetor Super KING</t>
  </si>
  <si>
    <t xml:space="preserve">https://app.clickup.com/t/86a8r1pct</t>
  </si>
  <si>
    <t xml:space="preserve">86a8r1mu5</t>
  </si>
  <si>
    <t xml:space="preserve">Roupão Marrom</t>
  </si>
  <si>
    <t xml:space="preserve">https://app.clickup.com/t/86a8r1mu5</t>
  </si>
  <si>
    <t xml:space="preserve">86a8r1mqd</t>
  </si>
  <si>
    <t xml:space="preserve">Roupões Tamanho Único</t>
  </si>
  <si>
    <t xml:space="preserve">https://app.clickup.com/t/86a8r1mqd</t>
  </si>
  <si>
    <t xml:space="preserve">86a8r1mka</t>
  </si>
  <si>
    <t xml:space="preserve">Mop Giratorio</t>
  </si>
  <si>
    <t xml:space="preserve">https://app.clickup.com/t/86a8r1mka</t>
  </si>
  <si>
    <t xml:space="preserve">86a8r1mgf</t>
  </si>
  <si>
    <t xml:space="preserve">Mop Lava e Seca</t>
  </si>
  <si>
    <t xml:space="preserve">https://app.clickup.com/t/86a8r1mgf</t>
  </si>
  <si>
    <t xml:space="preserve">86a8r1mcc</t>
  </si>
  <si>
    <t xml:space="preserve">Camas Pet</t>
  </si>
  <si>
    <t xml:space="preserve">https://app.clickup.com/t/86a8r1mcc</t>
  </si>
  <si>
    <t xml:space="preserve">86a8r1m9r</t>
  </si>
  <si>
    <t xml:space="preserve">Aparador de Louça</t>
  </si>
  <si>
    <t xml:space="preserve">https://app.clickup.com/t/86a8r1m9r</t>
  </si>
  <si>
    <t xml:space="preserve">86a8r1m70</t>
  </si>
  <si>
    <t xml:space="preserve">Refil Mop Esponja</t>
  </si>
  <si>
    <t xml:space="preserve">https://app.clickup.com/t/86a8r1m70</t>
  </si>
  <si>
    <t xml:space="preserve">86a8r1m4u</t>
  </si>
  <si>
    <t xml:space="preserve">Super Soft</t>
  </si>
  <si>
    <t xml:space="preserve">https://app.clickup.com/t/86a8r1m4u</t>
  </si>
  <si>
    <t xml:space="preserve">86a8r1m38</t>
  </si>
  <si>
    <t xml:space="preserve">Tapete Remix POP</t>
  </si>
  <si>
    <t xml:space="preserve">https://app.clickup.com/t/86a8r1m38</t>
  </si>
  <si>
    <t xml:space="preserve">Data da coleta</t>
  </si>
  <si>
    <t xml:space="preserve">ID da tarefa</t>
  </si>
  <si>
    <t xml:space="preserve">Status anterior</t>
  </si>
  <si>
    <t xml:space="preserve">Status novo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</si>
</sst>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"/>
    <numFmt numFmtId="167" formatCode="#,##0"/>
    <numFmt numFmtId="168" formatCode="0%"/>
    <numFmt numFmtId="169" formatCode="dd/mm/yyyy"/>
    <numFmt numFmtId="170" formatCode="dd/mm/yyyy\ 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212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21212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CFC30"/>
        <bgColor rgb="FFFFFF00"/>
      </patternFill>
    </fill>
    <fill>
      <patternFill patternType="solid">
        <fgColor rgb="FFEDEDED"/>
        <bgColor rgb="FFFFFFCC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CFC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12121"/>
          <bgColor rgb="FF000000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ECFC3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23.85" hidden="false" customHeight="false" outlineLevel="0" collapsed="false">
      <c r="A4" s="4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3" t="s">
        <v>5</v>
      </c>
    </row>
    <row r="6" customFormat="false" ht="15" hidden="false" customHeight="false" outlineLevel="0" collapsed="false">
      <c r="A6" s="4"/>
      <c r="B6" s="3"/>
    </row>
    <row r="7" customFormat="false" ht="15" hidden="false" customHeight="false" outlineLevel="0" collapsed="false">
      <c r="A7" s="2" t="s">
        <v>6</v>
      </c>
      <c r="B7" s="3"/>
    </row>
    <row r="8" customFormat="false" ht="23.85" hidden="false" customHeight="false" outlineLevel="0" collapsed="false">
      <c r="A8" s="4" t="s">
        <v>7</v>
      </c>
      <c r="B8" s="3" t="s">
        <v>8</v>
      </c>
    </row>
    <row r="9" customFormat="false" ht="15" hidden="false" customHeight="false" outlineLevel="0" collapsed="false">
      <c r="A9" s="4" t="s">
        <v>9</v>
      </c>
      <c r="B9" s="3" t="s">
        <v>10</v>
      </c>
    </row>
    <row r="10" customFormat="false" ht="15" hidden="false" customHeight="false" outlineLevel="0" collapsed="false">
      <c r="A10" s="4" t="s">
        <v>11</v>
      </c>
      <c r="B10" s="3" t="s">
        <v>12</v>
      </c>
    </row>
    <row r="11" customFormat="false" ht="15" hidden="false" customHeight="false" outlineLevel="0" collapsed="false">
      <c r="A11" s="4" t="s">
        <v>13</v>
      </c>
      <c r="B11" s="3" t="s">
        <v>14</v>
      </c>
    </row>
    <row r="12" customFormat="false" ht="23.85" hidden="false" customHeight="false" outlineLevel="0" collapsed="false">
      <c r="A12" s="4" t="s">
        <v>15</v>
      </c>
      <c r="B12" s="3" t="s">
        <v>16</v>
      </c>
    </row>
    <row r="13" customFormat="false" ht="15" hidden="false" customHeight="false" outlineLevel="0" collapsed="false">
      <c r="A13" s="4" t="s">
        <v>17</v>
      </c>
      <c r="B13" s="3" t="s">
        <v>18</v>
      </c>
    </row>
    <row r="14" customFormat="false" ht="15" hidden="false" customHeight="false" outlineLevel="0" collapsed="false">
      <c r="A14" s="4" t="s">
        <v>19</v>
      </c>
      <c r="B14" s="3" t="s">
        <v>20</v>
      </c>
    </row>
    <row r="15" customFormat="false" ht="15" hidden="false" customHeight="false" outlineLevel="0" collapsed="false">
      <c r="A15" s="4" t="s">
        <v>21</v>
      </c>
      <c r="B15" s="3" t="s">
        <v>22</v>
      </c>
    </row>
    <row r="16" customFormat="false" ht="15" hidden="false" customHeight="false" outlineLevel="0" collapsed="false">
      <c r="A16" s="4" t="s">
        <v>23</v>
      </c>
      <c r="B16" s="3" t="s">
        <v>24</v>
      </c>
    </row>
    <row r="17" customFormat="false" ht="15" hidden="false" customHeight="false" outlineLevel="0" collapsed="false">
      <c r="A17" s="4" t="s">
        <v>25</v>
      </c>
      <c r="B17" s="3" t="s">
        <v>26</v>
      </c>
    </row>
    <row r="18" customFormat="false" ht="15" hidden="false" customHeight="false" outlineLevel="0" collapsed="false">
      <c r="A18" s="4"/>
      <c r="B18" s="3"/>
    </row>
    <row r="19" customFormat="false" ht="15" hidden="false" customHeight="false" outlineLevel="0" collapsed="false">
      <c r="A19" s="2" t="s">
        <v>27</v>
      </c>
      <c r="B19" s="3"/>
    </row>
    <row r="20" customFormat="false" ht="23.85" hidden="false" customHeight="false" outlineLevel="0" collapsed="false">
      <c r="A20" s="4" t="s">
        <v>28</v>
      </c>
      <c r="B20" s="3" t="s">
        <v>29</v>
      </c>
    </row>
    <row r="21" customFormat="false" ht="15" hidden="false" customHeight="false" outlineLevel="0" collapsed="false">
      <c r="A21" s="4" t="s">
        <v>30</v>
      </c>
      <c r="B21" s="3" t="s">
        <v>31</v>
      </c>
    </row>
    <row r="22" customFormat="false" ht="15" hidden="false" customHeight="false" outlineLevel="0" collapsed="false">
      <c r="A22" s="4" t="s">
        <v>32</v>
      </c>
      <c r="B22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">
        <v>35</v>
      </c>
    </row>
    <row r="4" customFormat="false" ht="15" hidden="false" customHeight="false" outlineLevel="0" collapsed="false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</row>
    <row r="5" customFormat="false" ht="15" hidden="false" customHeight="false" outlineLevel="0" collapsed="false">
      <c r="A5" s="7" t="str">
        <f aca="false">metas_base!A3</f>
        <v>Cumprimento de prazo</v>
      </c>
      <c r="B5" s="8" t="str">
        <f aca="false">IF(metas_base!D3="","",metas_base!D3)</f>
        <v/>
      </c>
      <c r="C5" s="8" t="str">
        <f aca="false">IF(metas_base!E3="","",metas_base!E3)</f>
        <v/>
      </c>
      <c r="D5" s="8" t="n">
        <f aca="false">IF(SUMPRODUCT((clickup_tarefas!$J$2:$J$5000&lt;&gt;"")*(clickup_tarefas!$H$2:$H$5000&lt;&gt;""))=0,"",SUMPRODUCT((clickup_tarefas!$J$2:$J$5000&lt;&gt;"")*(clickup_tarefas!$H$2:$H$5000&lt;&gt;"")*(clickup_tarefas!$J$2:$J$5000&lt;clickup_tarefas!$H$2:$H$5000+1))/SUMPRODUCT((clickup_tarefas!$J$2:$J$5000&lt;&gt;"")*(clickup_tarefas!$H$2:$H$5000&lt;&gt;"")))</f>
        <v>0.451612903225806</v>
      </c>
      <c r="E5" s="7" t="str">
        <f aca="false">IF(OR(C5="",D5=""),"",IF(metas_base!C3="Menor",IF(D5&lt;=C5,"Dentro da meta","Fora da meta"),IF(D5&gt;=C5,"Dentro da meta","Fora da meta")))</f>
        <v/>
      </c>
      <c r="F5" s="9" t="s">
        <v>42</v>
      </c>
    </row>
    <row r="6" customFormat="false" ht="15" hidden="false" customHeight="false" outlineLevel="0" collapsed="false">
      <c r="A6" s="7" t="str">
        <f aca="false">metas_base!A4</f>
        <v>Retrabalho (lotes devolvidos)</v>
      </c>
      <c r="B6" s="8" t="str">
        <f aca="false">IF(metas_base!D4="","",metas_base!D4)</f>
        <v/>
      </c>
      <c r="C6" s="8" t="str">
        <f aca="false">IF(metas_base!E4="","",metas_base!E4)</f>
        <v/>
      </c>
      <c r="D6" s="8" t="str">
        <f aca="false">IF(COUNTA(lotes!$A$3:$A$1000)=0,"",COUNTIF(lotes!$L$3:$L$1000,"Sim")/COUNTA(lotes!$A$3:$A$1000))</f>
        <v/>
      </c>
      <c r="E6" s="7" t="str">
        <f aca="false">IF(OR(C6="",D6=""),"",IF(metas_base!C4="Menor",IF(D6&lt;=C6,"Dentro da meta","Fora da meta"),IF(D6&gt;=C6,"Dentro da meta","Fora da meta")))</f>
        <v/>
      </c>
      <c r="F6" s="9" t="s">
        <v>43</v>
      </c>
    </row>
    <row r="7" customFormat="false" ht="15" hidden="false" customHeight="false" outlineLevel="0" collapsed="false">
      <c r="A7" s="7" t="str">
        <f aca="false">metas_base!A5</f>
        <v>Devolução na 1ª conferência</v>
      </c>
      <c r="B7" s="8" t="str">
        <f aca="false">IF(metas_base!D5="","",metas_base!D5)</f>
        <v/>
      </c>
      <c r="C7" s="8" t="str">
        <f aca="false">IF(metas_base!E5="","",metas_base!E5)</f>
        <v/>
      </c>
      <c r="D7" s="8" t="str">
        <f aca="false">IF(COUNTA(lotes!$I$3:$I$1000)=0,"",COUNTIF(lotes!$I$3:$I$1000,"Devolvida")/COUNTA(lotes!$I$3:$I$1000))</f>
        <v/>
      </c>
      <c r="E7" s="7" t="str">
        <f aca="false">IF(OR(C7="",D7=""),"",IF(metas_base!C5="Menor",IF(D7&lt;=C7,"Dentro da meta","Fora da meta"),IF(D7&gt;=C7,"Dentro da meta","Fora da meta")))</f>
        <v/>
      </c>
      <c r="F7" s="9" t="s">
        <v>44</v>
      </c>
    </row>
    <row r="8" customFormat="false" ht="15" hidden="false" customHeight="false" outlineLevel="0" collapsed="false">
      <c r="A8" s="7" t="str">
        <f aca="false">metas_base!A6</f>
        <v>Tempo médio de execução do cadastro</v>
      </c>
      <c r="B8" s="10" t="str">
        <f aca="false">IF(metas_base!D6="","",metas_base!D6)</f>
        <v/>
      </c>
      <c r="C8" s="10" t="str">
        <f aca="false">IF(metas_base!E6="","",metas_base!E6)</f>
        <v/>
      </c>
      <c r="D8" s="10" t="str">
        <f aca="false">IFERROR(AVERAGE(lotes!$J$3:$J$1000),"")</f>
        <v/>
      </c>
      <c r="E8" s="7" t="str">
        <f aca="false">IF(OR(C8="",D8=""),"",IF(metas_base!C6="Menor",IF(D8&lt;=C8,"Dentro da meta","Fora da meta"),IF(D8&gt;=C8,"Dentro da meta","Fora da meta")))</f>
        <v/>
      </c>
      <c r="F8" s="9" t="s">
        <v>45</v>
      </c>
    </row>
    <row r="9" customFormat="false" ht="15" hidden="false" customHeight="false" outlineLevel="0" collapsed="false">
      <c r="A9" s="7" t="str">
        <f aca="false">metas_base!A7</f>
        <v>Espera entre recebimento e início</v>
      </c>
      <c r="B9" s="10" t="str">
        <f aca="false">IF(metas_base!D7="","",metas_base!D7)</f>
        <v/>
      </c>
      <c r="C9" s="10" t="str">
        <f aca="false">IF(metas_base!E7="","",metas_base!E7)</f>
        <v/>
      </c>
      <c r="D9" s="10" t="str">
        <f aca="false">IFERROR(AVERAGE(lotes!$K$3:$K$1000),"")</f>
        <v/>
      </c>
      <c r="E9" s="7" t="str">
        <f aca="false">IF(OR(C9="",D9=""),"",IF(metas_base!C7="Menor",IF(D9&lt;=C9,"Dentro da meta","Fora da meta"),IF(D9&gt;=C9,"Dentro da meta","Fora da meta")))</f>
        <v/>
      </c>
      <c r="F9" s="9" t="s">
        <v>46</v>
      </c>
    </row>
    <row r="10" customFormat="false" ht="15" hidden="false" customHeight="false" outlineLevel="0" collapsed="false">
      <c r="A10" s="7" t="str">
        <f aca="false">metas_base!A8</f>
        <v>Plano de 90 dias concluído</v>
      </c>
      <c r="B10" s="8" t="str">
        <f aca="false">IF(metas_base!D8="","",metas_base!D8)</f>
        <v/>
      </c>
      <c r="C10" s="8" t="str">
        <f aca="false">IF(metas_base!E8="","",metas_base!E8)</f>
        <v/>
      </c>
      <c r="D10" s="8" t="str">
        <f aca="false">IF(SUM(plano_90_dias!$I$3:$I$1000)=0,"",SUMPRODUCT(plano_90_dias!$I$3:$I$1000,plano_90_dias!$L$3:$L$1000)/SUM(plano_90_dias!$I$3:$I$1000))</f>
        <v/>
      </c>
      <c r="E10" s="7" t="str">
        <f aca="false">IF(OR(C10="",D10=""),"",IF(metas_base!C8="Menor",IF(D10&lt;=C10,"Dentro da meta","Fora da meta"),IF(D10&gt;=C10,"Dentro da meta","Fora da meta")))</f>
        <v/>
      </c>
      <c r="F10" s="9" t="s">
        <v>47</v>
      </c>
    </row>
    <row r="11" customFormat="false" ht="15" hidden="false" customHeight="false" outlineLevel="0" collapsed="false">
      <c r="A11" s="7" t="str">
        <f aca="false">metas_base!A9</f>
        <v>Cobertura média de cadastro dos fornecedores</v>
      </c>
      <c r="B11" s="8" t="str">
        <f aca="false">IF(metas_base!D9="","",metas_base!D9)</f>
        <v/>
      </c>
      <c r="C11" s="8" t="str">
        <f aca="false">IF(metas_base!E9="","",metas_base!E9)</f>
        <v/>
      </c>
      <c r="D11" s="8" t="str">
        <f aca="false">IFERROR(AVERAGE(fornecedores!$I$3:$I$200),"")</f>
        <v/>
      </c>
      <c r="E11" s="7" t="str">
        <f aca="false">IF(OR(C11="",D11=""),"",IF(metas_base!C9="Menor",IF(D11&lt;=C11,"Dentro da meta","Fora da meta"),IF(D11&gt;=C11,"Dentro da meta","Fora da meta")))</f>
        <v/>
      </c>
      <c r="F11" s="9" t="s">
        <v>48</v>
      </c>
    </row>
    <row r="12" customFormat="false" ht="15" hidden="false" customHeight="false" outlineLevel="0" collapsed="false">
      <c r="A12" s="7" t="str">
        <f aca="false">metas_base!A10</f>
        <v>Cobertura média de venda dos fornecedores</v>
      </c>
      <c r="B12" s="8" t="str">
        <f aca="false">IF(metas_base!D10="","",metas_base!D10)</f>
        <v/>
      </c>
      <c r="C12" s="8" t="str">
        <f aca="false">IF(metas_base!E10="","",metas_base!E10)</f>
        <v/>
      </c>
      <c r="D12" s="8" t="str">
        <f aca="false">IFERROR(AVERAGE(fornecedores!$J$3:$J$200),"")</f>
        <v/>
      </c>
      <c r="E12" s="7" t="str">
        <f aca="false">IF(OR(C12="",D12=""),"",IF(metas_base!C10="Menor",IF(D12&lt;=C12,"Dentro da meta","Fora da meta"),IF(D12&gt;=C12,"Dentro da meta","Fora da meta")))</f>
        <v/>
      </c>
      <c r="F12" s="9" t="s">
        <v>49</v>
      </c>
    </row>
    <row r="13" customFormat="false" ht="15" hidden="false" customHeight="false" outlineLevel="0" collapsed="false">
      <c r="A13" s="7" t="str">
        <f aca="false">metas_base!A11</f>
        <v>Vonder 60: anúncios publicados</v>
      </c>
      <c r="B13" s="11" t="str">
        <f aca="false">IF(metas_base!D11="","",metas_base!D11)</f>
        <v/>
      </c>
      <c r="C13" s="11" t="str">
        <f aca="false">IF(metas_base!E11="","",metas_base!E11)</f>
        <v/>
      </c>
      <c r="D13" s="11" t="str">
        <f aca="false">vonder_60!$H$3</f>
        <v/>
      </c>
      <c r="E13" s="7" t="str">
        <f aca="false">IF(OR(C13="",D13=""),"",IF(metas_base!C11="Menor",IF(D13&lt;=C13,"Dentro da meta","Fora da meta"),IF(D13&gt;=C13,"Dentro da meta","Fora da meta")))</f>
        <v/>
      </c>
      <c r="F13" s="9" t="s">
        <v>50</v>
      </c>
    </row>
    <row r="16" customFormat="false" ht="15" hidden="false" customHeight="false" outlineLevel="0" collapsed="false">
      <c r="A16" s="12" t="s">
        <v>51</v>
      </c>
    </row>
    <row r="17" customFormat="false" ht="15" hidden="false" customHeight="false" outlineLevel="0" collapsed="false">
      <c r="A17" s="6" t="s">
        <v>52</v>
      </c>
      <c r="B17" s="6" t="s">
        <v>53</v>
      </c>
      <c r="C17" s="6" t="s">
        <v>54</v>
      </c>
      <c r="D17" s="6" t="s">
        <v>55</v>
      </c>
      <c r="E17" s="6" t="s">
        <v>56</v>
      </c>
    </row>
    <row r="18" customFormat="false" ht="15" hidden="false" customHeight="false" outlineLevel="0" collapsed="false">
      <c r="A18" s="13" t="s">
        <v>57</v>
      </c>
      <c r="B18" s="13" t="n">
        <f aca="false">COUNTIF(clickup_tarefas!$B$2:$B$5000,A18)</f>
        <v>1000</v>
      </c>
      <c r="C18" s="13" t="n">
        <f aca="false">COUNTIFS(clickup_tarefas!$B$2:$B$5000,A18,clickup_tarefas!$J$2:$J$5000,"")</f>
        <v>38</v>
      </c>
      <c r="D18" s="13" t="n">
        <f aca="false">COUNTIFS(clickup_tarefas!$B$2:$B$5000,A18,clickup_tarefas!$J$2:$J$5000,"&lt;&gt;")</f>
        <v>962</v>
      </c>
      <c r="E18" s="13" t="n">
        <f aca="true">SUMPRODUCT((clickup_tarefas!$B$2:$B$5000=A18)*(clickup_tarefas!$J$2:$J$5000="")*(clickup_tarefas!$H$2:$H$5000&lt;&gt;"")*(clickup_tarefas!$H$2:$H$5000&lt;TODAY()))</f>
        <v>1</v>
      </c>
    </row>
    <row r="19" customFormat="false" ht="15" hidden="false" customHeight="false" outlineLevel="0" collapsed="false">
      <c r="A19" s="13" t="s">
        <v>58</v>
      </c>
      <c r="B19" s="13" t="n">
        <f aca="false">COUNTIF(clickup_tarefas!$B$2:$B$5000,A19)</f>
        <v>19</v>
      </c>
      <c r="C19" s="13" t="n">
        <f aca="false">COUNTIFS(clickup_tarefas!$B$2:$B$5000,A19,clickup_tarefas!$J$2:$J$5000,"")</f>
        <v>0</v>
      </c>
      <c r="D19" s="13" t="n">
        <f aca="false">COUNTIFS(clickup_tarefas!$B$2:$B$5000,A19,clickup_tarefas!$J$2:$J$5000,"&lt;&gt;")</f>
        <v>19</v>
      </c>
      <c r="E19" s="13" t="n">
        <f aca="true">SUMPRODUCT((clickup_tarefas!$B$2:$B$5000=A19)*(clickup_tarefas!$J$2:$J$5000="")*(clickup_tarefas!$H$2:$H$5000&lt;&gt;"")*(clickup_tarefas!$H$2:$H$5000&lt;TODAY()))</f>
        <v>0</v>
      </c>
    </row>
    <row r="20" customFormat="false" ht="15" hidden="false" customHeight="false" outlineLevel="0" collapsed="false">
      <c r="A20" s="13" t="s">
        <v>59</v>
      </c>
      <c r="B20" s="13" t="n">
        <f aca="false">COUNTIF(clickup_tarefas!$B$2:$B$5000,A20)</f>
        <v>25</v>
      </c>
      <c r="C20" s="13" t="n">
        <f aca="false">COUNTIFS(clickup_tarefas!$B$2:$B$5000,A20,clickup_tarefas!$J$2:$J$5000,"")</f>
        <v>3</v>
      </c>
      <c r="D20" s="13" t="n">
        <f aca="false">COUNTIFS(clickup_tarefas!$B$2:$B$5000,A20,clickup_tarefas!$J$2:$J$5000,"&lt;&gt;")</f>
        <v>22</v>
      </c>
      <c r="E20" s="13" t="n">
        <f aca="true">SUMPRODUCT((clickup_tarefas!$B$2:$B$5000=A20)*(clickup_tarefas!$J$2:$J$5000="")*(clickup_tarefas!$H$2:$H$5000&lt;&gt;"")*(clickup_tarefas!$H$2:$H$5000&lt;TODAY()))</f>
        <v>0</v>
      </c>
    </row>
    <row r="21" customFormat="false" ht="15" hidden="false" customHeight="false" outlineLevel="0" collapsed="false">
      <c r="A21" s="13" t="s">
        <v>60</v>
      </c>
      <c r="B21" s="13" t="n">
        <f aca="false">COUNTIF(clickup_tarefas!$B$2:$B$5000,A21)</f>
        <v>45</v>
      </c>
      <c r="C21" s="13" t="n">
        <f aca="false">COUNTIFS(clickup_tarefas!$B$2:$B$5000,A21,clickup_tarefas!$J$2:$J$5000,"")</f>
        <v>26</v>
      </c>
      <c r="D21" s="13" t="n">
        <f aca="false">COUNTIFS(clickup_tarefas!$B$2:$B$5000,A21,clickup_tarefas!$J$2:$J$5000,"&lt;&gt;")</f>
        <v>19</v>
      </c>
      <c r="E21" s="13" t="n">
        <f aca="true">SUMPRODUCT((clickup_tarefas!$B$2:$B$5000=A21)*(clickup_tarefas!$J$2:$J$5000="")*(clickup_tarefas!$H$2:$H$5000&lt;&gt;"")*(clickup_tarefas!$H$2:$H$5000&lt;TODAY()))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56"/>
  </cols>
  <sheetData>
    <row r="1" customFormat="false" ht="31.5" hidden="false" customHeight="true" outlineLevel="0" collapsed="false">
      <c r="A1" s="14" t="s">
        <v>36</v>
      </c>
      <c r="B1" s="14" t="s">
        <v>61</v>
      </c>
      <c r="C1" s="14" t="s">
        <v>62</v>
      </c>
      <c r="D1" s="14" t="s">
        <v>37</v>
      </c>
      <c r="E1" s="14" t="s">
        <v>38</v>
      </c>
      <c r="F1" s="14" t="s">
        <v>63</v>
      </c>
      <c r="G1" s="14" t="s">
        <v>64</v>
      </c>
    </row>
    <row r="2" customFormat="false" ht="15" hidden="false" customHeight="false" outlineLevel="0" collapsed="false">
      <c r="A2" s="15" t="s">
        <v>65</v>
      </c>
      <c r="B2" s="15" t="s">
        <v>66</v>
      </c>
      <c r="C2" s="15" t="s">
        <v>67</v>
      </c>
      <c r="D2" s="16" t="n">
        <v>0.7</v>
      </c>
      <c r="E2" s="16" t="n">
        <v>0.9</v>
      </c>
      <c r="F2" s="17" t="n">
        <v>46387</v>
      </c>
      <c r="G2" s="15" t="s">
        <v>68</v>
      </c>
    </row>
    <row r="3" customFormat="false" ht="15" hidden="false" customHeight="false" outlineLevel="0" collapsed="false">
      <c r="A3" s="18" t="s">
        <v>69</v>
      </c>
      <c r="B3" s="18" t="s">
        <v>66</v>
      </c>
      <c r="C3" s="18" t="s">
        <v>67</v>
      </c>
      <c r="D3" s="19"/>
      <c r="E3" s="19"/>
      <c r="F3" s="20"/>
      <c r="G3" s="21"/>
    </row>
    <row r="4" customFormat="false" ht="15" hidden="false" customHeight="false" outlineLevel="0" collapsed="false">
      <c r="A4" s="18" t="s">
        <v>70</v>
      </c>
      <c r="B4" s="18" t="s">
        <v>66</v>
      </c>
      <c r="C4" s="18" t="s">
        <v>71</v>
      </c>
      <c r="D4" s="19"/>
      <c r="E4" s="19"/>
      <c r="F4" s="20"/>
      <c r="G4" s="21"/>
    </row>
    <row r="5" customFormat="false" ht="15" hidden="false" customHeight="false" outlineLevel="0" collapsed="false">
      <c r="A5" s="18" t="s">
        <v>72</v>
      </c>
      <c r="B5" s="18" t="s">
        <v>66</v>
      </c>
      <c r="C5" s="18" t="s">
        <v>71</v>
      </c>
      <c r="D5" s="19"/>
      <c r="E5" s="19"/>
      <c r="F5" s="20"/>
      <c r="G5" s="21"/>
    </row>
    <row r="6" customFormat="false" ht="15" hidden="false" customHeight="false" outlineLevel="0" collapsed="false">
      <c r="A6" s="18" t="s">
        <v>73</v>
      </c>
      <c r="B6" s="18" t="s">
        <v>74</v>
      </c>
      <c r="C6" s="18" t="s">
        <v>71</v>
      </c>
      <c r="D6" s="22"/>
      <c r="E6" s="22"/>
      <c r="F6" s="20"/>
      <c r="G6" s="21"/>
    </row>
    <row r="7" customFormat="false" ht="15" hidden="false" customHeight="false" outlineLevel="0" collapsed="false">
      <c r="A7" s="18" t="s">
        <v>75</v>
      </c>
      <c r="B7" s="18" t="s">
        <v>74</v>
      </c>
      <c r="C7" s="18" t="s">
        <v>71</v>
      </c>
      <c r="D7" s="22"/>
      <c r="E7" s="22"/>
      <c r="F7" s="20"/>
      <c r="G7" s="21"/>
    </row>
    <row r="8" customFormat="false" ht="15" hidden="false" customHeight="false" outlineLevel="0" collapsed="false">
      <c r="A8" s="18" t="s">
        <v>76</v>
      </c>
      <c r="B8" s="18" t="s">
        <v>66</v>
      </c>
      <c r="C8" s="18" t="s">
        <v>67</v>
      </c>
      <c r="D8" s="19"/>
      <c r="E8" s="19"/>
      <c r="F8" s="20"/>
      <c r="G8" s="21"/>
    </row>
    <row r="9" customFormat="false" ht="15" hidden="false" customHeight="false" outlineLevel="0" collapsed="false">
      <c r="A9" s="18" t="s">
        <v>77</v>
      </c>
      <c r="B9" s="18" t="s">
        <v>66</v>
      </c>
      <c r="C9" s="18" t="s">
        <v>67</v>
      </c>
      <c r="D9" s="19"/>
      <c r="E9" s="19"/>
      <c r="F9" s="20"/>
      <c r="G9" s="21"/>
    </row>
    <row r="10" customFormat="false" ht="15" hidden="false" customHeight="false" outlineLevel="0" collapsed="false">
      <c r="A10" s="18" t="s">
        <v>78</v>
      </c>
      <c r="B10" s="18" t="s">
        <v>66</v>
      </c>
      <c r="C10" s="18" t="s">
        <v>67</v>
      </c>
      <c r="D10" s="19"/>
      <c r="E10" s="19"/>
      <c r="F10" s="20"/>
      <c r="G10" s="21"/>
    </row>
    <row r="11" customFormat="false" ht="15" hidden="false" customHeight="false" outlineLevel="0" collapsed="false">
      <c r="A11" s="18" t="s">
        <v>79</v>
      </c>
      <c r="B11" s="18" t="s">
        <v>80</v>
      </c>
      <c r="C11" s="18" t="s">
        <v>67</v>
      </c>
      <c r="D11" s="22"/>
      <c r="E11" s="22"/>
      <c r="F11" s="20"/>
      <c r="G11" s="21"/>
    </row>
  </sheetData>
  <dataValidations count="1">
    <dataValidation allowBlank="true" errorStyle="stop" operator="between" showDropDown="false" showErrorMessage="false" showInputMessage="false" sqref="C3:C60" type="list">
      <formula1>"Maior,Menor"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28"/>
    <col collapsed="false" customWidth="true" hidden="false" outlineLevel="0" max="11" min="11" style="0" width="36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40</v>
      </c>
      <c r="H1" s="14" t="s">
        <v>87</v>
      </c>
      <c r="I1" s="14" t="s">
        <v>88</v>
      </c>
      <c r="J1" s="14" t="s">
        <v>89</v>
      </c>
      <c r="K1" s="14" t="s">
        <v>90</v>
      </c>
      <c r="L1" s="14" t="s">
        <v>91</v>
      </c>
      <c r="M1" s="14" t="s">
        <v>92</v>
      </c>
    </row>
    <row r="2" customFormat="false" ht="15" hidden="false" customHeight="false" outlineLevel="0" collapsed="false">
      <c r="A2" s="15" t="s">
        <v>93</v>
      </c>
      <c r="B2" s="15" t="n">
        <v>1</v>
      </c>
      <c r="C2" s="15" t="s">
        <v>94</v>
      </c>
      <c r="D2" s="15" t="s">
        <v>95</v>
      </c>
      <c r="E2" s="17" t="n">
        <v>46314</v>
      </c>
      <c r="F2" s="17" t="n">
        <v>46325</v>
      </c>
      <c r="G2" s="15" t="s">
        <v>96</v>
      </c>
      <c r="H2" s="16" t="n">
        <v>0.4</v>
      </c>
      <c r="I2" s="15" t="n">
        <v>2</v>
      </c>
      <c r="J2" s="15"/>
      <c r="K2" s="15" t="s">
        <v>97</v>
      </c>
      <c r="L2" s="23" t="n">
        <f aca="false">IF(C2="","",IF(G2="Concluída",1,N(H2)))</f>
        <v>0.4</v>
      </c>
      <c r="M2" s="24" t="str">
        <f aca="true">IF(C2="","",IF(G2="Concluída","Concluída",IF(AND(F2&lt;&gt;"",F2&lt;TODAY()),"Atrasada","No prazo")))</f>
        <v>No prazo</v>
      </c>
    </row>
    <row r="3" customFormat="false" ht="15" hidden="false" customHeight="false" outlineLevel="0" collapsed="false">
      <c r="A3" s="18"/>
      <c r="B3" s="18"/>
      <c r="C3" s="18"/>
      <c r="D3" s="18"/>
      <c r="E3" s="25"/>
      <c r="F3" s="25"/>
      <c r="G3" s="18"/>
      <c r="H3" s="26"/>
      <c r="I3" s="18"/>
      <c r="J3" s="18"/>
      <c r="K3" s="18"/>
      <c r="L3" s="27" t="str">
        <f aca="false">IF(C3="","",IF(G3="Concluída",1,N(H3)))</f>
        <v/>
      </c>
      <c r="M3" s="13" t="str">
        <f aca="true">IF(C3="","",IF(G3="Concluída","Concluída",IF(AND(F3&lt;&gt;"",F3&lt;TODAY()),"Atrasada","No prazo")))</f>
        <v/>
      </c>
    </row>
    <row r="4" customFormat="false" ht="15" hidden="false" customHeight="false" outlineLevel="0" collapsed="false">
      <c r="A4" s="18"/>
      <c r="B4" s="18"/>
      <c r="C4" s="18"/>
      <c r="D4" s="18"/>
      <c r="E4" s="25"/>
      <c r="F4" s="25"/>
      <c r="G4" s="18"/>
      <c r="H4" s="26"/>
      <c r="I4" s="18"/>
      <c r="J4" s="18"/>
      <c r="K4" s="18"/>
      <c r="L4" s="27" t="str">
        <f aca="false">IF(C4="","",IF(G4="Concluída",1,N(H4)))</f>
        <v/>
      </c>
      <c r="M4" s="13" t="str">
        <f aca="true">IF(C4="","",IF(G4="Concluída","Concluída",IF(AND(F4&lt;&gt;"",F4&lt;TODAY()),"Atrasada","No prazo")))</f>
        <v/>
      </c>
    </row>
    <row r="5" customFormat="false" ht="15" hidden="false" customHeight="false" outlineLevel="0" collapsed="false">
      <c r="A5" s="18"/>
      <c r="B5" s="18"/>
      <c r="C5" s="18"/>
      <c r="D5" s="18"/>
      <c r="E5" s="25"/>
      <c r="F5" s="25"/>
      <c r="G5" s="18"/>
      <c r="H5" s="26"/>
      <c r="I5" s="18"/>
      <c r="J5" s="18"/>
      <c r="K5" s="18"/>
      <c r="L5" s="27" t="str">
        <f aca="false">IF(C5="","",IF(G5="Concluída",1,N(H5)))</f>
        <v/>
      </c>
      <c r="M5" s="13" t="str">
        <f aca="true">IF(C5="","",IF(G5="Concluída","Concluída",IF(AND(F5&lt;&gt;"",F5&lt;TODAY()),"Atrasada","No prazo")))</f>
        <v/>
      </c>
    </row>
    <row r="6" customFormat="false" ht="15" hidden="false" customHeight="false" outlineLevel="0" collapsed="false">
      <c r="A6" s="18"/>
      <c r="B6" s="18"/>
      <c r="C6" s="18"/>
      <c r="D6" s="18"/>
      <c r="E6" s="25"/>
      <c r="F6" s="25"/>
      <c r="G6" s="18"/>
      <c r="H6" s="26"/>
      <c r="I6" s="18"/>
      <c r="J6" s="18"/>
      <c r="K6" s="18"/>
      <c r="L6" s="27" t="str">
        <f aca="false">IF(C6="","",IF(G6="Concluída",1,N(H6)))</f>
        <v/>
      </c>
      <c r="M6" s="13" t="str">
        <f aca="true">IF(C6="","",IF(G6="Concluída","Concluída",IF(AND(F6&lt;&gt;"",F6&lt;TODAY()),"Atrasada","No prazo")))</f>
        <v/>
      </c>
    </row>
    <row r="7" customFormat="false" ht="15" hidden="false" customHeight="false" outlineLevel="0" collapsed="false">
      <c r="A7" s="18"/>
      <c r="B7" s="18"/>
      <c r="C7" s="18"/>
      <c r="D7" s="18"/>
      <c r="E7" s="25"/>
      <c r="F7" s="25"/>
      <c r="G7" s="18"/>
      <c r="H7" s="26"/>
      <c r="I7" s="18"/>
      <c r="J7" s="18"/>
      <c r="K7" s="18"/>
      <c r="L7" s="27" t="str">
        <f aca="false">IF(C7="","",IF(G7="Concluída",1,N(H7)))</f>
        <v/>
      </c>
      <c r="M7" s="13" t="str">
        <f aca="true">IF(C7="","",IF(G7="Concluída","Concluída",IF(AND(F7&lt;&gt;"",F7&lt;TODAY()),"Atrasada","No prazo")))</f>
        <v/>
      </c>
    </row>
    <row r="8" customFormat="false" ht="15" hidden="false" customHeight="false" outlineLevel="0" collapsed="false">
      <c r="A8" s="18"/>
      <c r="B8" s="18"/>
      <c r="C8" s="18"/>
      <c r="D8" s="18"/>
      <c r="E8" s="25"/>
      <c r="F8" s="25"/>
      <c r="G8" s="18"/>
      <c r="H8" s="26"/>
      <c r="I8" s="18"/>
      <c r="J8" s="18"/>
      <c r="K8" s="18"/>
      <c r="L8" s="27" t="str">
        <f aca="false">IF(C8="","",IF(G8="Concluída",1,N(H8)))</f>
        <v/>
      </c>
      <c r="M8" s="13" t="str">
        <f aca="true">IF(C8="","",IF(G8="Concluída","Concluída",IF(AND(F8&lt;&gt;"",F8&lt;TODAY()),"Atrasada","No prazo")))</f>
        <v/>
      </c>
    </row>
    <row r="9" customFormat="false" ht="15" hidden="false" customHeight="false" outlineLevel="0" collapsed="false">
      <c r="A9" s="18"/>
      <c r="B9" s="18"/>
      <c r="C9" s="18"/>
      <c r="D9" s="18"/>
      <c r="E9" s="25"/>
      <c r="F9" s="25"/>
      <c r="G9" s="18"/>
      <c r="H9" s="26"/>
      <c r="I9" s="18"/>
      <c r="J9" s="18"/>
      <c r="K9" s="18"/>
      <c r="L9" s="27" t="str">
        <f aca="false">IF(C9="","",IF(G9="Concluída",1,N(H9)))</f>
        <v/>
      </c>
      <c r="M9" s="13" t="str">
        <f aca="true">IF(C9="","",IF(G9="Concluída","Concluída",IF(AND(F9&lt;&gt;"",F9&lt;TODAY()),"Atrasada","No prazo")))</f>
        <v/>
      </c>
    </row>
    <row r="10" customFormat="false" ht="15" hidden="false" customHeight="false" outlineLevel="0" collapsed="false">
      <c r="A10" s="18"/>
      <c r="B10" s="18"/>
      <c r="C10" s="18"/>
      <c r="D10" s="18"/>
      <c r="E10" s="25"/>
      <c r="F10" s="25"/>
      <c r="G10" s="18"/>
      <c r="H10" s="26"/>
      <c r="I10" s="18"/>
      <c r="J10" s="18"/>
      <c r="K10" s="18"/>
      <c r="L10" s="27" t="str">
        <f aca="false">IF(C10="","",IF(G10="Concluída",1,N(H10)))</f>
        <v/>
      </c>
      <c r="M10" s="13" t="str">
        <f aca="true">IF(C10="","",IF(G10="Concluída","Concluída",IF(AND(F10&lt;&gt;"",F10&lt;TODAY()),"Atrasada","No prazo")))</f>
        <v/>
      </c>
    </row>
    <row r="11" customFormat="false" ht="15" hidden="false" customHeight="false" outlineLevel="0" collapsed="false">
      <c r="A11" s="18"/>
      <c r="B11" s="18"/>
      <c r="C11" s="18"/>
      <c r="D11" s="18"/>
      <c r="E11" s="25"/>
      <c r="F11" s="25"/>
      <c r="G11" s="18"/>
      <c r="H11" s="26"/>
      <c r="I11" s="18"/>
      <c r="J11" s="18"/>
      <c r="K11" s="18"/>
      <c r="L11" s="27" t="str">
        <f aca="false">IF(C11="","",IF(G11="Concluída",1,N(H11)))</f>
        <v/>
      </c>
      <c r="M11" s="13" t="str">
        <f aca="true">IF(C11="","",IF(G11="Concluída","Concluída",IF(AND(F11&lt;&gt;"",F11&lt;TODAY()),"Atrasada","No prazo")))</f>
        <v/>
      </c>
    </row>
    <row r="12" customFormat="false" ht="15" hidden="false" customHeight="false" outlineLevel="0" collapsed="false">
      <c r="A12" s="18"/>
      <c r="B12" s="18"/>
      <c r="C12" s="18"/>
      <c r="D12" s="18"/>
      <c r="E12" s="25"/>
      <c r="F12" s="25"/>
      <c r="G12" s="18"/>
      <c r="H12" s="26"/>
      <c r="I12" s="18"/>
      <c r="J12" s="18"/>
      <c r="K12" s="18"/>
      <c r="L12" s="27" t="str">
        <f aca="false">IF(C12="","",IF(G12="Concluída",1,N(H12)))</f>
        <v/>
      </c>
      <c r="M12" s="13" t="str">
        <f aca="true">IF(C12="","",IF(G12="Concluída","Concluída",IF(AND(F12&lt;&gt;"",F12&lt;TODAY()),"Atrasada","No prazo")))</f>
        <v/>
      </c>
    </row>
    <row r="13" customFormat="false" ht="15" hidden="false" customHeight="false" outlineLevel="0" collapsed="false">
      <c r="A13" s="18"/>
      <c r="B13" s="18"/>
      <c r="C13" s="18"/>
      <c r="D13" s="18"/>
      <c r="E13" s="25"/>
      <c r="F13" s="25"/>
      <c r="G13" s="18"/>
      <c r="H13" s="26"/>
      <c r="I13" s="18"/>
      <c r="J13" s="18"/>
      <c r="K13" s="18"/>
      <c r="L13" s="27" t="str">
        <f aca="false">IF(C13="","",IF(G13="Concluída",1,N(H13)))</f>
        <v/>
      </c>
      <c r="M13" s="13" t="str">
        <f aca="true">IF(C13="","",IF(G13="Concluída","Concluída",IF(AND(F13&lt;&gt;"",F13&lt;TODAY()),"Atrasada","No prazo")))</f>
        <v/>
      </c>
    </row>
    <row r="14" customFormat="false" ht="15" hidden="false" customHeight="false" outlineLevel="0" collapsed="false">
      <c r="A14" s="18"/>
      <c r="B14" s="18"/>
      <c r="C14" s="18"/>
      <c r="D14" s="18"/>
      <c r="E14" s="25"/>
      <c r="F14" s="25"/>
      <c r="G14" s="18"/>
      <c r="H14" s="26"/>
      <c r="I14" s="18"/>
      <c r="J14" s="18"/>
      <c r="K14" s="18"/>
      <c r="L14" s="27" t="str">
        <f aca="false">IF(C14="","",IF(G14="Concluída",1,N(H14)))</f>
        <v/>
      </c>
      <c r="M14" s="13" t="str">
        <f aca="true">IF(C14="","",IF(G14="Concluída","Concluída",IF(AND(F14&lt;&gt;"",F14&lt;TODAY()),"Atrasada","No prazo")))</f>
        <v/>
      </c>
    </row>
    <row r="15" customFormat="false" ht="15" hidden="false" customHeight="false" outlineLevel="0" collapsed="false">
      <c r="A15" s="18"/>
      <c r="B15" s="18"/>
      <c r="C15" s="18"/>
      <c r="D15" s="18"/>
      <c r="E15" s="25"/>
      <c r="F15" s="25"/>
      <c r="G15" s="18"/>
      <c r="H15" s="26"/>
      <c r="I15" s="18"/>
      <c r="J15" s="18"/>
      <c r="K15" s="18"/>
      <c r="L15" s="27" t="str">
        <f aca="false">IF(C15="","",IF(G15="Concluída",1,N(H15)))</f>
        <v/>
      </c>
      <c r="M15" s="13" t="str">
        <f aca="true">IF(C15="","",IF(G15="Concluída","Concluída",IF(AND(F15&lt;&gt;"",F15&lt;TODAY()),"Atrasada","No prazo")))</f>
        <v/>
      </c>
    </row>
    <row r="16" customFormat="false" ht="15" hidden="false" customHeight="false" outlineLevel="0" collapsed="false">
      <c r="A16" s="18"/>
      <c r="B16" s="18"/>
      <c r="C16" s="18"/>
      <c r="D16" s="18"/>
      <c r="E16" s="25"/>
      <c r="F16" s="25"/>
      <c r="G16" s="18"/>
      <c r="H16" s="26"/>
      <c r="I16" s="18"/>
      <c r="J16" s="18"/>
      <c r="K16" s="18"/>
      <c r="L16" s="27" t="str">
        <f aca="false">IF(C16="","",IF(G16="Concluída",1,N(H16)))</f>
        <v/>
      </c>
      <c r="M16" s="13" t="str">
        <f aca="true">IF(C16="","",IF(G16="Concluída","Concluída",IF(AND(F16&lt;&gt;"",F16&lt;TODAY()),"Atrasada","No prazo")))</f>
        <v/>
      </c>
    </row>
    <row r="17" customFormat="false" ht="15" hidden="false" customHeight="false" outlineLevel="0" collapsed="false">
      <c r="A17" s="18"/>
      <c r="B17" s="18"/>
      <c r="C17" s="18"/>
      <c r="D17" s="18"/>
      <c r="E17" s="25"/>
      <c r="F17" s="25"/>
      <c r="G17" s="18"/>
      <c r="H17" s="26"/>
      <c r="I17" s="18"/>
      <c r="J17" s="18"/>
      <c r="K17" s="18"/>
      <c r="L17" s="27" t="str">
        <f aca="false">IF(C17="","",IF(G17="Concluída",1,N(H17)))</f>
        <v/>
      </c>
      <c r="M17" s="13" t="str">
        <f aca="true">IF(C17="","",IF(G17="Concluída","Concluída",IF(AND(F17&lt;&gt;"",F17&lt;TODAY()),"Atrasada","No prazo")))</f>
        <v/>
      </c>
    </row>
    <row r="18" customFormat="false" ht="15" hidden="false" customHeight="false" outlineLevel="0" collapsed="false">
      <c r="A18" s="18"/>
      <c r="B18" s="18"/>
      <c r="C18" s="18"/>
      <c r="D18" s="18"/>
      <c r="E18" s="25"/>
      <c r="F18" s="25"/>
      <c r="G18" s="18"/>
      <c r="H18" s="26"/>
      <c r="I18" s="18"/>
      <c r="J18" s="18"/>
      <c r="K18" s="18"/>
      <c r="L18" s="27" t="str">
        <f aca="false">IF(C18="","",IF(G18="Concluída",1,N(H18)))</f>
        <v/>
      </c>
      <c r="M18" s="13" t="str">
        <f aca="true">IF(C18="","",IF(G18="Concluída","Concluída",IF(AND(F18&lt;&gt;"",F18&lt;TODAY()),"Atrasada","No prazo")))</f>
        <v/>
      </c>
    </row>
    <row r="19" customFormat="false" ht="15" hidden="false" customHeight="false" outlineLevel="0" collapsed="false">
      <c r="A19" s="18"/>
      <c r="B19" s="18"/>
      <c r="C19" s="18"/>
      <c r="D19" s="18"/>
      <c r="E19" s="25"/>
      <c r="F19" s="25"/>
      <c r="G19" s="18"/>
      <c r="H19" s="26"/>
      <c r="I19" s="18"/>
      <c r="J19" s="18"/>
      <c r="K19" s="18"/>
      <c r="L19" s="27" t="str">
        <f aca="false">IF(C19="","",IF(G19="Concluída",1,N(H19)))</f>
        <v/>
      </c>
      <c r="M19" s="13" t="str">
        <f aca="true">IF(C19="","",IF(G19="Concluída","Concluída",IF(AND(F19&lt;&gt;"",F19&lt;TODAY()),"Atrasada","No prazo")))</f>
        <v/>
      </c>
    </row>
    <row r="20" customFormat="false" ht="15" hidden="false" customHeight="false" outlineLevel="0" collapsed="false">
      <c r="A20" s="18"/>
      <c r="B20" s="18"/>
      <c r="C20" s="18"/>
      <c r="D20" s="18"/>
      <c r="E20" s="25"/>
      <c r="F20" s="25"/>
      <c r="G20" s="18"/>
      <c r="H20" s="26"/>
      <c r="I20" s="18"/>
      <c r="J20" s="18"/>
      <c r="K20" s="18"/>
      <c r="L20" s="27" t="str">
        <f aca="false">IF(C20="","",IF(G20="Concluída",1,N(H20)))</f>
        <v/>
      </c>
      <c r="M20" s="13" t="str">
        <f aca="true">IF(C20="","",IF(G20="Concluída","Concluída",IF(AND(F20&lt;&gt;"",F20&lt;TODAY()),"Atrasada","No prazo")))</f>
        <v/>
      </c>
    </row>
    <row r="21" customFormat="false" ht="15" hidden="false" customHeight="false" outlineLevel="0" collapsed="false">
      <c r="A21" s="18"/>
      <c r="B21" s="18"/>
      <c r="C21" s="18"/>
      <c r="D21" s="18"/>
      <c r="E21" s="25"/>
      <c r="F21" s="25"/>
      <c r="G21" s="18"/>
      <c r="H21" s="26"/>
      <c r="I21" s="18"/>
      <c r="J21" s="18"/>
      <c r="K21" s="18"/>
      <c r="L21" s="27" t="str">
        <f aca="false">IF(C21="","",IF(G21="Concluída",1,N(H21)))</f>
        <v/>
      </c>
      <c r="M21" s="13" t="str">
        <f aca="true">IF(C21="","",IF(G21="Concluída","Concluída",IF(AND(F21&lt;&gt;"",F21&lt;TODAY()),"Atrasada","No prazo")))</f>
        <v/>
      </c>
    </row>
    <row r="22" customFormat="false" ht="15" hidden="false" customHeight="false" outlineLevel="0" collapsed="false">
      <c r="A22" s="18"/>
      <c r="B22" s="18"/>
      <c r="C22" s="18"/>
      <c r="D22" s="18"/>
      <c r="E22" s="25"/>
      <c r="F22" s="25"/>
      <c r="G22" s="18"/>
      <c r="H22" s="26"/>
      <c r="I22" s="18"/>
      <c r="J22" s="18"/>
      <c r="K22" s="18"/>
      <c r="L22" s="27" t="str">
        <f aca="false">IF(C22="","",IF(G22="Concluída",1,N(H22)))</f>
        <v/>
      </c>
      <c r="M22" s="13" t="str">
        <f aca="true">IF(C22="","",IF(G22="Concluída","Concluída",IF(AND(F22&lt;&gt;"",F22&lt;TODAY()),"Atrasada","No prazo")))</f>
        <v/>
      </c>
    </row>
    <row r="23" customFormat="false" ht="15" hidden="false" customHeight="false" outlineLevel="0" collapsed="false">
      <c r="A23" s="18"/>
      <c r="B23" s="18"/>
      <c r="C23" s="18"/>
      <c r="D23" s="18"/>
      <c r="E23" s="25"/>
      <c r="F23" s="25"/>
      <c r="G23" s="18"/>
      <c r="H23" s="26"/>
      <c r="I23" s="18"/>
      <c r="J23" s="18"/>
      <c r="K23" s="18"/>
      <c r="L23" s="27" t="str">
        <f aca="false">IF(C23="","",IF(G23="Concluída",1,N(H23)))</f>
        <v/>
      </c>
      <c r="M23" s="13" t="str">
        <f aca="true">IF(C23="","",IF(G23="Concluída","Concluída",IF(AND(F23&lt;&gt;"",F23&lt;TODAY()),"Atrasada","No prazo")))</f>
        <v/>
      </c>
    </row>
    <row r="24" customFormat="false" ht="15" hidden="false" customHeight="false" outlineLevel="0" collapsed="false">
      <c r="A24" s="18"/>
      <c r="B24" s="18"/>
      <c r="C24" s="18"/>
      <c r="D24" s="18"/>
      <c r="E24" s="25"/>
      <c r="F24" s="25"/>
      <c r="G24" s="18"/>
      <c r="H24" s="26"/>
      <c r="I24" s="18"/>
      <c r="J24" s="18"/>
      <c r="K24" s="18"/>
      <c r="L24" s="27" t="str">
        <f aca="false">IF(C24="","",IF(G24="Concluída",1,N(H24)))</f>
        <v/>
      </c>
      <c r="M24" s="13" t="str">
        <f aca="true">IF(C24="","",IF(G24="Concluída","Concluída",IF(AND(F24&lt;&gt;"",F24&lt;TODAY()),"Atrasada","No prazo")))</f>
        <v/>
      </c>
    </row>
    <row r="25" customFormat="false" ht="15" hidden="false" customHeight="false" outlineLevel="0" collapsed="false">
      <c r="A25" s="18"/>
      <c r="B25" s="18"/>
      <c r="C25" s="18"/>
      <c r="D25" s="18"/>
      <c r="E25" s="25"/>
      <c r="F25" s="25"/>
      <c r="G25" s="18"/>
      <c r="H25" s="26"/>
      <c r="I25" s="18"/>
      <c r="J25" s="18"/>
      <c r="K25" s="18"/>
      <c r="L25" s="27" t="str">
        <f aca="false">IF(C25="","",IF(G25="Concluída",1,N(H25)))</f>
        <v/>
      </c>
      <c r="M25" s="13" t="str">
        <f aca="true">IF(C25="","",IF(G25="Concluída","Concluída",IF(AND(F25&lt;&gt;"",F25&lt;TODAY()),"Atrasada","No prazo")))</f>
        <v/>
      </c>
    </row>
    <row r="26" customFormat="false" ht="15" hidden="false" customHeight="false" outlineLevel="0" collapsed="false">
      <c r="A26" s="18"/>
      <c r="B26" s="18"/>
      <c r="C26" s="18"/>
      <c r="D26" s="18"/>
      <c r="E26" s="25"/>
      <c r="F26" s="25"/>
      <c r="G26" s="18"/>
      <c r="H26" s="26"/>
      <c r="I26" s="18"/>
      <c r="J26" s="18"/>
      <c r="K26" s="18"/>
      <c r="L26" s="27" t="str">
        <f aca="false">IF(C26="","",IF(G26="Concluída",1,N(H26)))</f>
        <v/>
      </c>
      <c r="M26" s="13" t="str">
        <f aca="true">IF(C26="","",IF(G26="Concluída","Concluída",IF(AND(F26&lt;&gt;"",F26&lt;TODAY()),"Atrasada","No prazo")))</f>
        <v/>
      </c>
    </row>
    <row r="27" customFormat="false" ht="15" hidden="false" customHeight="false" outlineLevel="0" collapsed="false">
      <c r="A27" s="18"/>
      <c r="B27" s="18"/>
      <c r="C27" s="18"/>
      <c r="D27" s="18"/>
      <c r="E27" s="25"/>
      <c r="F27" s="25"/>
      <c r="G27" s="18"/>
      <c r="H27" s="26"/>
      <c r="I27" s="18"/>
      <c r="J27" s="18"/>
      <c r="K27" s="18"/>
      <c r="L27" s="27" t="str">
        <f aca="false">IF(C27="","",IF(G27="Concluída",1,N(H27)))</f>
        <v/>
      </c>
      <c r="M27" s="13" t="str">
        <f aca="true">IF(C27="","",IF(G27="Concluída","Concluída",IF(AND(F27&lt;&gt;"",F27&lt;TODAY()),"Atrasada","No prazo")))</f>
        <v/>
      </c>
    </row>
    <row r="28" customFormat="false" ht="15" hidden="false" customHeight="false" outlineLevel="0" collapsed="false">
      <c r="A28" s="18"/>
      <c r="B28" s="18"/>
      <c r="C28" s="18"/>
      <c r="D28" s="18"/>
      <c r="E28" s="25"/>
      <c r="F28" s="25"/>
      <c r="G28" s="18"/>
      <c r="H28" s="26"/>
      <c r="I28" s="18"/>
      <c r="J28" s="18"/>
      <c r="K28" s="18"/>
      <c r="L28" s="27" t="str">
        <f aca="false">IF(C28="","",IF(G28="Concluída",1,N(H28)))</f>
        <v/>
      </c>
      <c r="M28" s="13" t="str">
        <f aca="true">IF(C28="","",IF(G28="Concluída","Concluída",IF(AND(F28&lt;&gt;"",F28&lt;TODAY()),"Atrasada","No prazo")))</f>
        <v/>
      </c>
    </row>
    <row r="29" customFormat="false" ht="15" hidden="false" customHeight="false" outlineLevel="0" collapsed="false">
      <c r="A29" s="18"/>
      <c r="B29" s="18"/>
      <c r="C29" s="18"/>
      <c r="D29" s="18"/>
      <c r="E29" s="25"/>
      <c r="F29" s="25"/>
      <c r="G29" s="18"/>
      <c r="H29" s="26"/>
      <c r="I29" s="18"/>
      <c r="J29" s="18"/>
      <c r="K29" s="18"/>
      <c r="L29" s="27" t="str">
        <f aca="false">IF(C29="","",IF(G29="Concluída",1,N(H29)))</f>
        <v/>
      </c>
      <c r="M29" s="13" t="str">
        <f aca="true">IF(C29="","",IF(G29="Concluída","Concluída",IF(AND(F29&lt;&gt;"",F29&lt;TODAY()),"Atrasada","No prazo")))</f>
        <v/>
      </c>
    </row>
    <row r="30" customFormat="false" ht="15" hidden="false" customHeight="false" outlineLevel="0" collapsed="false">
      <c r="A30" s="18"/>
      <c r="B30" s="18"/>
      <c r="C30" s="18"/>
      <c r="D30" s="18"/>
      <c r="E30" s="25"/>
      <c r="F30" s="25"/>
      <c r="G30" s="18"/>
      <c r="H30" s="26"/>
      <c r="I30" s="18"/>
      <c r="J30" s="18"/>
      <c r="K30" s="18"/>
      <c r="L30" s="27" t="str">
        <f aca="false">IF(C30="","",IF(G30="Concluída",1,N(H30)))</f>
        <v/>
      </c>
      <c r="M30" s="13" t="str">
        <f aca="true">IF(C30="","",IF(G30="Concluída","Concluída",IF(AND(F30&lt;&gt;"",F30&lt;TODAY()),"Atrasada","No prazo")))</f>
        <v/>
      </c>
    </row>
    <row r="31" customFormat="false" ht="15" hidden="false" customHeight="false" outlineLevel="0" collapsed="false">
      <c r="A31" s="18"/>
      <c r="B31" s="18"/>
      <c r="C31" s="18"/>
      <c r="D31" s="18"/>
      <c r="E31" s="25"/>
      <c r="F31" s="25"/>
      <c r="G31" s="18"/>
      <c r="H31" s="26"/>
      <c r="I31" s="18"/>
      <c r="J31" s="18"/>
      <c r="K31" s="18"/>
      <c r="L31" s="27" t="str">
        <f aca="false">IF(C31="","",IF(G31="Concluída",1,N(H31)))</f>
        <v/>
      </c>
      <c r="M31" s="13" t="str">
        <f aca="true">IF(C31="","",IF(G31="Concluída","Concluída",IF(AND(F31&lt;&gt;"",F31&lt;TODAY()),"Atrasada","No prazo")))</f>
        <v/>
      </c>
    </row>
    <row r="32" customFormat="false" ht="15" hidden="false" customHeight="false" outlineLevel="0" collapsed="false">
      <c r="A32" s="18"/>
      <c r="B32" s="18"/>
      <c r="C32" s="18"/>
      <c r="D32" s="18"/>
      <c r="E32" s="25"/>
      <c r="F32" s="25"/>
      <c r="G32" s="18"/>
      <c r="H32" s="26"/>
      <c r="I32" s="18"/>
      <c r="J32" s="18"/>
      <c r="K32" s="18"/>
      <c r="L32" s="27" t="str">
        <f aca="false">IF(C32="","",IF(G32="Concluída",1,N(H32)))</f>
        <v/>
      </c>
      <c r="M32" s="13" t="str">
        <f aca="true">IF(C32="","",IF(G32="Concluída","Concluída",IF(AND(F32&lt;&gt;"",F32&lt;TODAY()),"Atrasada","No prazo")))</f>
        <v/>
      </c>
    </row>
    <row r="33" customFormat="false" ht="15" hidden="false" customHeight="false" outlineLevel="0" collapsed="false">
      <c r="A33" s="18"/>
      <c r="B33" s="18"/>
      <c r="C33" s="18"/>
      <c r="D33" s="18"/>
      <c r="E33" s="25"/>
      <c r="F33" s="25"/>
      <c r="G33" s="18"/>
      <c r="H33" s="26"/>
      <c r="I33" s="18"/>
      <c r="J33" s="18"/>
      <c r="K33" s="18"/>
      <c r="L33" s="27" t="str">
        <f aca="false">IF(C33="","",IF(G33="Concluída",1,N(H33)))</f>
        <v/>
      </c>
      <c r="M33" s="13" t="str">
        <f aca="true">IF(C33="","",IF(G33="Concluída","Concluída",IF(AND(F33&lt;&gt;"",F33&lt;TODAY()),"Atrasada","No prazo")))</f>
        <v/>
      </c>
    </row>
    <row r="34" customFormat="false" ht="15" hidden="false" customHeight="false" outlineLevel="0" collapsed="false">
      <c r="A34" s="18"/>
      <c r="B34" s="18"/>
      <c r="C34" s="18"/>
      <c r="D34" s="18"/>
      <c r="E34" s="25"/>
      <c r="F34" s="25"/>
      <c r="G34" s="18"/>
      <c r="H34" s="26"/>
      <c r="I34" s="18"/>
      <c r="J34" s="18"/>
      <c r="K34" s="18"/>
      <c r="L34" s="27" t="str">
        <f aca="false">IF(C34="","",IF(G34="Concluída",1,N(H34)))</f>
        <v/>
      </c>
      <c r="M34" s="13" t="str">
        <f aca="true">IF(C34="","",IF(G34="Concluída","Concluída",IF(AND(F34&lt;&gt;"",F34&lt;TODAY()),"Atrasada","No prazo")))</f>
        <v/>
      </c>
    </row>
    <row r="35" customFormat="false" ht="15" hidden="false" customHeight="false" outlineLevel="0" collapsed="false">
      <c r="A35" s="18"/>
      <c r="B35" s="18"/>
      <c r="C35" s="18"/>
      <c r="D35" s="18"/>
      <c r="E35" s="25"/>
      <c r="F35" s="25"/>
      <c r="G35" s="18"/>
      <c r="H35" s="26"/>
      <c r="I35" s="18"/>
      <c r="J35" s="18"/>
      <c r="K35" s="18"/>
      <c r="L35" s="27" t="str">
        <f aca="false">IF(C35="","",IF(G35="Concluída",1,N(H35)))</f>
        <v/>
      </c>
      <c r="M35" s="13" t="str">
        <f aca="true">IF(C35="","",IF(G35="Concluída","Concluída",IF(AND(F35&lt;&gt;"",F35&lt;TODAY()),"Atrasada","No prazo")))</f>
        <v/>
      </c>
    </row>
    <row r="36" customFormat="false" ht="15" hidden="false" customHeight="false" outlineLevel="0" collapsed="false">
      <c r="A36" s="18"/>
      <c r="B36" s="18"/>
      <c r="C36" s="18"/>
      <c r="D36" s="18"/>
      <c r="E36" s="25"/>
      <c r="F36" s="25"/>
      <c r="G36" s="18"/>
      <c r="H36" s="26"/>
      <c r="I36" s="18"/>
      <c r="J36" s="18"/>
      <c r="K36" s="18"/>
      <c r="L36" s="27" t="str">
        <f aca="false">IF(C36="","",IF(G36="Concluída",1,N(H36)))</f>
        <v/>
      </c>
      <c r="M36" s="13" t="str">
        <f aca="true">IF(C36="","",IF(G36="Concluída","Concluída",IF(AND(F36&lt;&gt;"",F36&lt;TODAY()),"Atrasada","No prazo")))</f>
        <v/>
      </c>
    </row>
    <row r="37" customFormat="false" ht="15" hidden="false" customHeight="false" outlineLevel="0" collapsed="false">
      <c r="A37" s="18"/>
      <c r="B37" s="18"/>
      <c r="C37" s="18"/>
      <c r="D37" s="18"/>
      <c r="E37" s="25"/>
      <c r="F37" s="25"/>
      <c r="G37" s="18"/>
      <c r="H37" s="26"/>
      <c r="I37" s="18"/>
      <c r="J37" s="18"/>
      <c r="K37" s="18"/>
      <c r="L37" s="27" t="str">
        <f aca="false">IF(C37="","",IF(G37="Concluída",1,N(H37)))</f>
        <v/>
      </c>
      <c r="M37" s="13" t="str">
        <f aca="true">IF(C37="","",IF(G37="Concluída","Concluída",IF(AND(F37&lt;&gt;"",F37&lt;TODAY()),"Atrasada","No prazo")))</f>
        <v/>
      </c>
    </row>
    <row r="38" customFormat="false" ht="15" hidden="false" customHeight="false" outlineLevel="0" collapsed="false">
      <c r="A38" s="18"/>
      <c r="B38" s="18"/>
      <c r="C38" s="18"/>
      <c r="D38" s="18"/>
      <c r="E38" s="25"/>
      <c r="F38" s="25"/>
      <c r="G38" s="18"/>
      <c r="H38" s="26"/>
      <c r="I38" s="18"/>
      <c r="J38" s="18"/>
      <c r="K38" s="18"/>
      <c r="L38" s="27" t="str">
        <f aca="false">IF(C38="","",IF(G38="Concluída",1,N(H38)))</f>
        <v/>
      </c>
      <c r="M38" s="13" t="str">
        <f aca="true">IF(C38="","",IF(G38="Concluída","Concluída",IF(AND(F38&lt;&gt;"",F38&lt;TODAY()),"Atrasada","No prazo")))</f>
        <v/>
      </c>
    </row>
    <row r="39" customFormat="false" ht="15" hidden="false" customHeight="false" outlineLevel="0" collapsed="false">
      <c r="A39" s="18"/>
      <c r="B39" s="18"/>
      <c r="C39" s="18"/>
      <c r="D39" s="18"/>
      <c r="E39" s="25"/>
      <c r="F39" s="25"/>
      <c r="G39" s="18"/>
      <c r="H39" s="26"/>
      <c r="I39" s="18"/>
      <c r="J39" s="18"/>
      <c r="K39" s="18"/>
      <c r="L39" s="27" t="str">
        <f aca="false">IF(C39="","",IF(G39="Concluída",1,N(H39)))</f>
        <v/>
      </c>
      <c r="M39" s="13" t="str">
        <f aca="true">IF(C39="","",IF(G39="Concluída","Concluída",IF(AND(F39&lt;&gt;"",F39&lt;TODAY()),"Atrasada","No prazo")))</f>
        <v/>
      </c>
    </row>
    <row r="40" customFormat="false" ht="15" hidden="false" customHeight="false" outlineLevel="0" collapsed="false">
      <c r="A40" s="18"/>
      <c r="B40" s="18"/>
      <c r="C40" s="18"/>
      <c r="D40" s="18"/>
      <c r="E40" s="25"/>
      <c r="F40" s="25"/>
      <c r="G40" s="18"/>
      <c r="H40" s="26"/>
      <c r="I40" s="18"/>
      <c r="J40" s="18"/>
      <c r="K40" s="18"/>
      <c r="L40" s="27" t="str">
        <f aca="false">IF(C40="","",IF(G40="Concluída",1,N(H40)))</f>
        <v/>
      </c>
      <c r="M40" s="13" t="str">
        <f aca="true">IF(C40="","",IF(G40="Concluída","Concluída",IF(AND(F40&lt;&gt;"",F40&lt;TODAY()),"Atrasada","No prazo")))</f>
        <v/>
      </c>
    </row>
    <row r="41" customFormat="false" ht="15" hidden="false" customHeight="false" outlineLevel="0" collapsed="false">
      <c r="A41" s="18"/>
      <c r="B41" s="18"/>
      <c r="C41" s="18"/>
      <c r="D41" s="18"/>
      <c r="E41" s="25"/>
      <c r="F41" s="25"/>
      <c r="G41" s="18"/>
      <c r="H41" s="26"/>
      <c r="I41" s="18"/>
      <c r="J41" s="18"/>
      <c r="K41" s="18"/>
      <c r="L41" s="27" t="str">
        <f aca="false">IF(C41="","",IF(G41="Concluída",1,N(H41)))</f>
        <v/>
      </c>
      <c r="M41" s="13" t="str">
        <f aca="true">IF(C41="","",IF(G41="Concluída","Concluída",IF(AND(F41&lt;&gt;"",F41&lt;TODAY()),"Atrasada","No prazo")))</f>
        <v/>
      </c>
    </row>
    <row r="42" customFormat="false" ht="15" hidden="false" customHeight="false" outlineLevel="0" collapsed="false">
      <c r="A42" s="18"/>
      <c r="B42" s="18"/>
      <c r="C42" s="18"/>
      <c r="D42" s="18"/>
      <c r="E42" s="25"/>
      <c r="F42" s="25"/>
      <c r="G42" s="18"/>
      <c r="H42" s="26"/>
      <c r="I42" s="18"/>
      <c r="J42" s="18"/>
      <c r="K42" s="18"/>
      <c r="L42" s="27" t="str">
        <f aca="false">IF(C42="","",IF(G42="Concluída",1,N(H42)))</f>
        <v/>
      </c>
      <c r="M42" s="13" t="str">
        <f aca="true">IF(C42="","",IF(G42="Concluída","Concluída",IF(AND(F42&lt;&gt;"",F42&lt;TODAY()),"Atrasada","No prazo")))</f>
        <v/>
      </c>
    </row>
    <row r="43" customFormat="false" ht="15" hidden="false" customHeight="false" outlineLevel="0" collapsed="false">
      <c r="A43" s="18"/>
      <c r="B43" s="18"/>
      <c r="C43" s="18"/>
      <c r="D43" s="18"/>
      <c r="E43" s="25"/>
      <c r="F43" s="25"/>
      <c r="G43" s="18"/>
      <c r="H43" s="26"/>
      <c r="I43" s="18"/>
      <c r="J43" s="18"/>
      <c r="K43" s="18"/>
      <c r="L43" s="27" t="str">
        <f aca="false">IF(C43="","",IF(G43="Concluída",1,N(H43)))</f>
        <v/>
      </c>
      <c r="M43" s="13" t="str">
        <f aca="true">IF(C43="","",IF(G43="Concluída","Concluída",IF(AND(F43&lt;&gt;"",F43&lt;TODAY()),"Atrasada","No prazo")))</f>
        <v/>
      </c>
    </row>
    <row r="44" customFormat="false" ht="15" hidden="false" customHeight="false" outlineLevel="0" collapsed="false">
      <c r="A44" s="18"/>
      <c r="B44" s="18"/>
      <c r="C44" s="18"/>
      <c r="D44" s="18"/>
      <c r="E44" s="25"/>
      <c r="F44" s="25"/>
      <c r="G44" s="18"/>
      <c r="H44" s="26"/>
      <c r="I44" s="18"/>
      <c r="J44" s="18"/>
      <c r="K44" s="18"/>
      <c r="L44" s="27" t="str">
        <f aca="false">IF(C44="","",IF(G44="Concluída",1,N(H44)))</f>
        <v/>
      </c>
      <c r="M44" s="13" t="str">
        <f aca="true">IF(C44="","",IF(G44="Concluída","Concluída",IF(AND(F44&lt;&gt;"",F44&lt;TODAY()),"Atrasada","No prazo")))</f>
        <v/>
      </c>
    </row>
    <row r="45" customFormat="false" ht="15" hidden="false" customHeight="false" outlineLevel="0" collapsed="false">
      <c r="A45" s="18"/>
      <c r="B45" s="18"/>
      <c r="C45" s="18"/>
      <c r="D45" s="18"/>
      <c r="E45" s="25"/>
      <c r="F45" s="25"/>
      <c r="G45" s="18"/>
      <c r="H45" s="26"/>
      <c r="I45" s="18"/>
      <c r="J45" s="18"/>
      <c r="K45" s="18"/>
      <c r="L45" s="27" t="str">
        <f aca="false">IF(C45="","",IF(G45="Concluída",1,N(H45)))</f>
        <v/>
      </c>
      <c r="M45" s="13" t="str">
        <f aca="true">IF(C45="","",IF(G45="Concluída","Concluída",IF(AND(F45&lt;&gt;"",F45&lt;TODAY()),"Atrasada","No prazo")))</f>
        <v/>
      </c>
    </row>
    <row r="46" customFormat="false" ht="15" hidden="false" customHeight="false" outlineLevel="0" collapsed="false">
      <c r="A46" s="18"/>
      <c r="B46" s="18"/>
      <c r="C46" s="18"/>
      <c r="D46" s="18"/>
      <c r="E46" s="25"/>
      <c r="F46" s="25"/>
      <c r="G46" s="18"/>
      <c r="H46" s="26"/>
      <c r="I46" s="18"/>
      <c r="J46" s="18"/>
      <c r="K46" s="18"/>
      <c r="L46" s="27" t="str">
        <f aca="false">IF(C46="","",IF(G46="Concluída",1,N(H46)))</f>
        <v/>
      </c>
      <c r="M46" s="13" t="str">
        <f aca="true">IF(C46="","",IF(G46="Concluída","Concluída",IF(AND(F46&lt;&gt;"",F46&lt;TODAY()),"Atrasada","No prazo")))</f>
        <v/>
      </c>
    </row>
    <row r="47" customFormat="false" ht="15" hidden="false" customHeight="false" outlineLevel="0" collapsed="false">
      <c r="A47" s="18"/>
      <c r="B47" s="18"/>
      <c r="C47" s="18"/>
      <c r="D47" s="18"/>
      <c r="E47" s="25"/>
      <c r="F47" s="25"/>
      <c r="G47" s="18"/>
      <c r="H47" s="26"/>
      <c r="I47" s="18"/>
      <c r="J47" s="18"/>
      <c r="K47" s="18"/>
      <c r="L47" s="27" t="str">
        <f aca="false">IF(C47="","",IF(G47="Concluída",1,N(H47)))</f>
        <v/>
      </c>
      <c r="M47" s="13" t="str">
        <f aca="true">IF(C47="","",IF(G47="Concluída","Concluída",IF(AND(F47&lt;&gt;"",F47&lt;TODAY()),"Atrasada","No prazo")))</f>
        <v/>
      </c>
    </row>
    <row r="48" customFormat="false" ht="15" hidden="false" customHeight="false" outlineLevel="0" collapsed="false">
      <c r="A48" s="18"/>
      <c r="B48" s="18"/>
      <c r="C48" s="18"/>
      <c r="D48" s="18"/>
      <c r="E48" s="25"/>
      <c r="F48" s="25"/>
      <c r="G48" s="18"/>
      <c r="H48" s="26"/>
      <c r="I48" s="18"/>
      <c r="J48" s="18"/>
      <c r="K48" s="18"/>
      <c r="L48" s="27" t="str">
        <f aca="false">IF(C48="","",IF(G48="Concluída",1,N(H48)))</f>
        <v/>
      </c>
      <c r="M48" s="13" t="str">
        <f aca="true">IF(C48="","",IF(G48="Concluída","Concluída",IF(AND(F48&lt;&gt;"",F48&lt;TODAY()),"Atrasada","No prazo")))</f>
        <v/>
      </c>
    </row>
    <row r="49" customFormat="false" ht="15" hidden="false" customHeight="false" outlineLevel="0" collapsed="false">
      <c r="A49" s="18"/>
      <c r="B49" s="18"/>
      <c r="C49" s="18"/>
      <c r="D49" s="18"/>
      <c r="E49" s="25"/>
      <c r="F49" s="25"/>
      <c r="G49" s="18"/>
      <c r="H49" s="26"/>
      <c r="I49" s="18"/>
      <c r="J49" s="18"/>
      <c r="K49" s="18"/>
      <c r="L49" s="27" t="str">
        <f aca="false">IF(C49="","",IF(G49="Concluída",1,N(H49)))</f>
        <v/>
      </c>
      <c r="M49" s="13" t="str">
        <f aca="true">IF(C49="","",IF(G49="Concluída","Concluída",IF(AND(F49&lt;&gt;"",F49&lt;TODAY()),"Atrasada","No prazo")))</f>
        <v/>
      </c>
    </row>
    <row r="50" customFormat="false" ht="15" hidden="false" customHeight="false" outlineLevel="0" collapsed="false">
      <c r="A50" s="18"/>
      <c r="B50" s="18"/>
      <c r="C50" s="18"/>
      <c r="D50" s="18"/>
      <c r="E50" s="25"/>
      <c r="F50" s="25"/>
      <c r="G50" s="18"/>
      <c r="H50" s="26"/>
      <c r="I50" s="18"/>
      <c r="J50" s="18"/>
      <c r="K50" s="18"/>
      <c r="L50" s="27" t="str">
        <f aca="false">IF(C50="","",IF(G50="Concluída",1,N(H50)))</f>
        <v/>
      </c>
      <c r="M50" s="13" t="str">
        <f aca="true">IF(C50="","",IF(G50="Concluída","Concluída",IF(AND(F50&lt;&gt;"",F50&lt;TODAY()),"Atrasada","No prazo")))</f>
        <v/>
      </c>
    </row>
    <row r="51" customFormat="false" ht="15" hidden="false" customHeight="false" outlineLevel="0" collapsed="false">
      <c r="A51" s="18"/>
      <c r="B51" s="18"/>
      <c r="C51" s="18"/>
      <c r="D51" s="18"/>
      <c r="E51" s="25"/>
      <c r="F51" s="25"/>
      <c r="G51" s="18"/>
      <c r="H51" s="26"/>
      <c r="I51" s="18"/>
      <c r="J51" s="18"/>
      <c r="K51" s="18"/>
      <c r="L51" s="27" t="str">
        <f aca="false">IF(C51="","",IF(G51="Concluída",1,N(H51)))</f>
        <v/>
      </c>
      <c r="M51" s="13" t="str">
        <f aca="true">IF(C51="","",IF(G51="Concluída","Concluída",IF(AND(F51&lt;&gt;"",F51&lt;TODAY()),"Atrasada","No prazo")))</f>
        <v/>
      </c>
    </row>
    <row r="52" customFormat="false" ht="15" hidden="false" customHeight="false" outlineLevel="0" collapsed="false">
      <c r="A52" s="18"/>
      <c r="B52" s="18"/>
      <c r="C52" s="18"/>
      <c r="D52" s="18"/>
      <c r="E52" s="25"/>
      <c r="F52" s="25"/>
      <c r="G52" s="18"/>
      <c r="H52" s="26"/>
      <c r="I52" s="18"/>
      <c r="J52" s="18"/>
      <c r="K52" s="18"/>
      <c r="L52" s="27" t="str">
        <f aca="false">IF(C52="","",IF(G52="Concluída",1,N(H52)))</f>
        <v/>
      </c>
      <c r="M52" s="13" t="str">
        <f aca="true">IF(C52="","",IF(G52="Concluída","Concluída",IF(AND(F52&lt;&gt;"",F52&lt;TODAY()),"Atrasada","No prazo")))</f>
        <v/>
      </c>
    </row>
    <row r="53" customFormat="false" ht="15" hidden="false" customHeight="false" outlineLevel="0" collapsed="false">
      <c r="A53" s="18"/>
      <c r="B53" s="18"/>
      <c r="C53" s="18"/>
      <c r="D53" s="18"/>
      <c r="E53" s="25"/>
      <c r="F53" s="25"/>
      <c r="G53" s="18"/>
      <c r="H53" s="26"/>
      <c r="I53" s="18"/>
      <c r="J53" s="18"/>
      <c r="K53" s="18"/>
      <c r="L53" s="27" t="str">
        <f aca="false">IF(C53="","",IF(G53="Concluída",1,N(H53)))</f>
        <v/>
      </c>
      <c r="M53" s="13" t="str">
        <f aca="true">IF(C53="","",IF(G53="Concluída","Concluída",IF(AND(F53&lt;&gt;"",F53&lt;TODAY()),"Atrasada","No prazo")))</f>
        <v/>
      </c>
    </row>
    <row r="54" customFormat="false" ht="15" hidden="false" customHeight="false" outlineLevel="0" collapsed="false">
      <c r="A54" s="18"/>
      <c r="B54" s="18"/>
      <c r="C54" s="18"/>
      <c r="D54" s="18"/>
      <c r="E54" s="25"/>
      <c r="F54" s="25"/>
      <c r="G54" s="18"/>
      <c r="H54" s="26"/>
      <c r="I54" s="18"/>
      <c r="J54" s="18"/>
      <c r="K54" s="18"/>
      <c r="L54" s="27" t="str">
        <f aca="false">IF(C54="","",IF(G54="Concluída",1,N(H54)))</f>
        <v/>
      </c>
      <c r="M54" s="13" t="str">
        <f aca="true">IF(C54="","",IF(G54="Concluída","Concluída",IF(AND(F54&lt;&gt;"",F54&lt;TODAY()),"Atrasada","No prazo")))</f>
        <v/>
      </c>
    </row>
    <row r="55" customFormat="false" ht="15" hidden="false" customHeight="false" outlineLevel="0" collapsed="false">
      <c r="A55" s="18"/>
      <c r="B55" s="18"/>
      <c r="C55" s="18"/>
      <c r="D55" s="18"/>
      <c r="E55" s="25"/>
      <c r="F55" s="25"/>
      <c r="G55" s="18"/>
      <c r="H55" s="26"/>
      <c r="I55" s="18"/>
      <c r="J55" s="18"/>
      <c r="K55" s="18"/>
      <c r="L55" s="27" t="str">
        <f aca="false">IF(C55="","",IF(G55="Concluída",1,N(H55)))</f>
        <v/>
      </c>
      <c r="M55" s="13" t="str">
        <f aca="true">IF(C55="","",IF(G55="Concluída","Concluída",IF(AND(F55&lt;&gt;"",F55&lt;TODAY()),"Atrasada","No prazo")))</f>
        <v/>
      </c>
    </row>
    <row r="56" customFormat="false" ht="15" hidden="false" customHeight="false" outlineLevel="0" collapsed="false">
      <c r="A56" s="18"/>
      <c r="B56" s="18"/>
      <c r="C56" s="18"/>
      <c r="D56" s="18"/>
      <c r="E56" s="25"/>
      <c r="F56" s="25"/>
      <c r="G56" s="18"/>
      <c r="H56" s="26"/>
      <c r="I56" s="18"/>
      <c r="J56" s="18"/>
      <c r="K56" s="18"/>
      <c r="L56" s="27" t="str">
        <f aca="false">IF(C56="","",IF(G56="Concluída",1,N(H56)))</f>
        <v/>
      </c>
      <c r="M56" s="13" t="str">
        <f aca="true">IF(C56="","",IF(G56="Concluída","Concluída",IF(AND(F56&lt;&gt;"",F56&lt;TODAY()),"Atrasada","No prazo")))</f>
        <v/>
      </c>
    </row>
    <row r="57" customFormat="false" ht="15" hidden="false" customHeight="false" outlineLevel="0" collapsed="false">
      <c r="A57" s="18"/>
      <c r="B57" s="18"/>
      <c r="C57" s="18"/>
      <c r="D57" s="18"/>
      <c r="E57" s="25"/>
      <c r="F57" s="25"/>
      <c r="G57" s="18"/>
      <c r="H57" s="26"/>
      <c r="I57" s="18"/>
      <c r="J57" s="18"/>
      <c r="K57" s="18"/>
      <c r="L57" s="27" t="str">
        <f aca="false">IF(C57="","",IF(G57="Concluída",1,N(H57)))</f>
        <v/>
      </c>
      <c r="M57" s="13" t="str">
        <f aca="true">IF(C57="","",IF(G57="Concluída","Concluída",IF(AND(F57&lt;&gt;"",F57&lt;TODAY()),"Atrasada","No prazo")))</f>
        <v/>
      </c>
    </row>
    <row r="58" customFormat="false" ht="15" hidden="false" customHeight="false" outlineLevel="0" collapsed="false">
      <c r="A58" s="18"/>
      <c r="B58" s="18"/>
      <c r="C58" s="18"/>
      <c r="D58" s="18"/>
      <c r="E58" s="25"/>
      <c r="F58" s="25"/>
      <c r="G58" s="18"/>
      <c r="H58" s="26"/>
      <c r="I58" s="18"/>
      <c r="J58" s="18"/>
      <c r="K58" s="18"/>
      <c r="L58" s="27" t="str">
        <f aca="false">IF(C58="","",IF(G58="Concluída",1,N(H58)))</f>
        <v/>
      </c>
      <c r="M58" s="13" t="str">
        <f aca="true">IF(C58="","",IF(G58="Concluída","Concluída",IF(AND(F58&lt;&gt;"",F58&lt;TODAY()),"Atrasada","No prazo")))</f>
        <v/>
      </c>
    </row>
    <row r="59" customFormat="false" ht="15" hidden="false" customHeight="false" outlineLevel="0" collapsed="false">
      <c r="A59" s="18"/>
      <c r="B59" s="18"/>
      <c r="C59" s="18"/>
      <c r="D59" s="18"/>
      <c r="E59" s="25"/>
      <c r="F59" s="25"/>
      <c r="G59" s="18"/>
      <c r="H59" s="26"/>
      <c r="I59" s="18"/>
      <c r="J59" s="18"/>
      <c r="K59" s="18"/>
      <c r="L59" s="27" t="str">
        <f aca="false">IF(C59="","",IF(G59="Concluída",1,N(H59)))</f>
        <v/>
      </c>
      <c r="M59" s="13" t="str">
        <f aca="true">IF(C59="","",IF(G59="Concluída","Concluída",IF(AND(F59&lt;&gt;"",F59&lt;TODAY()),"Atrasada","No prazo")))</f>
        <v/>
      </c>
    </row>
    <row r="60" customFormat="false" ht="15" hidden="false" customHeight="false" outlineLevel="0" collapsed="false">
      <c r="A60" s="18"/>
      <c r="B60" s="18"/>
      <c r="C60" s="18"/>
      <c r="D60" s="18"/>
      <c r="E60" s="25"/>
      <c r="F60" s="25"/>
      <c r="G60" s="18"/>
      <c r="H60" s="26"/>
      <c r="I60" s="18"/>
      <c r="J60" s="18"/>
      <c r="K60" s="18"/>
      <c r="L60" s="27" t="str">
        <f aca="false">IF(C60="","",IF(G60="Concluída",1,N(H60)))</f>
        <v/>
      </c>
      <c r="M60" s="13" t="str">
        <f aca="true">IF(C60="","",IF(G60="Concluída","Concluída",IF(AND(F60&lt;&gt;"",F60&lt;TODAY()),"Atrasada","No prazo")))</f>
        <v/>
      </c>
    </row>
    <row r="61" customFormat="false" ht="15" hidden="false" customHeight="false" outlineLevel="0" collapsed="false">
      <c r="A61" s="18"/>
      <c r="B61" s="18"/>
      <c r="C61" s="18"/>
      <c r="D61" s="18"/>
      <c r="E61" s="25"/>
      <c r="F61" s="25"/>
      <c r="G61" s="18"/>
      <c r="H61" s="26"/>
      <c r="I61" s="18"/>
      <c r="J61" s="18"/>
      <c r="K61" s="18"/>
      <c r="L61" s="27" t="str">
        <f aca="false">IF(C61="","",IF(G61="Concluída",1,N(H61)))</f>
        <v/>
      </c>
      <c r="M61" s="13" t="str">
        <f aca="true">IF(C61="","",IF(G61="Concluída","Concluída",IF(AND(F61&lt;&gt;"",F61&lt;TODAY()),"Atrasada","No prazo")))</f>
        <v/>
      </c>
    </row>
    <row r="62" customFormat="false" ht="15" hidden="false" customHeight="false" outlineLevel="0" collapsed="false">
      <c r="A62" s="18"/>
      <c r="B62" s="18"/>
      <c r="C62" s="18"/>
      <c r="D62" s="18"/>
      <c r="E62" s="25"/>
      <c r="F62" s="25"/>
      <c r="G62" s="18"/>
      <c r="H62" s="26"/>
      <c r="I62" s="18"/>
      <c r="J62" s="18"/>
      <c r="K62" s="18"/>
      <c r="L62" s="27" t="str">
        <f aca="false">IF(C62="","",IF(G62="Concluída",1,N(H62)))</f>
        <v/>
      </c>
      <c r="M62" s="13" t="str">
        <f aca="true">IF(C62="","",IF(G62="Concluída","Concluída",IF(AND(F62&lt;&gt;"",F62&lt;TODAY()),"Atrasada","No prazo")))</f>
        <v/>
      </c>
    </row>
    <row r="63" customFormat="false" ht="15" hidden="false" customHeight="false" outlineLevel="0" collapsed="false">
      <c r="A63" s="18"/>
      <c r="B63" s="18"/>
      <c r="C63" s="18"/>
      <c r="D63" s="18"/>
      <c r="E63" s="25"/>
      <c r="F63" s="25"/>
      <c r="G63" s="18"/>
      <c r="H63" s="26"/>
      <c r="I63" s="18"/>
      <c r="J63" s="18"/>
      <c r="K63" s="18"/>
      <c r="L63" s="27" t="str">
        <f aca="false">IF(C63="","",IF(G63="Concluída",1,N(H63)))</f>
        <v/>
      </c>
      <c r="M63" s="13" t="str">
        <f aca="true">IF(C63="","",IF(G63="Concluída","Concluída",IF(AND(F63&lt;&gt;"",F63&lt;TODAY()),"Atrasada","No prazo")))</f>
        <v/>
      </c>
    </row>
    <row r="64" customFormat="false" ht="15" hidden="false" customHeight="false" outlineLevel="0" collapsed="false">
      <c r="A64" s="18"/>
      <c r="B64" s="18"/>
      <c r="C64" s="18"/>
      <c r="D64" s="18"/>
      <c r="E64" s="25"/>
      <c r="F64" s="25"/>
      <c r="G64" s="18"/>
      <c r="H64" s="26"/>
      <c r="I64" s="18"/>
      <c r="J64" s="18"/>
      <c r="K64" s="18"/>
      <c r="L64" s="27" t="str">
        <f aca="false">IF(C64="","",IF(G64="Concluída",1,N(H64)))</f>
        <v/>
      </c>
      <c r="M64" s="13" t="str">
        <f aca="true">IF(C64="","",IF(G64="Concluída","Concluída",IF(AND(F64&lt;&gt;"",F64&lt;TODAY()),"Atrasada","No prazo")))</f>
        <v/>
      </c>
    </row>
    <row r="65" customFormat="false" ht="15" hidden="false" customHeight="false" outlineLevel="0" collapsed="false">
      <c r="A65" s="18"/>
      <c r="B65" s="18"/>
      <c r="C65" s="18"/>
      <c r="D65" s="18"/>
      <c r="E65" s="25"/>
      <c r="F65" s="25"/>
      <c r="G65" s="18"/>
      <c r="H65" s="26"/>
      <c r="I65" s="18"/>
      <c r="J65" s="18"/>
      <c r="K65" s="18"/>
      <c r="L65" s="27" t="str">
        <f aca="false">IF(C65="","",IF(G65="Concluída",1,N(H65)))</f>
        <v/>
      </c>
      <c r="M65" s="13" t="str">
        <f aca="true">IF(C65="","",IF(G65="Concluída","Concluída",IF(AND(F65&lt;&gt;"",F65&lt;TODAY()),"Atrasada","No prazo")))</f>
        <v/>
      </c>
    </row>
    <row r="66" customFormat="false" ht="15" hidden="false" customHeight="false" outlineLevel="0" collapsed="false">
      <c r="A66" s="18"/>
      <c r="B66" s="18"/>
      <c r="C66" s="18"/>
      <c r="D66" s="18"/>
      <c r="E66" s="25"/>
      <c r="F66" s="25"/>
      <c r="G66" s="18"/>
      <c r="H66" s="26"/>
      <c r="I66" s="18"/>
      <c r="J66" s="18"/>
      <c r="K66" s="18"/>
      <c r="L66" s="27" t="str">
        <f aca="false">IF(C66="","",IF(G66="Concluída",1,N(H66)))</f>
        <v/>
      </c>
      <c r="M66" s="13" t="str">
        <f aca="true">IF(C66="","",IF(G66="Concluída","Concluída",IF(AND(F66&lt;&gt;"",F66&lt;TODAY()),"Atrasada","No prazo")))</f>
        <v/>
      </c>
    </row>
    <row r="67" customFormat="false" ht="15" hidden="false" customHeight="false" outlineLevel="0" collapsed="false">
      <c r="A67" s="18"/>
      <c r="B67" s="18"/>
      <c r="C67" s="18"/>
      <c r="D67" s="18"/>
      <c r="E67" s="25"/>
      <c r="F67" s="25"/>
      <c r="G67" s="18"/>
      <c r="H67" s="26"/>
      <c r="I67" s="18"/>
      <c r="J67" s="18"/>
      <c r="K67" s="18"/>
      <c r="L67" s="27" t="str">
        <f aca="false">IF(C67="","",IF(G67="Concluída",1,N(H67)))</f>
        <v/>
      </c>
      <c r="M67" s="13" t="str">
        <f aca="true">IF(C67="","",IF(G67="Concluída","Concluída",IF(AND(F67&lt;&gt;"",F67&lt;TODAY()),"Atrasada","No prazo")))</f>
        <v/>
      </c>
    </row>
    <row r="68" customFormat="false" ht="15" hidden="false" customHeight="false" outlineLevel="0" collapsed="false">
      <c r="A68" s="18"/>
      <c r="B68" s="18"/>
      <c r="C68" s="18"/>
      <c r="D68" s="18"/>
      <c r="E68" s="25"/>
      <c r="F68" s="25"/>
      <c r="G68" s="18"/>
      <c r="H68" s="26"/>
      <c r="I68" s="18"/>
      <c r="J68" s="18"/>
      <c r="K68" s="18"/>
      <c r="L68" s="27" t="str">
        <f aca="false">IF(C68="","",IF(G68="Concluída",1,N(H68)))</f>
        <v/>
      </c>
      <c r="M68" s="13" t="str">
        <f aca="true">IF(C68="","",IF(G68="Concluída","Concluída",IF(AND(F68&lt;&gt;"",F68&lt;TODAY()),"Atrasada","No prazo")))</f>
        <v/>
      </c>
    </row>
    <row r="69" customFormat="false" ht="15" hidden="false" customHeight="false" outlineLevel="0" collapsed="false">
      <c r="A69" s="18"/>
      <c r="B69" s="18"/>
      <c r="C69" s="18"/>
      <c r="D69" s="18"/>
      <c r="E69" s="25"/>
      <c r="F69" s="25"/>
      <c r="G69" s="18"/>
      <c r="H69" s="26"/>
      <c r="I69" s="18"/>
      <c r="J69" s="18"/>
      <c r="K69" s="18"/>
      <c r="L69" s="27" t="str">
        <f aca="false">IF(C69="","",IF(G69="Concluída",1,N(H69)))</f>
        <v/>
      </c>
      <c r="M69" s="13" t="str">
        <f aca="true">IF(C69="","",IF(G69="Concluída","Concluída",IF(AND(F69&lt;&gt;"",F69&lt;TODAY()),"Atrasada","No prazo")))</f>
        <v/>
      </c>
    </row>
    <row r="70" customFormat="false" ht="15" hidden="false" customHeight="false" outlineLevel="0" collapsed="false">
      <c r="A70" s="18"/>
      <c r="B70" s="18"/>
      <c r="C70" s="18"/>
      <c r="D70" s="18"/>
      <c r="E70" s="25"/>
      <c r="F70" s="25"/>
      <c r="G70" s="18"/>
      <c r="H70" s="26"/>
      <c r="I70" s="18"/>
      <c r="J70" s="18"/>
      <c r="K70" s="18"/>
      <c r="L70" s="27" t="str">
        <f aca="false">IF(C70="","",IF(G70="Concluída",1,N(H70)))</f>
        <v/>
      </c>
      <c r="M70" s="13" t="str">
        <f aca="true">IF(C70="","",IF(G70="Concluída","Concluída",IF(AND(F70&lt;&gt;"",F70&lt;TODAY()),"Atrasada","No prazo")))</f>
        <v/>
      </c>
    </row>
    <row r="71" customFormat="false" ht="15" hidden="false" customHeight="false" outlineLevel="0" collapsed="false">
      <c r="A71" s="18"/>
      <c r="B71" s="18"/>
      <c r="C71" s="18"/>
      <c r="D71" s="18"/>
      <c r="E71" s="25"/>
      <c r="F71" s="25"/>
      <c r="G71" s="18"/>
      <c r="H71" s="26"/>
      <c r="I71" s="18"/>
      <c r="J71" s="18"/>
      <c r="K71" s="18"/>
      <c r="L71" s="27" t="str">
        <f aca="false">IF(C71="","",IF(G71="Concluída",1,N(H71)))</f>
        <v/>
      </c>
      <c r="M71" s="13" t="str">
        <f aca="true">IF(C71="","",IF(G71="Concluída","Concluída",IF(AND(F71&lt;&gt;"",F71&lt;TODAY()),"Atrasada","No prazo")))</f>
        <v/>
      </c>
    </row>
    <row r="72" customFormat="false" ht="15" hidden="false" customHeight="false" outlineLevel="0" collapsed="false">
      <c r="A72" s="18"/>
      <c r="B72" s="18"/>
      <c r="C72" s="18"/>
      <c r="D72" s="18"/>
      <c r="E72" s="25"/>
      <c r="F72" s="25"/>
      <c r="G72" s="18"/>
      <c r="H72" s="26"/>
      <c r="I72" s="18"/>
      <c r="J72" s="18"/>
      <c r="K72" s="18"/>
      <c r="L72" s="27" t="str">
        <f aca="false">IF(C72="","",IF(G72="Concluída",1,N(H72)))</f>
        <v/>
      </c>
      <c r="M72" s="13" t="str">
        <f aca="true">IF(C72="","",IF(G72="Concluída","Concluída",IF(AND(F72&lt;&gt;"",F72&lt;TODAY()),"Atrasada","No prazo")))</f>
        <v/>
      </c>
    </row>
    <row r="73" customFormat="false" ht="15" hidden="false" customHeight="false" outlineLevel="0" collapsed="false">
      <c r="A73" s="18"/>
      <c r="B73" s="18"/>
      <c r="C73" s="18"/>
      <c r="D73" s="18"/>
      <c r="E73" s="25"/>
      <c r="F73" s="25"/>
      <c r="G73" s="18"/>
      <c r="H73" s="26"/>
      <c r="I73" s="18"/>
      <c r="J73" s="18"/>
      <c r="K73" s="18"/>
      <c r="L73" s="27" t="str">
        <f aca="false">IF(C73="","",IF(G73="Concluída",1,N(H73)))</f>
        <v/>
      </c>
      <c r="M73" s="13" t="str">
        <f aca="true">IF(C73="","",IF(G73="Concluída","Concluída",IF(AND(F73&lt;&gt;"",F73&lt;TODAY()),"Atrasada","No prazo")))</f>
        <v/>
      </c>
    </row>
    <row r="74" customFormat="false" ht="15" hidden="false" customHeight="false" outlineLevel="0" collapsed="false">
      <c r="A74" s="18"/>
      <c r="B74" s="18"/>
      <c r="C74" s="18"/>
      <c r="D74" s="18"/>
      <c r="E74" s="25"/>
      <c r="F74" s="25"/>
      <c r="G74" s="18"/>
      <c r="H74" s="26"/>
      <c r="I74" s="18"/>
      <c r="J74" s="18"/>
      <c r="K74" s="18"/>
      <c r="L74" s="27" t="str">
        <f aca="false">IF(C74="","",IF(G74="Concluída",1,N(H74)))</f>
        <v/>
      </c>
      <c r="M74" s="13" t="str">
        <f aca="true">IF(C74="","",IF(G74="Concluída","Concluída",IF(AND(F74&lt;&gt;"",F74&lt;TODAY()),"Atrasada","No prazo")))</f>
        <v/>
      </c>
    </row>
    <row r="75" customFormat="false" ht="15" hidden="false" customHeight="false" outlineLevel="0" collapsed="false">
      <c r="A75" s="18"/>
      <c r="B75" s="18"/>
      <c r="C75" s="18"/>
      <c r="D75" s="18"/>
      <c r="E75" s="25"/>
      <c r="F75" s="25"/>
      <c r="G75" s="18"/>
      <c r="H75" s="26"/>
      <c r="I75" s="18"/>
      <c r="J75" s="18"/>
      <c r="K75" s="18"/>
      <c r="L75" s="27" t="str">
        <f aca="false">IF(C75="","",IF(G75="Concluída",1,N(H75)))</f>
        <v/>
      </c>
      <c r="M75" s="13" t="str">
        <f aca="true">IF(C75="","",IF(G75="Concluída","Concluída",IF(AND(F75&lt;&gt;"",F75&lt;TODAY()),"Atrasada","No prazo")))</f>
        <v/>
      </c>
    </row>
    <row r="76" customFormat="false" ht="15" hidden="false" customHeight="false" outlineLevel="0" collapsed="false">
      <c r="A76" s="18"/>
      <c r="B76" s="18"/>
      <c r="C76" s="18"/>
      <c r="D76" s="18"/>
      <c r="E76" s="25"/>
      <c r="F76" s="25"/>
      <c r="G76" s="18"/>
      <c r="H76" s="26"/>
      <c r="I76" s="18"/>
      <c r="J76" s="18"/>
      <c r="K76" s="18"/>
      <c r="L76" s="27" t="str">
        <f aca="false">IF(C76="","",IF(G76="Concluída",1,N(H76)))</f>
        <v/>
      </c>
      <c r="M76" s="13" t="str">
        <f aca="true">IF(C76="","",IF(G76="Concluída","Concluída",IF(AND(F76&lt;&gt;"",F76&lt;TODAY()),"Atrasada","No prazo")))</f>
        <v/>
      </c>
    </row>
    <row r="77" customFormat="false" ht="15" hidden="false" customHeight="false" outlineLevel="0" collapsed="false">
      <c r="A77" s="18"/>
      <c r="B77" s="18"/>
      <c r="C77" s="18"/>
      <c r="D77" s="18"/>
      <c r="E77" s="25"/>
      <c r="F77" s="25"/>
      <c r="G77" s="18"/>
      <c r="H77" s="26"/>
      <c r="I77" s="18"/>
      <c r="J77" s="18"/>
      <c r="K77" s="18"/>
      <c r="L77" s="27" t="str">
        <f aca="false">IF(C77="","",IF(G77="Concluída",1,N(H77)))</f>
        <v/>
      </c>
      <c r="M77" s="13" t="str">
        <f aca="true">IF(C77="","",IF(G77="Concluída","Concluída",IF(AND(F77&lt;&gt;"",F77&lt;TODAY()),"Atrasada","No prazo")))</f>
        <v/>
      </c>
    </row>
    <row r="78" customFormat="false" ht="15" hidden="false" customHeight="false" outlineLevel="0" collapsed="false">
      <c r="A78" s="18"/>
      <c r="B78" s="18"/>
      <c r="C78" s="18"/>
      <c r="D78" s="18"/>
      <c r="E78" s="25"/>
      <c r="F78" s="25"/>
      <c r="G78" s="18"/>
      <c r="H78" s="26"/>
      <c r="I78" s="18"/>
      <c r="J78" s="18"/>
      <c r="K78" s="18"/>
      <c r="L78" s="27" t="str">
        <f aca="false">IF(C78="","",IF(G78="Concluída",1,N(H78)))</f>
        <v/>
      </c>
      <c r="M78" s="13" t="str">
        <f aca="true">IF(C78="","",IF(G78="Concluída","Concluída",IF(AND(F78&lt;&gt;"",F78&lt;TODAY()),"Atrasada","No prazo")))</f>
        <v/>
      </c>
    </row>
    <row r="79" customFormat="false" ht="15" hidden="false" customHeight="false" outlineLevel="0" collapsed="false">
      <c r="A79" s="18"/>
      <c r="B79" s="18"/>
      <c r="C79" s="18"/>
      <c r="D79" s="18"/>
      <c r="E79" s="25"/>
      <c r="F79" s="25"/>
      <c r="G79" s="18"/>
      <c r="H79" s="26"/>
      <c r="I79" s="18"/>
      <c r="J79" s="18"/>
      <c r="K79" s="18"/>
      <c r="L79" s="27" t="str">
        <f aca="false">IF(C79="","",IF(G79="Concluída",1,N(H79)))</f>
        <v/>
      </c>
      <c r="M79" s="13" t="str">
        <f aca="true">IF(C79="","",IF(G79="Concluída","Concluída",IF(AND(F79&lt;&gt;"",F79&lt;TODAY()),"Atrasada","No prazo")))</f>
        <v/>
      </c>
    </row>
    <row r="80" customFormat="false" ht="15" hidden="false" customHeight="false" outlineLevel="0" collapsed="false">
      <c r="A80" s="18"/>
      <c r="B80" s="18"/>
      <c r="C80" s="18"/>
      <c r="D80" s="18"/>
      <c r="E80" s="25"/>
      <c r="F80" s="25"/>
      <c r="G80" s="18"/>
      <c r="H80" s="26"/>
      <c r="I80" s="18"/>
      <c r="J80" s="18"/>
      <c r="K80" s="18"/>
      <c r="L80" s="27" t="str">
        <f aca="false">IF(C80="","",IF(G80="Concluída",1,N(H80)))</f>
        <v/>
      </c>
      <c r="M80" s="13" t="str">
        <f aca="true">IF(C80="","",IF(G80="Concluída","Concluída",IF(AND(F80&lt;&gt;"",F80&lt;TODAY()),"Atrasada","No prazo")))</f>
        <v/>
      </c>
    </row>
    <row r="81" customFormat="false" ht="15" hidden="false" customHeight="false" outlineLevel="0" collapsed="false">
      <c r="A81" s="18"/>
      <c r="B81" s="18"/>
      <c r="C81" s="18"/>
      <c r="D81" s="18"/>
      <c r="E81" s="25"/>
      <c r="F81" s="25"/>
      <c r="G81" s="18"/>
      <c r="H81" s="26"/>
      <c r="I81" s="18"/>
      <c r="J81" s="18"/>
      <c r="K81" s="18"/>
      <c r="L81" s="27" t="str">
        <f aca="false">IF(C81="","",IF(G81="Concluída",1,N(H81)))</f>
        <v/>
      </c>
      <c r="M81" s="13" t="str">
        <f aca="true">IF(C81="","",IF(G81="Concluída","Concluída",IF(AND(F81&lt;&gt;"",F81&lt;TODAY()),"Atrasada","No prazo")))</f>
        <v/>
      </c>
    </row>
    <row r="82" customFormat="false" ht="15" hidden="false" customHeight="false" outlineLevel="0" collapsed="false">
      <c r="A82" s="18"/>
      <c r="B82" s="18"/>
      <c r="C82" s="18"/>
      <c r="D82" s="18"/>
      <c r="E82" s="25"/>
      <c r="F82" s="25"/>
      <c r="G82" s="18"/>
      <c r="H82" s="26"/>
      <c r="I82" s="18"/>
      <c r="J82" s="18"/>
      <c r="K82" s="18"/>
      <c r="L82" s="27" t="str">
        <f aca="false">IF(C82="","",IF(G82="Concluída",1,N(H82)))</f>
        <v/>
      </c>
      <c r="M82" s="13" t="str">
        <f aca="true">IF(C82="","",IF(G82="Concluída","Concluída",IF(AND(F82&lt;&gt;"",F82&lt;TODAY()),"Atrasada","No prazo")))</f>
        <v/>
      </c>
    </row>
    <row r="83" customFormat="false" ht="15" hidden="false" customHeight="false" outlineLevel="0" collapsed="false">
      <c r="A83" s="18"/>
      <c r="B83" s="18"/>
      <c r="C83" s="18"/>
      <c r="D83" s="18"/>
      <c r="E83" s="25"/>
      <c r="F83" s="25"/>
      <c r="G83" s="18"/>
      <c r="H83" s="26"/>
      <c r="I83" s="18"/>
      <c r="J83" s="18"/>
      <c r="K83" s="18"/>
      <c r="L83" s="27" t="str">
        <f aca="false">IF(C83="","",IF(G83="Concluída",1,N(H83)))</f>
        <v/>
      </c>
      <c r="M83" s="13" t="str">
        <f aca="true">IF(C83="","",IF(G83="Concluída","Concluída",IF(AND(F83&lt;&gt;"",F83&lt;TODAY()),"Atrasada","No prazo")))</f>
        <v/>
      </c>
    </row>
    <row r="84" customFormat="false" ht="15" hidden="false" customHeight="false" outlineLevel="0" collapsed="false">
      <c r="A84" s="18"/>
      <c r="B84" s="18"/>
      <c r="C84" s="18"/>
      <c r="D84" s="18"/>
      <c r="E84" s="25"/>
      <c r="F84" s="25"/>
      <c r="G84" s="18"/>
      <c r="H84" s="26"/>
      <c r="I84" s="18"/>
      <c r="J84" s="18"/>
      <c r="K84" s="18"/>
      <c r="L84" s="27" t="str">
        <f aca="false">IF(C84="","",IF(G84="Concluída",1,N(H84)))</f>
        <v/>
      </c>
      <c r="M84" s="13" t="str">
        <f aca="true">IF(C84="","",IF(G84="Concluída","Concluída",IF(AND(F84&lt;&gt;"",F84&lt;TODAY()),"Atrasada","No prazo")))</f>
        <v/>
      </c>
    </row>
    <row r="85" customFormat="false" ht="15" hidden="false" customHeight="false" outlineLevel="0" collapsed="false">
      <c r="A85" s="18"/>
      <c r="B85" s="18"/>
      <c r="C85" s="18"/>
      <c r="D85" s="18"/>
      <c r="E85" s="25"/>
      <c r="F85" s="25"/>
      <c r="G85" s="18"/>
      <c r="H85" s="26"/>
      <c r="I85" s="18"/>
      <c r="J85" s="18"/>
      <c r="K85" s="18"/>
      <c r="L85" s="27" t="str">
        <f aca="false">IF(C85="","",IF(G85="Concluída",1,N(H85)))</f>
        <v/>
      </c>
      <c r="M85" s="13" t="str">
        <f aca="true">IF(C85="","",IF(G85="Concluída","Concluída",IF(AND(F85&lt;&gt;"",F85&lt;TODAY()),"Atrasada","No prazo")))</f>
        <v/>
      </c>
    </row>
    <row r="86" customFormat="false" ht="15" hidden="false" customHeight="false" outlineLevel="0" collapsed="false">
      <c r="A86" s="18"/>
      <c r="B86" s="18"/>
      <c r="C86" s="18"/>
      <c r="D86" s="18"/>
      <c r="E86" s="25"/>
      <c r="F86" s="25"/>
      <c r="G86" s="18"/>
      <c r="H86" s="26"/>
      <c r="I86" s="18"/>
      <c r="J86" s="18"/>
      <c r="K86" s="18"/>
      <c r="L86" s="27" t="str">
        <f aca="false">IF(C86="","",IF(G86="Concluída",1,N(H86)))</f>
        <v/>
      </c>
      <c r="M86" s="13" t="str">
        <f aca="true">IF(C86="","",IF(G86="Concluída","Concluída",IF(AND(F86&lt;&gt;"",F86&lt;TODAY()),"Atrasada","No prazo")))</f>
        <v/>
      </c>
    </row>
    <row r="87" customFormat="false" ht="15" hidden="false" customHeight="false" outlineLevel="0" collapsed="false">
      <c r="A87" s="18"/>
      <c r="B87" s="18"/>
      <c r="C87" s="18"/>
      <c r="D87" s="18"/>
      <c r="E87" s="25"/>
      <c r="F87" s="25"/>
      <c r="G87" s="18"/>
      <c r="H87" s="26"/>
      <c r="I87" s="18"/>
      <c r="J87" s="18"/>
      <c r="K87" s="18"/>
      <c r="L87" s="27" t="str">
        <f aca="false">IF(C87="","",IF(G87="Concluída",1,N(H87)))</f>
        <v/>
      </c>
      <c r="M87" s="13" t="str">
        <f aca="true">IF(C87="","",IF(G87="Concluída","Concluída",IF(AND(F87&lt;&gt;"",F87&lt;TODAY()),"Atrasada","No prazo")))</f>
        <v/>
      </c>
    </row>
    <row r="88" customFormat="false" ht="15" hidden="false" customHeight="false" outlineLevel="0" collapsed="false">
      <c r="A88" s="18"/>
      <c r="B88" s="18"/>
      <c r="C88" s="18"/>
      <c r="D88" s="18"/>
      <c r="E88" s="25"/>
      <c r="F88" s="25"/>
      <c r="G88" s="18"/>
      <c r="H88" s="26"/>
      <c r="I88" s="18"/>
      <c r="J88" s="18"/>
      <c r="K88" s="18"/>
      <c r="L88" s="27" t="str">
        <f aca="false">IF(C88="","",IF(G88="Concluída",1,N(H88)))</f>
        <v/>
      </c>
      <c r="M88" s="13" t="str">
        <f aca="true">IF(C88="","",IF(G88="Concluída","Concluída",IF(AND(F88&lt;&gt;"",F88&lt;TODAY()),"Atrasada","No prazo")))</f>
        <v/>
      </c>
    </row>
    <row r="89" customFormat="false" ht="15" hidden="false" customHeight="false" outlineLevel="0" collapsed="false">
      <c r="A89" s="18"/>
      <c r="B89" s="18"/>
      <c r="C89" s="18"/>
      <c r="D89" s="18"/>
      <c r="E89" s="25"/>
      <c r="F89" s="25"/>
      <c r="G89" s="18"/>
      <c r="H89" s="26"/>
      <c r="I89" s="18"/>
      <c r="J89" s="18"/>
      <c r="K89" s="18"/>
      <c r="L89" s="27" t="str">
        <f aca="false">IF(C89="","",IF(G89="Concluída",1,N(H89)))</f>
        <v/>
      </c>
      <c r="M89" s="13" t="str">
        <f aca="true">IF(C89="","",IF(G89="Concluída","Concluída",IF(AND(F89&lt;&gt;"",F89&lt;TODAY()),"Atrasada","No prazo")))</f>
        <v/>
      </c>
    </row>
    <row r="90" customFormat="false" ht="15" hidden="false" customHeight="false" outlineLevel="0" collapsed="false">
      <c r="A90" s="18"/>
      <c r="B90" s="18"/>
      <c r="C90" s="18"/>
      <c r="D90" s="18"/>
      <c r="E90" s="25"/>
      <c r="F90" s="25"/>
      <c r="G90" s="18"/>
      <c r="H90" s="26"/>
      <c r="I90" s="18"/>
      <c r="J90" s="18"/>
      <c r="K90" s="18"/>
      <c r="L90" s="27" t="str">
        <f aca="false">IF(C90="","",IF(G90="Concluída",1,N(H90)))</f>
        <v/>
      </c>
      <c r="M90" s="13" t="str">
        <f aca="true">IF(C90="","",IF(G90="Concluída","Concluída",IF(AND(F90&lt;&gt;"",F90&lt;TODAY()),"Atrasada","No prazo")))</f>
        <v/>
      </c>
    </row>
    <row r="91" customFormat="false" ht="15" hidden="false" customHeight="false" outlineLevel="0" collapsed="false">
      <c r="A91" s="18"/>
      <c r="B91" s="18"/>
      <c r="C91" s="18"/>
      <c r="D91" s="18"/>
      <c r="E91" s="25"/>
      <c r="F91" s="25"/>
      <c r="G91" s="18"/>
      <c r="H91" s="26"/>
      <c r="I91" s="18"/>
      <c r="J91" s="18"/>
      <c r="K91" s="18"/>
      <c r="L91" s="27" t="str">
        <f aca="false">IF(C91="","",IF(G91="Concluída",1,N(H91)))</f>
        <v/>
      </c>
      <c r="M91" s="13" t="str">
        <f aca="true">IF(C91="","",IF(G91="Concluída","Concluída",IF(AND(F91&lt;&gt;"",F91&lt;TODAY()),"Atrasada","No prazo")))</f>
        <v/>
      </c>
    </row>
    <row r="92" customFormat="false" ht="15" hidden="false" customHeight="false" outlineLevel="0" collapsed="false">
      <c r="A92" s="18"/>
      <c r="B92" s="18"/>
      <c r="C92" s="18"/>
      <c r="D92" s="18"/>
      <c r="E92" s="25"/>
      <c r="F92" s="25"/>
      <c r="G92" s="18"/>
      <c r="H92" s="26"/>
      <c r="I92" s="18"/>
      <c r="J92" s="18"/>
      <c r="K92" s="18"/>
      <c r="L92" s="27" t="str">
        <f aca="false">IF(C92="","",IF(G92="Concluída",1,N(H92)))</f>
        <v/>
      </c>
      <c r="M92" s="13" t="str">
        <f aca="true">IF(C92="","",IF(G92="Concluída","Concluída",IF(AND(F92&lt;&gt;"",F92&lt;TODAY()),"Atrasada","No prazo")))</f>
        <v/>
      </c>
    </row>
    <row r="93" customFormat="false" ht="15" hidden="false" customHeight="false" outlineLevel="0" collapsed="false">
      <c r="A93" s="18"/>
      <c r="B93" s="18"/>
      <c r="C93" s="18"/>
      <c r="D93" s="18"/>
      <c r="E93" s="25"/>
      <c r="F93" s="25"/>
      <c r="G93" s="18"/>
      <c r="H93" s="26"/>
      <c r="I93" s="18"/>
      <c r="J93" s="18"/>
      <c r="K93" s="18"/>
      <c r="L93" s="27" t="str">
        <f aca="false">IF(C93="","",IF(G93="Concluída",1,N(H93)))</f>
        <v/>
      </c>
      <c r="M93" s="13" t="str">
        <f aca="true">IF(C93="","",IF(G93="Concluída","Concluída",IF(AND(F93&lt;&gt;"",F93&lt;TODAY()),"Atrasada","No prazo")))</f>
        <v/>
      </c>
    </row>
    <row r="94" customFormat="false" ht="15" hidden="false" customHeight="false" outlineLevel="0" collapsed="false">
      <c r="A94" s="18"/>
      <c r="B94" s="18"/>
      <c r="C94" s="18"/>
      <c r="D94" s="18"/>
      <c r="E94" s="25"/>
      <c r="F94" s="25"/>
      <c r="G94" s="18"/>
      <c r="H94" s="26"/>
      <c r="I94" s="18"/>
      <c r="J94" s="18"/>
      <c r="K94" s="18"/>
      <c r="L94" s="27" t="str">
        <f aca="false">IF(C94="","",IF(G94="Concluída",1,N(H94)))</f>
        <v/>
      </c>
      <c r="M94" s="13" t="str">
        <f aca="true">IF(C94="","",IF(G94="Concluída","Concluída",IF(AND(F94&lt;&gt;"",F94&lt;TODAY()),"Atrasada","No prazo")))</f>
        <v/>
      </c>
    </row>
    <row r="95" customFormat="false" ht="15" hidden="false" customHeight="false" outlineLevel="0" collapsed="false">
      <c r="A95" s="18"/>
      <c r="B95" s="18"/>
      <c r="C95" s="18"/>
      <c r="D95" s="18"/>
      <c r="E95" s="25"/>
      <c r="F95" s="25"/>
      <c r="G95" s="18"/>
      <c r="H95" s="26"/>
      <c r="I95" s="18"/>
      <c r="J95" s="18"/>
      <c r="K95" s="18"/>
      <c r="L95" s="27" t="str">
        <f aca="false">IF(C95="","",IF(G95="Concluída",1,N(H95)))</f>
        <v/>
      </c>
      <c r="M95" s="13" t="str">
        <f aca="true">IF(C95="","",IF(G95="Concluída","Concluída",IF(AND(F95&lt;&gt;"",F95&lt;TODAY()),"Atrasada","No prazo")))</f>
        <v/>
      </c>
    </row>
    <row r="96" customFormat="false" ht="15" hidden="false" customHeight="false" outlineLevel="0" collapsed="false">
      <c r="A96" s="18"/>
      <c r="B96" s="18"/>
      <c r="C96" s="18"/>
      <c r="D96" s="18"/>
      <c r="E96" s="25"/>
      <c r="F96" s="25"/>
      <c r="G96" s="18"/>
      <c r="H96" s="26"/>
      <c r="I96" s="18"/>
      <c r="J96" s="18"/>
      <c r="K96" s="18"/>
      <c r="L96" s="27" t="str">
        <f aca="false">IF(C96="","",IF(G96="Concluída",1,N(H96)))</f>
        <v/>
      </c>
      <c r="M96" s="13" t="str">
        <f aca="true">IF(C96="","",IF(G96="Concluída","Concluída",IF(AND(F96&lt;&gt;"",F96&lt;TODAY()),"Atrasada","No prazo")))</f>
        <v/>
      </c>
    </row>
    <row r="97" customFormat="false" ht="15" hidden="false" customHeight="false" outlineLevel="0" collapsed="false">
      <c r="A97" s="18"/>
      <c r="B97" s="18"/>
      <c r="C97" s="18"/>
      <c r="D97" s="18"/>
      <c r="E97" s="25"/>
      <c r="F97" s="25"/>
      <c r="G97" s="18"/>
      <c r="H97" s="26"/>
      <c r="I97" s="18"/>
      <c r="J97" s="18"/>
      <c r="K97" s="18"/>
      <c r="L97" s="27" t="str">
        <f aca="false">IF(C97="","",IF(G97="Concluída",1,N(H97)))</f>
        <v/>
      </c>
      <c r="M97" s="13" t="str">
        <f aca="true">IF(C97="","",IF(G97="Concluída","Concluída",IF(AND(F97&lt;&gt;"",F97&lt;TODAY()),"Atrasada","No prazo")))</f>
        <v/>
      </c>
    </row>
    <row r="98" customFormat="false" ht="15" hidden="false" customHeight="false" outlineLevel="0" collapsed="false">
      <c r="A98" s="18"/>
      <c r="B98" s="18"/>
      <c r="C98" s="18"/>
      <c r="D98" s="18"/>
      <c r="E98" s="25"/>
      <c r="F98" s="25"/>
      <c r="G98" s="18"/>
      <c r="H98" s="26"/>
      <c r="I98" s="18"/>
      <c r="J98" s="18"/>
      <c r="K98" s="18"/>
      <c r="L98" s="27" t="str">
        <f aca="false">IF(C98="","",IF(G98="Concluída",1,N(H98)))</f>
        <v/>
      </c>
      <c r="M98" s="13" t="str">
        <f aca="true">IF(C98="","",IF(G98="Concluída","Concluída",IF(AND(F98&lt;&gt;"",F98&lt;TODAY()),"Atrasada","No prazo")))</f>
        <v/>
      </c>
    </row>
    <row r="99" customFormat="false" ht="15" hidden="false" customHeight="false" outlineLevel="0" collapsed="false">
      <c r="A99" s="18"/>
      <c r="B99" s="18"/>
      <c r="C99" s="18"/>
      <c r="D99" s="18"/>
      <c r="E99" s="25"/>
      <c r="F99" s="25"/>
      <c r="G99" s="18"/>
      <c r="H99" s="26"/>
      <c r="I99" s="18"/>
      <c r="J99" s="18"/>
      <c r="K99" s="18"/>
      <c r="L99" s="27" t="str">
        <f aca="false">IF(C99="","",IF(G99="Concluída",1,N(H99)))</f>
        <v/>
      </c>
      <c r="M99" s="13" t="str">
        <f aca="true">IF(C99="","",IF(G99="Concluída","Concluída",IF(AND(F99&lt;&gt;"",F99&lt;TODAY()),"Atrasada","No prazo")))</f>
        <v/>
      </c>
    </row>
    <row r="100" customFormat="false" ht="15" hidden="false" customHeight="false" outlineLevel="0" collapsed="false">
      <c r="A100" s="18"/>
      <c r="B100" s="18"/>
      <c r="C100" s="18"/>
      <c r="D100" s="18"/>
      <c r="E100" s="25"/>
      <c r="F100" s="25"/>
      <c r="G100" s="18"/>
      <c r="H100" s="26"/>
      <c r="I100" s="18"/>
      <c r="J100" s="18"/>
      <c r="K100" s="18"/>
      <c r="L100" s="27" t="str">
        <f aca="false">IF(C100="","",IF(G100="Concluída",1,N(H100)))</f>
        <v/>
      </c>
      <c r="M100" s="13" t="str">
        <f aca="true">IF(C100="","",IF(G100="Concluída","Concluída",IF(AND(F100&lt;&gt;"",F100&lt;TODAY()),"Atrasada","No prazo")))</f>
        <v/>
      </c>
    </row>
    <row r="101" customFormat="false" ht="15" hidden="false" customHeight="false" outlineLevel="0" collapsed="false">
      <c r="A101" s="18"/>
      <c r="B101" s="18"/>
      <c r="C101" s="18"/>
      <c r="D101" s="18"/>
      <c r="E101" s="25"/>
      <c r="F101" s="25"/>
      <c r="G101" s="18"/>
      <c r="H101" s="26"/>
      <c r="I101" s="18"/>
      <c r="J101" s="18"/>
      <c r="K101" s="18"/>
      <c r="L101" s="27" t="str">
        <f aca="false">IF(C101="","",IF(G101="Concluída",1,N(H101)))</f>
        <v/>
      </c>
      <c r="M101" s="13" t="str">
        <f aca="true">IF(C101="","",IF(G101="Concluída","Concluída",IF(AND(F101&lt;&gt;"",F101&lt;TODAY()),"Atrasada","No prazo")))</f>
        <v/>
      </c>
    </row>
    <row r="102" customFormat="false" ht="15" hidden="false" customHeight="false" outlineLevel="0" collapsed="false">
      <c r="A102" s="18"/>
      <c r="B102" s="18"/>
      <c r="C102" s="18"/>
      <c r="D102" s="18"/>
      <c r="E102" s="25"/>
      <c r="F102" s="25"/>
      <c r="G102" s="18"/>
      <c r="H102" s="26"/>
      <c r="I102" s="18"/>
      <c r="J102" s="18"/>
      <c r="K102" s="18"/>
      <c r="L102" s="27" t="str">
        <f aca="false">IF(C102="","",IF(G102="Concluída",1,N(H102)))</f>
        <v/>
      </c>
      <c r="M102" s="13" t="str">
        <f aca="true">IF(C102="","",IF(G102="Concluída","Concluída",IF(AND(F102&lt;&gt;"",F102&lt;TODAY()),"Atrasada","No prazo")))</f>
        <v/>
      </c>
    </row>
    <row r="103" customFormat="false" ht="15" hidden="false" customHeight="false" outlineLevel="0" collapsed="false">
      <c r="A103" s="18"/>
      <c r="B103" s="18"/>
      <c r="C103" s="18"/>
      <c r="D103" s="18"/>
      <c r="E103" s="25"/>
      <c r="F103" s="25"/>
      <c r="G103" s="18"/>
      <c r="H103" s="26"/>
      <c r="I103" s="18"/>
      <c r="J103" s="18"/>
      <c r="K103" s="18"/>
      <c r="L103" s="27" t="str">
        <f aca="false">IF(C103="","",IF(G103="Concluída",1,N(H103)))</f>
        <v/>
      </c>
      <c r="M103" s="13" t="str">
        <f aca="true">IF(C103="","",IF(G103="Concluída","Concluída",IF(AND(F103&lt;&gt;"",F103&lt;TODAY()),"Atrasada","No prazo")))</f>
        <v/>
      </c>
    </row>
    <row r="104" customFormat="false" ht="15" hidden="false" customHeight="false" outlineLevel="0" collapsed="false">
      <c r="A104" s="18"/>
      <c r="B104" s="18"/>
      <c r="C104" s="18"/>
      <c r="D104" s="18"/>
      <c r="E104" s="25"/>
      <c r="F104" s="25"/>
      <c r="G104" s="18"/>
      <c r="H104" s="26"/>
      <c r="I104" s="18"/>
      <c r="J104" s="18"/>
      <c r="K104" s="18"/>
      <c r="L104" s="27" t="str">
        <f aca="false">IF(C104="","",IF(G104="Concluída",1,N(H104)))</f>
        <v/>
      </c>
      <c r="M104" s="13" t="str">
        <f aca="true">IF(C104="","",IF(G104="Concluída","Concluída",IF(AND(F104&lt;&gt;"",F104&lt;TODAY()),"Atrasada","No prazo")))</f>
        <v/>
      </c>
    </row>
    <row r="105" customFormat="false" ht="15" hidden="false" customHeight="false" outlineLevel="0" collapsed="false">
      <c r="A105" s="18"/>
      <c r="B105" s="18"/>
      <c r="C105" s="18"/>
      <c r="D105" s="18"/>
      <c r="E105" s="25"/>
      <c r="F105" s="25"/>
      <c r="G105" s="18"/>
      <c r="H105" s="26"/>
      <c r="I105" s="18"/>
      <c r="J105" s="18"/>
      <c r="K105" s="18"/>
      <c r="L105" s="27" t="str">
        <f aca="false">IF(C105="","",IF(G105="Concluída",1,N(H105)))</f>
        <v/>
      </c>
      <c r="M105" s="13" t="str">
        <f aca="true">IF(C105="","",IF(G105="Concluída","Concluída",IF(AND(F105&lt;&gt;"",F105&lt;TODAY()),"Atrasada","No prazo")))</f>
        <v/>
      </c>
    </row>
    <row r="106" customFormat="false" ht="15" hidden="false" customHeight="false" outlineLevel="0" collapsed="false">
      <c r="A106" s="18"/>
      <c r="B106" s="18"/>
      <c r="C106" s="18"/>
      <c r="D106" s="18"/>
      <c r="E106" s="25"/>
      <c r="F106" s="25"/>
      <c r="G106" s="18"/>
      <c r="H106" s="26"/>
      <c r="I106" s="18"/>
      <c r="J106" s="18"/>
      <c r="K106" s="18"/>
      <c r="L106" s="27" t="str">
        <f aca="false">IF(C106="","",IF(G106="Concluída",1,N(H106)))</f>
        <v/>
      </c>
      <c r="M106" s="13" t="str">
        <f aca="true">IF(C106="","",IF(G106="Concluída","Concluída",IF(AND(F106&lt;&gt;"",F106&lt;TODAY()),"Atrasada","No prazo")))</f>
        <v/>
      </c>
    </row>
    <row r="107" customFormat="false" ht="15" hidden="false" customHeight="false" outlineLevel="0" collapsed="false">
      <c r="A107" s="18"/>
      <c r="B107" s="18"/>
      <c r="C107" s="18"/>
      <c r="D107" s="18"/>
      <c r="E107" s="25"/>
      <c r="F107" s="25"/>
      <c r="G107" s="18"/>
      <c r="H107" s="26"/>
      <c r="I107" s="18"/>
      <c r="J107" s="18"/>
      <c r="K107" s="18"/>
      <c r="L107" s="27" t="str">
        <f aca="false">IF(C107="","",IF(G107="Concluída",1,N(H107)))</f>
        <v/>
      </c>
      <c r="M107" s="13" t="str">
        <f aca="true">IF(C107="","",IF(G107="Concluída","Concluída",IF(AND(F107&lt;&gt;"",F107&lt;TODAY()),"Atrasada","No prazo")))</f>
        <v/>
      </c>
    </row>
    <row r="108" customFormat="false" ht="15" hidden="false" customHeight="false" outlineLevel="0" collapsed="false">
      <c r="A108" s="18"/>
      <c r="B108" s="18"/>
      <c r="C108" s="18"/>
      <c r="D108" s="18"/>
      <c r="E108" s="25"/>
      <c r="F108" s="25"/>
      <c r="G108" s="18"/>
      <c r="H108" s="26"/>
      <c r="I108" s="18"/>
      <c r="J108" s="18"/>
      <c r="K108" s="18"/>
      <c r="L108" s="27" t="str">
        <f aca="false">IF(C108="","",IF(G108="Concluída",1,N(H108)))</f>
        <v/>
      </c>
      <c r="M108" s="13" t="str">
        <f aca="true">IF(C108="","",IF(G108="Concluída","Concluída",IF(AND(F108&lt;&gt;"",F108&lt;TODAY()),"Atrasada","No prazo")))</f>
        <v/>
      </c>
    </row>
    <row r="109" customFormat="false" ht="15" hidden="false" customHeight="false" outlineLevel="0" collapsed="false">
      <c r="A109" s="18"/>
      <c r="B109" s="18"/>
      <c r="C109" s="18"/>
      <c r="D109" s="18"/>
      <c r="E109" s="25"/>
      <c r="F109" s="25"/>
      <c r="G109" s="18"/>
      <c r="H109" s="26"/>
      <c r="I109" s="18"/>
      <c r="J109" s="18"/>
      <c r="K109" s="18"/>
      <c r="L109" s="27" t="str">
        <f aca="false">IF(C109="","",IF(G109="Concluída",1,N(H109)))</f>
        <v/>
      </c>
      <c r="M109" s="13" t="str">
        <f aca="true">IF(C109="","",IF(G109="Concluída","Concluída",IF(AND(F109&lt;&gt;"",F109&lt;TODAY()),"Atrasada","No prazo")))</f>
        <v/>
      </c>
    </row>
    <row r="110" customFormat="false" ht="15" hidden="false" customHeight="false" outlineLevel="0" collapsed="false">
      <c r="A110" s="18"/>
      <c r="B110" s="18"/>
      <c r="C110" s="18"/>
      <c r="D110" s="18"/>
      <c r="E110" s="25"/>
      <c r="F110" s="25"/>
      <c r="G110" s="18"/>
      <c r="H110" s="26"/>
      <c r="I110" s="18"/>
      <c r="J110" s="18"/>
      <c r="K110" s="18"/>
      <c r="L110" s="27" t="str">
        <f aca="false">IF(C110="","",IF(G110="Concluída",1,N(H110)))</f>
        <v/>
      </c>
      <c r="M110" s="13" t="str">
        <f aca="true">IF(C110="","",IF(G110="Concluída","Concluída",IF(AND(F110&lt;&gt;"",F110&lt;TODAY()),"Atrasada","No prazo")))</f>
        <v/>
      </c>
    </row>
    <row r="111" customFormat="false" ht="15" hidden="false" customHeight="false" outlineLevel="0" collapsed="false">
      <c r="A111" s="18"/>
      <c r="B111" s="18"/>
      <c r="C111" s="18"/>
      <c r="D111" s="18"/>
      <c r="E111" s="25"/>
      <c r="F111" s="25"/>
      <c r="G111" s="18"/>
      <c r="H111" s="26"/>
      <c r="I111" s="18"/>
      <c r="J111" s="18"/>
      <c r="K111" s="18"/>
      <c r="L111" s="27" t="str">
        <f aca="false">IF(C111="","",IF(G111="Concluída",1,N(H111)))</f>
        <v/>
      </c>
      <c r="M111" s="13" t="str">
        <f aca="true">IF(C111="","",IF(G111="Concluída","Concluída",IF(AND(F111&lt;&gt;"",F111&lt;TODAY()),"Atrasada","No prazo")))</f>
        <v/>
      </c>
    </row>
    <row r="112" customFormat="false" ht="15" hidden="false" customHeight="false" outlineLevel="0" collapsed="false">
      <c r="A112" s="18"/>
      <c r="B112" s="18"/>
      <c r="C112" s="18"/>
      <c r="D112" s="18"/>
      <c r="E112" s="25"/>
      <c r="F112" s="25"/>
      <c r="G112" s="18"/>
      <c r="H112" s="26"/>
      <c r="I112" s="18"/>
      <c r="J112" s="18"/>
      <c r="K112" s="18"/>
      <c r="L112" s="27" t="str">
        <f aca="false">IF(C112="","",IF(G112="Concluída",1,N(H112)))</f>
        <v/>
      </c>
      <c r="M112" s="13" t="str">
        <f aca="true">IF(C112="","",IF(G112="Concluída","Concluída",IF(AND(F112&lt;&gt;"",F112&lt;TODAY()),"Atrasada","No prazo")))</f>
        <v/>
      </c>
    </row>
    <row r="113" customFormat="false" ht="15" hidden="false" customHeight="false" outlineLevel="0" collapsed="false">
      <c r="A113" s="18"/>
      <c r="B113" s="18"/>
      <c r="C113" s="18"/>
      <c r="D113" s="18"/>
      <c r="E113" s="25"/>
      <c r="F113" s="25"/>
      <c r="G113" s="18"/>
      <c r="H113" s="26"/>
      <c r="I113" s="18"/>
      <c r="J113" s="18"/>
      <c r="K113" s="18"/>
      <c r="L113" s="27" t="str">
        <f aca="false">IF(C113="","",IF(G113="Concluída",1,N(H113)))</f>
        <v/>
      </c>
      <c r="M113" s="13" t="str">
        <f aca="true">IF(C113="","",IF(G113="Concluída","Concluída",IF(AND(F113&lt;&gt;"",F113&lt;TODAY()),"Atrasada","No prazo")))</f>
        <v/>
      </c>
    </row>
    <row r="114" customFormat="false" ht="15" hidden="false" customHeight="false" outlineLevel="0" collapsed="false">
      <c r="A114" s="18"/>
      <c r="B114" s="18"/>
      <c r="C114" s="18"/>
      <c r="D114" s="18"/>
      <c r="E114" s="25"/>
      <c r="F114" s="25"/>
      <c r="G114" s="18"/>
      <c r="H114" s="26"/>
      <c r="I114" s="18"/>
      <c r="J114" s="18"/>
      <c r="K114" s="18"/>
      <c r="L114" s="27" t="str">
        <f aca="false">IF(C114="","",IF(G114="Concluída",1,N(H114)))</f>
        <v/>
      </c>
      <c r="M114" s="13" t="str">
        <f aca="true">IF(C114="","",IF(G114="Concluída","Concluída",IF(AND(F114&lt;&gt;"",F114&lt;TODAY()),"Atrasada","No prazo")))</f>
        <v/>
      </c>
    </row>
    <row r="115" customFormat="false" ht="15" hidden="false" customHeight="false" outlineLevel="0" collapsed="false">
      <c r="A115" s="18"/>
      <c r="B115" s="18"/>
      <c r="C115" s="18"/>
      <c r="D115" s="18"/>
      <c r="E115" s="25"/>
      <c r="F115" s="25"/>
      <c r="G115" s="18"/>
      <c r="H115" s="26"/>
      <c r="I115" s="18"/>
      <c r="J115" s="18"/>
      <c r="K115" s="18"/>
      <c r="L115" s="27" t="str">
        <f aca="false">IF(C115="","",IF(G115="Concluída",1,N(H115)))</f>
        <v/>
      </c>
      <c r="M115" s="13" t="str">
        <f aca="true">IF(C115="","",IF(G115="Concluída","Concluída",IF(AND(F115&lt;&gt;"",F115&lt;TODAY()),"Atrasada","No prazo")))</f>
        <v/>
      </c>
    </row>
    <row r="116" customFormat="false" ht="15" hidden="false" customHeight="false" outlineLevel="0" collapsed="false">
      <c r="A116" s="18"/>
      <c r="B116" s="18"/>
      <c r="C116" s="18"/>
      <c r="D116" s="18"/>
      <c r="E116" s="25"/>
      <c r="F116" s="25"/>
      <c r="G116" s="18"/>
      <c r="H116" s="26"/>
      <c r="I116" s="18"/>
      <c r="J116" s="18"/>
      <c r="K116" s="18"/>
      <c r="L116" s="27" t="str">
        <f aca="false">IF(C116="","",IF(G116="Concluída",1,N(H116)))</f>
        <v/>
      </c>
      <c r="M116" s="13" t="str">
        <f aca="true">IF(C116="","",IF(G116="Concluída","Concluída",IF(AND(F116&lt;&gt;"",F116&lt;TODAY()),"Atrasada","No prazo")))</f>
        <v/>
      </c>
    </row>
    <row r="117" customFormat="false" ht="15" hidden="false" customHeight="false" outlineLevel="0" collapsed="false">
      <c r="A117" s="18"/>
      <c r="B117" s="18"/>
      <c r="C117" s="18"/>
      <c r="D117" s="18"/>
      <c r="E117" s="25"/>
      <c r="F117" s="25"/>
      <c r="G117" s="18"/>
      <c r="H117" s="26"/>
      <c r="I117" s="18"/>
      <c r="J117" s="18"/>
      <c r="K117" s="18"/>
      <c r="L117" s="27" t="str">
        <f aca="false">IF(C117="","",IF(G117="Concluída",1,N(H117)))</f>
        <v/>
      </c>
      <c r="M117" s="13" t="str">
        <f aca="true">IF(C117="","",IF(G117="Concluída","Concluída",IF(AND(F117&lt;&gt;"",F117&lt;TODAY()),"Atrasada","No prazo")))</f>
        <v/>
      </c>
    </row>
    <row r="118" customFormat="false" ht="15" hidden="false" customHeight="false" outlineLevel="0" collapsed="false">
      <c r="A118" s="18"/>
      <c r="B118" s="18"/>
      <c r="C118" s="18"/>
      <c r="D118" s="18"/>
      <c r="E118" s="25"/>
      <c r="F118" s="25"/>
      <c r="G118" s="18"/>
      <c r="H118" s="26"/>
      <c r="I118" s="18"/>
      <c r="J118" s="18"/>
      <c r="K118" s="18"/>
      <c r="L118" s="27" t="str">
        <f aca="false">IF(C118="","",IF(G118="Concluída",1,N(H118)))</f>
        <v/>
      </c>
      <c r="M118" s="13" t="str">
        <f aca="true">IF(C118="","",IF(G118="Concluída","Concluída",IF(AND(F118&lt;&gt;"",F118&lt;TODAY()),"Atrasada","No prazo")))</f>
        <v/>
      </c>
    </row>
    <row r="119" customFormat="false" ht="15" hidden="false" customHeight="false" outlineLevel="0" collapsed="false">
      <c r="A119" s="18"/>
      <c r="B119" s="18"/>
      <c r="C119" s="18"/>
      <c r="D119" s="18"/>
      <c r="E119" s="25"/>
      <c r="F119" s="25"/>
      <c r="G119" s="18"/>
      <c r="H119" s="26"/>
      <c r="I119" s="18"/>
      <c r="J119" s="18"/>
      <c r="K119" s="18"/>
      <c r="L119" s="27" t="str">
        <f aca="false">IF(C119="","",IF(G119="Concluída",1,N(H119)))</f>
        <v/>
      </c>
      <c r="M119" s="13" t="str">
        <f aca="true">IF(C119="","",IF(G119="Concluída","Concluída",IF(AND(F119&lt;&gt;"",F119&lt;TODAY()),"Atrasada","No prazo")))</f>
        <v/>
      </c>
    </row>
    <row r="120" customFormat="false" ht="15" hidden="false" customHeight="false" outlineLevel="0" collapsed="false">
      <c r="A120" s="18"/>
      <c r="B120" s="18"/>
      <c r="C120" s="18"/>
      <c r="D120" s="18"/>
      <c r="E120" s="25"/>
      <c r="F120" s="25"/>
      <c r="G120" s="18"/>
      <c r="H120" s="26"/>
      <c r="I120" s="18"/>
      <c r="J120" s="18"/>
      <c r="K120" s="18"/>
      <c r="L120" s="27" t="str">
        <f aca="false">IF(C120="","",IF(G120="Concluída",1,N(H120)))</f>
        <v/>
      </c>
      <c r="M120" s="13" t="str">
        <f aca="true">IF(C120="","",IF(G120="Concluída","Concluída",IF(AND(F120&lt;&gt;"",F120&lt;TODAY()),"Atrasada","No prazo")))</f>
        <v/>
      </c>
    </row>
    <row r="121" customFormat="false" ht="15" hidden="false" customHeight="false" outlineLevel="0" collapsed="false">
      <c r="A121" s="18"/>
      <c r="B121" s="18"/>
      <c r="C121" s="18"/>
      <c r="D121" s="18"/>
      <c r="E121" s="25"/>
      <c r="F121" s="25"/>
      <c r="G121" s="18"/>
      <c r="H121" s="26"/>
      <c r="I121" s="18"/>
      <c r="J121" s="18"/>
      <c r="K121" s="18"/>
      <c r="L121" s="27" t="str">
        <f aca="false">IF(C121="","",IF(G121="Concluída",1,N(H121)))</f>
        <v/>
      </c>
      <c r="M121" s="13" t="str">
        <f aca="true">IF(C121="","",IF(G121="Concluída","Concluída",IF(AND(F121&lt;&gt;"",F121&lt;TODAY()),"Atrasada","No prazo")))</f>
        <v/>
      </c>
    </row>
    <row r="122" customFormat="false" ht="15" hidden="false" customHeight="false" outlineLevel="0" collapsed="false">
      <c r="A122" s="18"/>
      <c r="B122" s="18"/>
      <c r="C122" s="18"/>
      <c r="D122" s="18"/>
      <c r="E122" s="25"/>
      <c r="F122" s="25"/>
      <c r="G122" s="18"/>
      <c r="H122" s="26"/>
      <c r="I122" s="18"/>
      <c r="J122" s="18"/>
      <c r="K122" s="18"/>
      <c r="L122" s="27" t="str">
        <f aca="false">IF(C122="","",IF(G122="Concluída",1,N(H122)))</f>
        <v/>
      </c>
      <c r="M122" s="13" t="str">
        <f aca="true">IF(C122="","",IF(G122="Concluída","Concluída",IF(AND(F122&lt;&gt;"",F122&lt;TODAY()),"Atrasada","No prazo")))</f>
        <v/>
      </c>
    </row>
    <row r="123" customFormat="false" ht="15" hidden="false" customHeight="false" outlineLevel="0" collapsed="false">
      <c r="A123" s="18"/>
      <c r="B123" s="18"/>
      <c r="C123" s="18"/>
      <c r="D123" s="18"/>
      <c r="E123" s="25"/>
      <c r="F123" s="25"/>
      <c r="G123" s="18"/>
      <c r="H123" s="26"/>
      <c r="I123" s="18"/>
      <c r="J123" s="18"/>
      <c r="K123" s="18"/>
      <c r="L123" s="27" t="str">
        <f aca="false">IF(C123="","",IF(G123="Concluída",1,N(H123)))</f>
        <v/>
      </c>
      <c r="M123" s="13" t="str">
        <f aca="true">IF(C123="","",IF(G123="Concluída","Concluída",IF(AND(F123&lt;&gt;"",F123&lt;TODAY()),"Atrasada","No prazo")))</f>
        <v/>
      </c>
    </row>
    <row r="124" customFormat="false" ht="15" hidden="false" customHeight="false" outlineLevel="0" collapsed="false">
      <c r="A124" s="18"/>
      <c r="B124" s="18"/>
      <c r="C124" s="18"/>
      <c r="D124" s="18"/>
      <c r="E124" s="25"/>
      <c r="F124" s="25"/>
      <c r="G124" s="18"/>
      <c r="H124" s="26"/>
      <c r="I124" s="18"/>
      <c r="J124" s="18"/>
      <c r="K124" s="18"/>
      <c r="L124" s="27" t="str">
        <f aca="false">IF(C124="","",IF(G124="Concluída",1,N(H124)))</f>
        <v/>
      </c>
      <c r="M124" s="13" t="str">
        <f aca="true">IF(C124="","",IF(G124="Concluída","Concluída",IF(AND(F124&lt;&gt;"",F124&lt;TODAY()),"Atrasada","No prazo")))</f>
        <v/>
      </c>
    </row>
    <row r="125" customFormat="false" ht="15" hidden="false" customHeight="false" outlineLevel="0" collapsed="false">
      <c r="A125" s="18"/>
      <c r="B125" s="18"/>
      <c r="C125" s="18"/>
      <c r="D125" s="18"/>
      <c r="E125" s="25"/>
      <c r="F125" s="25"/>
      <c r="G125" s="18"/>
      <c r="H125" s="26"/>
      <c r="I125" s="18"/>
      <c r="J125" s="18"/>
      <c r="K125" s="18"/>
      <c r="L125" s="27" t="str">
        <f aca="false">IF(C125="","",IF(G125="Concluída",1,N(H125)))</f>
        <v/>
      </c>
      <c r="M125" s="13" t="str">
        <f aca="true">IF(C125="","",IF(G125="Concluída","Concluída",IF(AND(F125&lt;&gt;"",F125&lt;TODAY()),"Atrasada","No prazo")))</f>
        <v/>
      </c>
    </row>
    <row r="126" customFormat="false" ht="15" hidden="false" customHeight="false" outlineLevel="0" collapsed="false">
      <c r="A126" s="18"/>
      <c r="B126" s="18"/>
      <c r="C126" s="18"/>
      <c r="D126" s="18"/>
      <c r="E126" s="25"/>
      <c r="F126" s="25"/>
      <c r="G126" s="18"/>
      <c r="H126" s="26"/>
      <c r="I126" s="18"/>
      <c r="J126" s="18"/>
      <c r="K126" s="18"/>
      <c r="L126" s="27" t="str">
        <f aca="false">IF(C126="","",IF(G126="Concluída",1,N(H126)))</f>
        <v/>
      </c>
      <c r="M126" s="13" t="str">
        <f aca="true">IF(C126="","",IF(G126="Concluída","Concluída",IF(AND(F126&lt;&gt;"",F126&lt;TODAY()),"Atrasada","No prazo")))</f>
        <v/>
      </c>
    </row>
    <row r="127" customFormat="false" ht="15" hidden="false" customHeight="false" outlineLevel="0" collapsed="false">
      <c r="A127" s="18"/>
      <c r="B127" s="18"/>
      <c r="C127" s="18"/>
      <c r="D127" s="18"/>
      <c r="E127" s="25"/>
      <c r="F127" s="25"/>
      <c r="G127" s="18"/>
      <c r="H127" s="26"/>
      <c r="I127" s="18"/>
      <c r="J127" s="18"/>
      <c r="K127" s="18"/>
      <c r="L127" s="27" t="str">
        <f aca="false">IF(C127="","",IF(G127="Concluída",1,N(H127)))</f>
        <v/>
      </c>
      <c r="M127" s="13" t="str">
        <f aca="true">IF(C127="","",IF(G127="Concluída","Concluída",IF(AND(F127&lt;&gt;"",F127&lt;TODAY()),"Atrasada","No prazo")))</f>
        <v/>
      </c>
    </row>
    <row r="128" customFormat="false" ht="15" hidden="false" customHeight="false" outlineLevel="0" collapsed="false">
      <c r="A128" s="18"/>
      <c r="B128" s="18"/>
      <c r="C128" s="18"/>
      <c r="D128" s="18"/>
      <c r="E128" s="25"/>
      <c r="F128" s="25"/>
      <c r="G128" s="18"/>
      <c r="H128" s="26"/>
      <c r="I128" s="18"/>
      <c r="J128" s="18"/>
      <c r="K128" s="18"/>
      <c r="L128" s="27" t="str">
        <f aca="false">IF(C128="","",IF(G128="Concluída",1,N(H128)))</f>
        <v/>
      </c>
      <c r="M128" s="13" t="str">
        <f aca="true">IF(C128="","",IF(G128="Concluída","Concluída",IF(AND(F128&lt;&gt;"",F128&lt;TODAY()),"Atrasada","No prazo")))</f>
        <v/>
      </c>
    </row>
    <row r="129" customFormat="false" ht="15" hidden="false" customHeight="false" outlineLevel="0" collapsed="false">
      <c r="A129" s="18"/>
      <c r="B129" s="18"/>
      <c r="C129" s="18"/>
      <c r="D129" s="18"/>
      <c r="E129" s="25"/>
      <c r="F129" s="25"/>
      <c r="G129" s="18"/>
      <c r="H129" s="26"/>
      <c r="I129" s="18"/>
      <c r="J129" s="18"/>
      <c r="K129" s="18"/>
      <c r="L129" s="27" t="str">
        <f aca="false">IF(C129="","",IF(G129="Concluída",1,N(H129)))</f>
        <v/>
      </c>
      <c r="M129" s="13" t="str">
        <f aca="true">IF(C129="","",IF(G129="Concluída","Concluída",IF(AND(F129&lt;&gt;"",F129&lt;TODAY()),"Atrasada","No prazo")))</f>
        <v/>
      </c>
    </row>
    <row r="130" customFormat="false" ht="15" hidden="false" customHeight="false" outlineLevel="0" collapsed="false">
      <c r="A130" s="18"/>
      <c r="B130" s="18"/>
      <c r="C130" s="18"/>
      <c r="D130" s="18"/>
      <c r="E130" s="25"/>
      <c r="F130" s="25"/>
      <c r="G130" s="18"/>
      <c r="H130" s="26"/>
      <c r="I130" s="18"/>
      <c r="J130" s="18"/>
      <c r="K130" s="18"/>
      <c r="L130" s="27" t="str">
        <f aca="false">IF(C130="","",IF(G130="Concluída",1,N(H130)))</f>
        <v/>
      </c>
      <c r="M130" s="13" t="str">
        <f aca="true">IF(C130="","",IF(G130="Concluída","Concluída",IF(AND(F130&lt;&gt;"",F130&lt;TODAY()),"Atrasada","No prazo")))</f>
        <v/>
      </c>
    </row>
    <row r="131" customFormat="false" ht="15" hidden="false" customHeight="false" outlineLevel="0" collapsed="false">
      <c r="A131" s="18"/>
      <c r="B131" s="18"/>
      <c r="C131" s="18"/>
      <c r="D131" s="18"/>
      <c r="E131" s="25"/>
      <c r="F131" s="25"/>
      <c r="G131" s="18"/>
      <c r="H131" s="26"/>
      <c r="I131" s="18"/>
      <c r="J131" s="18"/>
      <c r="K131" s="18"/>
      <c r="L131" s="27" t="str">
        <f aca="false">IF(C131="","",IF(G131="Concluída",1,N(H131)))</f>
        <v/>
      </c>
      <c r="M131" s="13" t="str">
        <f aca="true">IF(C131="","",IF(G131="Concluída","Concluída",IF(AND(F131&lt;&gt;"",F131&lt;TODAY()),"Atrasada","No prazo")))</f>
        <v/>
      </c>
    </row>
    <row r="132" customFormat="false" ht="15" hidden="false" customHeight="false" outlineLevel="0" collapsed="false">
      <c r="A132" s="18"/>
      <c r="B132" s="18"/>
      <c r="C132" s="18"/>
      <c r="D132" s="18"/>
      <c r="E132" s="25"/>
      <c r="F132" s="25"/>
      <c r="G132" s="18"/>
      <c r="H132" s="26"/>
      <c r="I132" s="18"/>
      <c r="J132" s="18"/>
      <c r="K132" s="18"/>
      <c r="L132" s="27" t="str">
        <f aca="false">IF(C132="","",IF(G132="Concluída",1,N(H132)))</f>
        <v/>
      </c>
      <c r="M132" s="13" t="str">
        <f aca="true">IF(C132="","",IF(G132="Concluída","Concluída",IF(AND(F132&lt;&gt;"",F132&lt;TODAY()),"Atrasada","No prazo")))</f>
        <v/>
      </c>
    </row>
    <row r="133" customFormat="false" ht="15" hidden="false" customHeight="false" outlineLevel="0" collapsed="false">
      <c r="A133" s="18"/>
      <c r="B133" s="18"/>
      <c r="C133" s="18"/>
      <c r="D133" s="18"/>
      <c r="E133" s="25"/>
      <c r="F133" s="25"/>
      <c r="G133" s="18"/>
      <c r="H133" s="26"/>
      <c r="I133" s="18"/>
      <c r="J133" s="18"/>
      <c r="K133" s="18"/>
      <c r="L133" s="27" t="str">
        <f aca="false">IF(C133="","",IF(G133="Concluída",1,N(H133)))</f>
        <v/>
      </c>
      <c r="M133" s="13" t="str">
        <f aca="true">IF(C133="","",IF(G133="Concluída","Concluída",IF(AND(F133&lt;&gt;"",F133&lt;TODAY()),"Atrasada","No prazo")))</f>
        <v/>
      </c>
    </row>
    <row r="134" customFormat="false" ht="15" hidden="false" customHeight="false" outlineLevel="0" collapsed="false">
      <c r="A134" s="18"/>
      <c r="B134" s="18"/>
      <c r="C134" s="18"/>
      <c r="D134" s="18"/>
      <c r="E134" s="25"/>
      <c r="F134" s="25"/>
      <c r="G134" s="18"/>
      <c r="H134" s="26"/>
      <c r="I134" s="18"/>
      <c r="J134" s="18"/>
      <c r="K134" s="18"/>
      <c r="L134" s="27" t="str">
        <f aca="false">IF(C134="","",IF(G134="Concluída",1,N(H134)))</f>
        <v/>
      </c>
      <c r="M134" s="13" t="str">
        <f aca="true">IF(C134="","",IF(G134="Concluída","Concluída",IF(AND(F134&lt;&gt;"",F134&lt;TODAY()),"Atrasada","No prazo")))</f>
        <v/>
      </c>
    </row>
    <row r="135" customFormat="false" ht="15" hidden="false" customHeight="false" outlineLevel="0" collapsed="false">
      <c r="A135" s="18"/>
      <c r="B135" s="18"/>
      <c r="C135" s="18"/>
      <c r="D135" s="18"/>
      <c r="E135" s="25"/>
      <c r="F135" s="25"/>
      <c r="G135" s="18"/>
      <c r="H135" s="26"/>
      <c r="I135" s="18"/>
      <c r="J135" s="18"/>
      <c r="K135" s="18"/>
      <c r="L135" s="27" t="str">
        <f aca="false">IF(C135="","",IF(G135="Concluída",1,N(H135)))</f>
        <v/>
      </c>
      <c r="M135" s="13" t="str">
        <f aca="true">IF(C135="","",IF(G135="Concluída","Concluída",IF(AND(F135&lt;&gt;"",F135&lt;TODAY()),"Atrasada","No prazo")))</f>
        <v/>
      </c>
    </row>
    <row r="136" customFormat="false" ht="15" hidden="false" customHeight="false" outlineLevel="0" collapsed="false">
      <c r="A136" s="18"/>
      <c r="B136" s="18"/>
      <c r="C136" s="18"/>
      <c r="D136" s="18"/>
      <c r="E136" s="25"/>
      <c r="F136" s="25"/>
      <c r="G136" s="18"/>
      <c r="H136" s="26"/>
      <c r="I136" s="18"/>
      <c r="J136" s="18"/>
      <c r="K136" s="18"/>
      <c r="L136" s="27" t="str">
        <f aca="false">IF(C136="","",IF(G136="Concluída",1,N(H136)))</f>
        <v/>
      </c>
      <c r="M136" s="13" t="str">
        <f aca="true">IF(C136="","",IF(G136="Concluída","Concluída",IF(AND(F136&lt;&gt;"",F136&lt;TODAY()),"Atrasada","No prazo")))</f>
        <v/>
      </c>
    </row>
    <row r="137" customFormat="false" ht="15" hidden="false" customHeight="false" outlineLevel="0" collapsed="false">
      <c r="A137" s="18"/>
      <c r="B137" s="18"/>
      <c r="C137" s="18"/>
      <c r="D137" s="18"/>
      <c r="E137" s="25"/>
      <c r="F137" s="25"/>
      <c r="G137" s="18"/>
      <c r="H137" s="26"/>
      <c r="I137" s="18"/>
      <c r="J137" s="18"/>
      <c r="K137" s="18"/>
      <c r="L137" s="27" t="str">
        <f aca="false">IF(C137="","",IF(G137="Concluída",1,N(H137)))</f>
        <v/>
      </c>
      <c r="M137" s="13" t="str">
        <f aca="true">IF(C137="","",IF(G137="Concluída","Concluída",IF(AND(F137&lt;&gt;"",F137&lt;TODAY()),"Atrasada","No prazo")))</f>
        <v/>
      </c>
    </row>
    <row r="138" customFormat="false" ht="15" hidden="false" customHeight="false" outlineLevel="0" collapsed="false">
      <c r="A138" s="18"/>
      <c r="B138" s="18"/>
      <c r="C138" s="18"/>
      <c r="D138" s="18"/>
      <c r="E138" s="25"/>
      <c r="F138" s="25"/>
      <c r="G138" s="18"/>
      <c r="H138" s="26"/>
      <c r="I138" s="18"/>
      <c r="J138" s="18"/>
      <c r="K138" s="18"/>
      <c r="L138" s="27" t="str">
        <f aca="false">IF(C138="","",IF(G138="Concluída",1,N(H138)))</f>
        <v/>
      </c>
      <c r="M138" s="13" t="str">
        <f aca="true">IF(C138="","",IF(G138="Concluída","Concluída",IF(AND(F138&lt;&gt;"",F138&lt;TODAY()),"Atrasada","No prazo")))</f>
        <v/>
      </c>
    </row>
    <row r="139" customFormat="false" ht="15" hidden="false" customHeight="false" outlineLevel="0" collapsed="false">
      <c r="A139" s="18"/>
      <c r="B139" s="18"/>
      <c r="C139" s="18"/>
      <c r="D139" s="18"/>
      <c r="E139" s="25"/>
      <c r="F139" s="25"/>
      <c r="G139" s="18"/>
      <c r="H139" s="26"/>
      <c r="I139" s="18"/>
      <c r="J139" s="18"/>
      <c r="K139" s="18"/>
      <c r="L139" s="27" t="str">
        <f aca="false">IF(C139="","",IF(G139="Concluída",1,N(H139)))</f>
        <v/>
      </c>
      <c r="M139" s="13" t="str">
        <f aca="true">IF(C139="","",IF(G139="Concluída","Concluída",IF(AND(F139&lt;&gt;"",F139&lt;TODAY()),"Atrasada","No prazo")))</f>
        <v/>
      </c>
    </row>
    <row r="140" customFormat="false" ht="15" hidden="false" customHeight="false" outlineLevel="0" collapsed="false">
      <c r="A140" s="18"/>
      <c r="B140" s="18"/>
      <c r="C140" s="18"/>
      <c r="D140" s="18"/>
      <c r="E140" s="25"/>
      <c r="F140" s="25"/>
      <c r="G140" s="18"/>
      <c r="H140" s="26"/>
      <c r="I140" s="18"/>
      <c r="J140" s="18"/>
      <c r="K140" s="18"/>
      <c r="L140" s="27" t="str">
        <f aca="false">IF(C140="","",IF(G140="Concluída",1,N(H140)))</f>
        <v/>
      </c>
      <c r="M140" s="13" t="str">
        <f aca="true">IF(C140="","",IF(G140="Concluída","Concluída",IF(AND(F140&lt;&gt;"",F140&lt;TODAY()),"Atrasada","No prazo")))</f>
        <v/>
      </c>
    </row>
    <row r="141" customFormat="false" ht="15" hidden="false" customHeight="false" outlineLevel="0" collapsed="false">
      <c r="A141" s="18"/>
      <c r="B141" s="18"/>
      <c r="C141" s="18"/>
      <c r="D141" s="18"/>
      <c r="E141" s="25"/>
      <c r="F141" s="25"/>
      <c r="G141" s="18"/>
      <c r="H141" s="26"/>
      <c r="I141" s="18"/>
      <c r="J141" s="18"/>
      <c r="K141" s="18"/>
      <c r="L141" s="27" t="str">
        <f aca="false">IF(C141="","",IF(G141="Concluída",1,N(H141)))</f>
        <v/>
      </c>
      <c r="M141" s="13" t="str">
        <f aca="true">IF(C141="","",IF(G141="Concluída","Concluída",IF(AND(F141&lt;&gt;"",F141&lt;TODAY()),"Atrasada","No prazo")))</f>
        <v/>
      </c>
    </row>
    <row r="142" customFormat="false" ht="15" hidden="false" customHeight="false" outlineLevel="0" collapsed="false">
      <c r="A142" s="18"/>
      <c r="B142" s="18"/>
      <c r="C142" s="18"/>
      <c r="D142" s="18"/>
      <c r="E142" s="25"/>
      <c r="F142" s="25"/>
      <c r="G142" s="18"/>
      <c r="H142" s="26"/>
      <c r="I142" s="18"/>
      <c r="J142" s="18"/>
      <c r="K142" s="18"/>
      <c r="L142" s="27" t="str">
        <f aca="false">IF(C142="","",IF(G142="Concluída",1,N(H142)))</f>
        <v/>
      </c>
      <c r="M142" s="13" t="str">
        <f aca="true">IF(C142="","",IF(G142="Concluída","Concluída",IF(AND(F142&lt;&gt;"",F142&lt;TODAY()),"Atrasada","No prazo")))</f>
        <v/>
      </c>
    </row>
    <row r="143" customFormat="false" ht="15" hidden="false" customHeight="false" outlineLevel="0" collapsed="false">
      <c r="A143" s="18"/>
      <c r="B143" s="18"/>
      <c r="C143" s="18"/>
      <c r="D143" s="18"/>
      <c r="E143" s="25"/>
      <c r="F143" s="25"/>
      <c r="G143" s="18"/>
      <c r="H143" s="26"/>
      <c r="I143" s="18"/>
      <c r="J143" s="18"/>
      <c r="K143" s="18"/>
      <c r="L143" s="27" t="str">
        <f aca="false">IF(C143="","",IF(G143="Concluída",1,N(H143)))</f>
        <v/>
      </c>
      <c r="M143" s="13" t="str">
        <f aca="true">IF(C143="","",IF(G143="Concluída","Concluída",IF(AND(F143&lt;&gt;"",F143&lt;TODAY()),"Atrasada","No prazo")))</f>
        <v/>
      </c>
    </row>
    <row r="144" customFormat="false" ht="15" hidden="false" customHeight="false" outlineLevel="0" collapsed="false">
      <c r="A144" s="18"/>
      <c r="B144" s="18"/>
      <c r="C144" s="18"/>
      <c r="D144" s="18"/>
      <c r="E144" s="25"/>
      <c r="F144" s="25"/>
      <c r="G144" s="18"/>
      <c r="H144" s="26"/>
      <c r="I144" s="18"/>
      <c r="J144" s="18"/>
      <c r="K144" s="18"/>
      <c r="L144" s="27" t="str">
        <f aca="false">IF(C144="","",IF(G144="Concluída",1,N(H144)))</f>
        <v/>
      </c>
      <c r="M144" s="13" t="str">
        <f aca="true">IF(C144="","",IF(G144="Concluída","Concluída",IF(AND(F144&lt;&gt;"",F144&lt;TODAY()),"Atrasada","No prazo")))</f>
        <v/>
      </c>
    </row>
    <row r="145" customFormat="false" ht="15" hidden="false" customHeight="false" outlineLevel="0" collapsed="false">
      <c r="A145" s="18"/>
      <c r="B145" s="18"/>
      <c r="C145" s="18"/>
      <c r="D145" s="18"/>
      <c r="E145" s="25"/>
      <c r="F145" s="25"/>
      <c r="G145" s="18"/>
      <c r="H145" s="26"/>
      <c r="I145" s="18"/>
      <c r="J145" s="18"/>
      <c r="K145" s="18"/>
      <c r="L145" s="27" t="str">
        <f aca="false">IF(C145="","",IF(G145="Concluída",1,N(H145)))</f>
        <v/>
      </c>
      <c r="M145" s="13" t="str">
        <f aca="true">IF(C145="","",IF(G145="Concluída","Concluída",IF(AND(F145&lt;&gt;"",F145&lt;TODAY()),"Atrasada","No prazo")))</f>
        <v/>
      </c>
    </row>
    <row r="146" customFormat="false" ht="15" hidden="false" customHeight="false" outlineLevel="0" collapsed="false">
      <c r="A146" s="18"/>
      <c r="B146" s="18"/>
      <c r="C146" s="18"/>
      <c r="D146" s="18"/>
      <c r="E146" s="25"/>
      <c r="F146" s="25"/>
      <c r="G146" s="18"/>
      <c r="H146" s="26"/>
      <c r="I146" s="18"/>
      <c r="J146" s="18"/>
      <c r="K146" s="18"/>
      <c r="L146" s="27" t="str">
        <f aca="false">IF(C146="","",IF(G146="Concluída",1,N(H146)))</f>
        <v/>
      </c>
      <c r="M146" s="13" t="str">
        <f aca="true">IF(C146="","",IF(G146="Concluída","Concluída",IF(AND(F146&lt;&gt;"",F146&lt;TODAY()),"Atrasada","No prazo")))</f>
        <v/>
      </c>
    </row>
    <row r="147" customFormat="false" ht="15" hidden="false" customHeight="false" outlineLevel="0" collapsed="false">
      <c r="A147" s="18"/>
      <c r="B147" s="18"/>
      <c r="C147" s="18"/>
      <c r="D147" s="18"/>
      <c r="E147" s="25"/>
      <c r="F147" s="25"/>
      <c r="G147" s="18"/>
      <c r="H147" s="26"/>
      <c r="I147" s="18"/>
      <c r="J147" s="18"/>
      <c r="K147" s="18"/>
      <c r="L147" s="27" t="str">
        <f aca="false">IF(C147="","",IF(G147="Concluída",1,N(H147)))</f>
        <v/>
      </c>
      <c r="M147" s="13" t="str">
        <f aca="true">IF(C147="","",IF(G147="Concluída","Concluída",IF(AND(F147&lt;&gt;"",F147&lt;TODAY()),"Atrasada","No prazo")))</f>
        <v/>
      </c>
    </row>
    <row r="148" customFormat="false" ht="15" hidden="false" customHeight="false" outlineLevel="0" collapsed="false">
      <c r="A148" s="18"/>
      <c r="B148" s="18"/>
      <c r="C148" s="18"/>
      <c r="D148" s="18"/>
      <c r="E148" s="25"/>
      <c r="F148" s="25"/>
      <c r="G148" s="18"/>
      <c r="H148" s="26"/>
      <c r="I148" s="18"/>
      <c r="J148" s="18"/>
      <c r="K148" s="18"/>
      <c r="L148" s="27" t="str">
        <f aca="false">IF(C148="","",IF(G148="Concluída",1,N(H148)))</f>
        <v/>
      </c>
      <c r="M148" s="13" t="str">
        <f aca="true">IF(C148="","",IF(G148="Concluída","Concluída",IF(AND(F148&lt;&gt;"",F148&lt;TODAY()),"Atrasada","No prazo")))</f>
        <v/>
      </c>
    </row>
    <row r="149" customFormat="false" ht="15" hidden="false" customHeight="false" outlineLevel="0" collapsed="false">
      <c r="A149" s="18"/>
      <c r="B149" s="18"/>
      <c r="C149" s="18"/>
      <c r="D149" s="18"/>
      <c r="E149" s="25"/>
      <c r="F149" s="25"/>
      <c r="G149" s="18"/>
      <c r="H149" s="26"/>
      <c r="I149" s="18"/>
      <c r="J149" s="18"/>
      <c r="K149" s="18"/>
      <c r="L149" s="27" t="str">
        <f aca="false">IF(C149="","",IF(G149="Concluída",1,N(H149)))</f>
        <v/>
      </c>
      <c r="M149" s="13" t="str">
        <f aca="true">IF(C149="","",IF(G149="Concluída","Concluída",IF(AND(F149&lt;&gt;"",F149&lt;TODAY()),"Atrasada","No prazo")))</f>
        <v/>
      </c>
    </row>
    <row r="150" customFormat="false" ht="15" hidden="false" customHeight="false" outlineLevel="0" collapsed="false">
      <c r="A150" s="18"/>
      <c r="B150" s="18"/>
      <c r="C150" s="18"/>
      <c r="D150" s="18"/>
      <c r="E150" s="25"/>
      <c r="F150" s="25"/>
      <c r="G150" s="18"/>
      <c r="H150" s="26"/>
      <c r="I150" s="18"/>
      <c r="J150" s="18"/>
      <c r="K150" s="18"/>
      <c r="L150" s="27" t="str">
        <f aca="false">IF(C150="","",IF(G150="Concluída",1,N(H150)))</f>
        <v/>
      </c>
      <c r="M150" s="13" t="str">
        <f aca="true">IF(C150="","",IF(G150="Concluída","Concluída",IF(AND(F150&lt;&gt;"",F150&lt;TODAY()),"Atrasada","No prazo")))</f>
        <v/>
      </c>
    </row>
    <row r="151" customFormat="false" ht="15" hidden="false" customHeight="false" outlineLevel="0" collapsed="false">
      <c r="A151" s="18"/>
      <c r="B151" s="18"/>
      <c r="C151" s="18"/>
      <c r="D151" s="18"/>
      <c r="E151" s="25"/>
      <c r="F151" s="25"/>
      <c r="G151" s="18"/>
      <c r="H151" s="26"/>
      <c r="I151" s="18"/>
      <c r="J151" s="18"/>
      <c r="K151" s="18"/>
      <c r="L151" s="27" t="str">
        <f aca="false">IF(C151="","",IF(G151="Concluída",1,N(H151)))</f>
        <v/>
      </c>
      <c r="M151" s="13" t="str">
        <f aca="true">IF(C151="","",IF(G151="Concluída","Concluída",IF(AND(F151&lt;&gt;"",F151&lt;TODAY()),"Atrasada","No prazo")))</f>
        <v/>
      </c>
    </row>
    <row r="152" customFormat="false" ht="15" hidden="false" customHeight="false" outlineLevel="0" collapsed="false">
      <c r="A152" s="18"/>
      <c r="B152" s="18"/>
      <c r="C152" s="18"/>
      <c r="D152" s="18"/>
      <c r="E152" s="25"/>
      <c r="F152" s="25"/>
      <c r="G152" s="18"/>
      <c r="H152" s="26"/>
      <c r="I152" s="18"/>
      <c r="J152" s="18"/>
      <c r="K152" s="18"/>
      <c r="L152" s="27" t="str">
        <f aca="false">IF(C152="","",IF(G152="Concluída",1,N(H152)))</f>
        <v/>
      </c>
      <c r="M152" s="13" t="str">
        <f aca="true">IF(C152="","",IF(G152="Concluída","Concluída",IF(AND(F152&lt;&gt;"",F152&lt;TODAY()),"Atrasada","No prazo")))</f>
        <v/>
      </c>
    </row>
    <row r="153" customFormat="false" ht="15" hidden="false" customHeight="false" outlineLevel="0" collapsed="false">
      <c r="A153" s="18"/>
      <c r="B153" s="18"/>
      <c r="C153" s="18"/>
      <c r="D153" s="18"/>
      <c r="E153" s="25"/>
      <c r="F153" s="25"/>
      <c r="G153" s="18"/>
      <c r="H153" s="26"/>
      <c r="I153" s="18"/>
      <c r="J153" s="18"/>
      <c r="K153" s="18"/>
      <c r="L153" s="27" t="str">
        <f aca="false">IF(C153="","",IF(G153="Concluída",1,N(H153)))</f>
        <v/>
      </c>
      <c r="M153" s="13" t="str">
        <f aca="true">IF(C153="","",IF(G153="Concluída","Concluída",IF(AND(F153&lt;&gt;"",F153&lt;TODAY()),"Atrasada","No prazo")))</f>
        <v/>
      </c>
    </row>
    <row r="154" customFormat="false" ht="15" hidden="false" customHeight="false" outlineLevel="0" collapsed="false">
      <c r="A154" s="18"/>
      <c r="B154" s="18"/>
      <c r="C154" s="18"/>
      <c r="D154" s="18"/>
      <c r="E154" s="25"/>
      <c r="F154" s="25"/>
      <c r="G154" s="18"/>
      <c r="H154" s="26"/>
      <c r="I154" s="18"/>
      <c r="J154" s="18"/>
      <c r="K154" s="18"/>
      <c r="L154" s="27" t="str">
        <f aca="false">IF(C154="","",IF(G154="Concluída",1,N(H154)))</f>
        <v/>
      </c>
      <c r="M154" s="13" t="str">
        <f aca="true">IF(C154="","",IF(G154="Concluída","Concluída",IF(AND(F154&lt;&gt;"",F154&lt;TODAY()),"Atrasada","No prazo")))</f>
        <v/>
      </c>
    </row>
    <row r="155" customFormat="false" ht="15" hidden="false" customHeight="false" outlineLevel="0" collapsed="false">
      <c r="A155" s="18"/>
      <c r="B155" s="18"/>
      <c r="C155" s="18"/>
      <c r="D155" s="18"/>
      <c r="E155" s="25"/>
      <c r="F155" s="25"/>
      <c r="G155" s="18"/>
      <c r="H155" s="26"/>
      <c r="I155" s="18"/>
      <c r="J155" s="18"/>
      <c r="K155" s="18"/>
      <c r="L155" s="27" t="str">
        <f aca="false">IF(C155="","",IF(G155="Concluída",1,N(H155)))</f>
        <v/>
      </c>
      <c r="M155" s="13" t="str">
        <f aca="true">IF(C155="","",IF(G155="Concluída","Concluída",IF(AND(F155&lt;&gt;"",F155&lt;TODAY()),"Atrasada","No prazo")))</f>
        <v/>
      </c>
    </row>
    <row r="156" customFormat="false" ht="15" hidden="false" customHeight="false" outlineLevel="0" collapsed="false">
      <c r="A156" s="18"/>
      <c r="B156" s="18"/>
      <c r="C156" s="18"/>
      <c r="D156" s="18"/>
      <c r="E156" s="25"/>
      <c r="F156" s="25"/>
      <c r="G156" s="18"/>
      <c r="H156" s="26"/>
      <c r="I156" s="18"/>
      <c r="J156" s="18"/>
      <c r="K156" s="18"/>
      <c r="L156" s="27" t="str">
        <f aca="false">IF(C156="","",IF(G156="Concluída",1,N(H156)))</f>
        <v/>
      </c>
      <c r="M156" s="13" t="str">
        <f aca="true">IF(C156="","",IF(G156="Concluída","Concluída",IF(AND(F156&lt;&gt;"",F156&lt;TODAY()),"Atrasada","No prazo")))</f>
        <v/>
      </c>
    </row>
    <row r="157" customFormat="false" ht="15" hidden="false" customHeight="false" outlineLevel="0" collapsed="false">
      <c r="A157" s="18"/>
      <c r="B157" s="18"/>
      <c r="C157" s="18"/>
      <c r="D157" s="18"/>
      <c r="E157" s="25"/>
      <c r="F157" s="25"/>
      <c r="G157" s="18"/>
      <c r="H157" s="26"/>
      <c r="I157" s="18"/>
      <c r="J157" s="18"/>
      <c r="K157" s="18"/>
      <c r="L157" s="27" t="str">
        <f aca="false">IF(C157="","",IF(G157="Concluída",1,N(H157)))</f>
        <v/>
      </c>
      <c r="M157" s="13" t="str">
        <f aca="true">IF(C157="","",IF(G157="Concluída","Concluída",IF(AND(F157&lt;&gt;"",F157&lt;TODAY()),"Atrasada","No prazo")))</f>
        <v/>
      </c>
    </row>
    <row r="158" customFormat="false" ht="15" hidden="false" customHeight="false" outlineLevel="0" collapsed="false">
      <c r="A158" s="18"/>
      <c r="B158" s="18"/>
      <c r="C158" s="18"/>
      <c r="D158" s="18"/>
      <c r="E158" s="25"/>
      <c r="F158" s="25"/>
      <c r="G158" s="18"/>
      <c r="H158" s="26"/>
      <c r="I158" s="18"/>
      <c r="J158" s="18"/>
      <c r="K158" s="18"/>
      <c r="L158" s="27" t="str">
        <f aca="false">IF(C158="","",IF(G158="Concluída",1,N(H158)))</f>
        <v/>
      </c>
      <c r="M158" s="13" t="str">
        <f aca="true">IF(C158="","",IF(G158="Concluída","Concluída",IF(AND(F158&lt;&gt;"",F158&lt;TODAY()),"Atrasada","No prazo")))</f>
        <v/>
      </c>
    </row>
    <row r="159" customFormat="false" ht="15" hidden="false" customHeight="false" outlineLevel="0" collapsed="false">
      <c r="A159" s="18"/>
      <c r="B159" s="18"/>
      <c r="C159" s="18"/>
      <c r="D159" s="18"/>
      <c r="E159" s="25"/>
      <c r="F159" s="25"/>
      <c r="G159" s="18"/>
      <c r="H159" s="26"/>
      <c r="I159" s="18"/>
      <c r="J159" s="18"/>
      <c r="K159" s="18"/>
      <c r="L159" s="27" t="str">
        <f aca="false">IF(C159="","",IF(G159="Concluída",1,N(H159)))</f>
        <v/>
      </c>
      <c r="M159" s="13" t="str">
        <f aca="true">IF(C159="","",IF(G159="Concluída","Concluída",IF(AND(F159&lt;&gt;"",F159&lt;TODAY()),"Atrasada","No prazo")))</f>
        <v/>
      </c>
    </row>
    <row r="160" customFormat="false" ht="15" hidden="false" customHeight="false" outlineLevel="0" collapsed="false">
      <c r="A160" s="18"/>
      <c r="B160" s="18"/>
      <c r="C160" s="18"/>
      <c r="D160" s="18"/>
      <c r="E160" s="25"/>
      <c r="F160" s="25"/>
      <c r="G160" s="18"/>
      <c r="H160" s="26"/>
      <c r="I160" s="18"/>
      <c r="J160" s="18"/>
      <c r="K160" s="18"/>
      <c r="L160" s="27" t="str">
        <f aca="false">IF(C160="","",IF(G160="Concluída",1,N(H160)))</f>
        <v/>
      </c>
      <c r="M160" s="13" t="str">
        <f aca="true">IF(C160="","",IF(G160="Concluída","Concluída",IF(AND(F160&lt;&gt;"",F160&lt;TODAY()),"Atrasada","No prazo")))</f>
        <v/>
      </c>
    </row>
    <row r="161" customFormat="false" ht="15" hidden="false" customHeight="false" outlineLevel="0" collapsed="false">
      <c r="A161" s="18"/>
      <c r="B161" s="18"/>
      <c r="C161" s="18"/>
      <c r="D161" s="18"/>
      <c r="E161" s="25"/>
      <c r="F161" s="25"/>
      <c r="G161" s="18"/>
      <c r="H161" s="26"/>
      <c r="I161" s="18"/>
      <c r="J161" s="18"/>
      <c r="K161" s="18"/>
      <c r="L161" s="27" t="str">
        <f aca="false">IF(C161="","",IF(G161="Concluída",1,N(H161)))</f>
        <v/>
      </c>
      <c r="M161" s="13" t="str">
        <f aca="true">IF(C161="","",IF(G161="Concluída","Concluída",IF(AND(F161&lt;&gt;"",F161&lt;TODAY()),"Atrasada","No prazo")))</f>
        <v/>
      </c>
    </row>
    <row r="162" customFormat="false" ht="15" hidden="false" customHeight="false" outlineLevel="0" collapsed="false">
      <c r="A162" s="18"/>
      <c r="B162" s="18"/>
      <c r="C162" s="18"/>
      <c r="D162" s="18"/>
      <c r="E162" s="25"/>
      <c r="F162" s="25"/>
      <c r="G162" s="18"/>
      <c r="H162" s="26"/>
      <c r="I162" s="18"/>
      <c r="J162" s="18"/>
      <c r="K162" s="18"/>
      <c r="L162" s="27" t="str">
        <f aca="false">IF(C162="","",IF(G162="Concluída",1,N(H162)))</f>
        <v/>
      </c>
      <c r="M162" s="13" t="str">
        <f aca="true">IF(C162="","",IF(G162="Concluída","Concluída",IF(AND(F162&lt;&gt;"",F162&lt;TODAY()),"Atrasada","No prazo")))</f>
        <v/>
      </c>
    </row>
    <row r="163" customFormat="false" ht="15" hidden="false" customHeight="false" outlineLevel="0" collapsed="false">
      <c r="A163" s="18"/>
      <c r="B163" s="18"/>
      <c r="C163" s="18"/>
      <c r="D163" s="18"/>
      <c r="E163" s="25"/>
      <c r="F163" s="25"/>
      <c r="G163" s="18"/>
      <c r="H163" s="26"/>
      <c r="I163" s="18"/>
      <c r="J163" s="18"/>
      <c r="K163" s="18"/>
      <c r="L163" s="27" t="str">
        <f aca="false">IF(C163="","",IF(G163="Concluída",1,N(H163)))</f>
        <v/>
      </c>
      <c r="M163" s="13" t="str">
        <f aca="true">IF(C163="","",IF(G163="Concluída","Concluída",IF(AND(F163&lt;&gt;"",F163&lt;TODAY()),"Atrasada","No prazo")))</f>
        <v/>
      </c>
    </row>
    <row r="164" customFormat="false" ht="15" hidden="false" customHeight="false" outlineLevel="0" collapsed="false">
      <c r="A164" s="18"/>
      <c r="B164" s="18"/>
      <c r="C164" s="18"/>
      <c r="D164" s="18"/>
      <c r="E164" s="25"/>
      <c r="F164" s="25"/>
      <c r="G164" s="18"/>
      <c r="H164" s="26"/>
      <c r="I164" s="18"/>
      <c r="J164" s="18"/>
      <c r="K164" s="18"/>
      <c r="L164" s="27" t="str">
        <f aca="false">IF(C164="","",IF(G164="Concluída",1,N(H164)))</f>
        <v/>
      </c>
      <c r="M164" s="13" t="str">
        <f aca="true">IF(C164="","",IF(G164="Concluída","Concluída",IF(AND(F164&lt;&gt;"",F164&lt;TODAY()),"Atrasada","No prazo")))</f>
        <v/>
      </c>
    </row>
    <row r="165" customFormat="false" ht="15" hidden="false" customHeight="false" outlineLevel="0" collapsed="false">
      <c r="A165" s="18"/>
      <c r="B165" s="18"/>
      <c r="C165" s="18"/>
      <c r="D165" s="18"/>
      <c r="E165" s="25"/>
      <c r="F165" s="25"/>
      <c r="G165" s="18"/>
      <c r="H165" s="26"/>
      <c r="I165" s="18"/>
      <c r="J165" s="18"/>
      <c r="K165" s="18"/>
      <c r="L165" s="27" t="str">
        <f aca="false">IF(C165="","",IF(G165="Concluída",1,N(H165)))</f>
        <v/>
      </c>
      <c r="M165" s="13" t="str">
        <f aca="true">IF(C165="","",IF(G165="Concluída","Concluída",IF(AND(F165&lt;&gt;"",F165&lt;TODAY()),"Atrasada","No prazo")))</f>
        <v/>
      </c>
    </row>
    <row r="166" customFormat="false" ht="15" hidden="false" customHeight="false" outlineLevel="0" collapsed="false">
      <c r="A166" s="18"/>
      <c r="B166" s="18"/>
      <c r="C166" s="18"/>
      <c r="D166" s="18"/>
      <c r="E166" s="25"/>
      <c r="F166" s="25"/>
      <c r="G166" s="18"/>
      <c r="H166" s="26"/>
      <c r="I166" s="18"/>
      <c r="J166" s="18"/>
      <c r="K166" s="18"/>
      <c r="L166" s="27" t="str">
        <f aca="false">IF(C166="","",IF(G166="Concluída",1,N(H166)))</f>
        <v/>
      </c>
      <c r="M166" s="13" t="str">
        <f aca="true">IF(C166="","",IF(G166="Concluída","Concluída",IF(AND(F166&lt;&gt;"",F166&lt;TODAY()),"Atrasada","No prazo")))</f>
        <v/>
      </c>
    </row>
    <row r="167" customFormat="false" ht="15" hidden="false" customHeight="false" outlineLevel="0" collapsed="false">
      <c r="A167" s="18"/>
      <c r="B167" s="18"/>
      <c r="C167" s="18"/>
      <c r="D167" s="18"/>
      <c r="E167" s="25"/>
      <c r="F167" s="25"/>
      <c r="G167" s="18"/>
      <c r="H167" s="26"/>
      <c r="I167" s="18"/>
      <c r="J167" s="18"/>
      <c r="K167" s="18"/>
      <c r="L167" s="27" t="str">
        <f aca="false">IF(C167="","",IF(G167="Concluída",1,N(H167)))</f>
        <v/>
      </c>
      <c r="M167" s="13" t="str">
        <f aca="true">IF(C167="","",IF(G167="Concluída","Concluída",IF(AND(F167&lt;&gt;"",F167&lt;TODAY()),"Atrasada","No prazo")))</f>
        <v/>
      </c>
    </row>
    <row r="168" customFormat="false" ht="15" hidden="false" customHeight="false" outlineLevel="0" collapsed="false">
      <c r="A168" s="18"/>
      <c r="B168" s="18"/>
      <c r="C168" s="18"/>
      <c r="D168" s="18"/>
      <c r="E168" s="25"/>
      <c r="F168" s="25"/>
      <c r="G168" s="18"/>
      <c r="H168" s="26"/>
      <c r="I168" s="18"/>
      <c r="J168" s="18"/>
      <c r="K168" s="18"/>
      <c r="L168" s="27" t="str">
        <f aca="false">IF(C168="","",IF(G168="Concluída",1,N(H168)))</f>
        <v/>
      </c>
      <c r="M168" s="13" t="str">
        <f aca="true">IF(C168="","",IF(G168="Concluída","Concluída",IF(AND(F168&lt;&gt;"",F168&lt;TODAY()),"Atrasada","No prazo")))</f>
        <v/>
      </c>
    </row>
    <row r="169" customFormat="false" ht="15" hidden="false" customHeight="false" outlineLevel="0" collapsed="false">
      <c r="A169" s="18"/>
      <c r="B169" s="18"/>
      <c r="C169" s="18"/>
      <c r="D169" s="18"/>
      <c r="E169" s="25"/>
      <c r="F169" s="25"/>
      <c r="G169" s="18"/>
      <c r="H169" s="26"/>
      <c r="I169" s="18"/>
      <c r="J169" s="18"/>
      <c r="K169" s="18"/>
      <c r="L169" s="27" t="str">
        <f aca="false">IF(C169="","",IF(G169="Concluída",1,N(H169)))</f>
        <v/>
      </c>
      <c r="M169" s="13" t="str">
        <f aca="true">IF(C169="","",IF(G169="Concluída","Concluída",IF(AND(F169&lt;&gt;"",F169&lt;TODAY()),"Atrasada","No prazo")))</f>
        <v/>
      </c>
    </row>
    <row r="170" customFormat="false" ht="15" hidden="false" customHeight="false" outlineLevel="0" collapsed="false">
      <c r="A170" s="18"/>
      <c r="B170" s="18"/>
      <c r="C170" s="18"/>
      <c r="D170" s="18"/>
      <c r="E170" s="25"/>
      <c r="F170" s="25"/>
      <c r="G170" s="18"/>
      <c r="H170" s="26"/>
      <c r="I170" s="18"/>
      <c r="J170" s="18"/>
      <c r="K170" s="18"/>
      <c r="L170" s="27" t="str">
        <f aca="false">IF(C170="","",IF(G170="Concluída",1,N(H170)))</f>
        <v/>
      </c>
      <c r="M170" s="13" t="str">
        <f aca="true">IF(C170="","",IF(G170="Concluída","Concluída",IF(AND(F170&lt;&gt;"",F170&lt;TODAY()),"Atrasada","No prazo")))</f>
        <v/>
      </c>
    </row>
    <row r="171" customFormat="false" ht="15" hidden="false" customHeight="false" outlineLevel="0" collapsed="false">
      <c r="A171" s="18"/>
      <c r="B171" s="18"/>
      <c r="C171" s="18"/>
      <c r="D171" s="18"/>
      <c r="E171" s="25"/>
      <c r="F171" s="25"/>
      <c r="G171" s="18"/>
      <c r="H171" s="26"/>
      <c r="I171" s="18"/>
      <c r="J171" s="18"/>
      <c r="K171" s="18"/>
      <c r="L171" s="27" t="str">
        <f aca="false">IF(C171="","",IF(G171="Concluída",1,N(H171)))</f>
        <v/>
      </c>
      <c r="M171" s="13" t="str">
        <f aca="true">IF(C171="","",IF(G171="Concluída","Concluída",IF(AND(F171&lt;&gt;"",F171&lt;TODAY()),"Atrasada","No prazo")))</f>
        <v/>
      </c>
    </row>
    <row r="172" customFormat="false" ht="15" hidden="false" customHeight="false" outlineLevel="0" collapsed="false">
      <c r="A172" s="18"/>
      <c r="B172" s="18"/>
      <c r="C172" s="18"/>
      <c r="D172" s="18"/>
      <c r="E172" s="25"/>
      <c r="F172" s="25"/>
      <c r="G172" s="18"/>
      <c r="H172" s="26"/>
      <c r="I172" s="18"/>
      <c r="J172" s="18"/>
      <c r="K172" s="18"/>
      <c r="L172" s="27" t="str">
        <f aca="false">IF(C172="","",IF(G172="Concluída",1,N(H172)))</f>
        <v/>
      </c>
      <c r="M172" s="13" t="str">
        <f aca="true">IF(C172="","",IF(G172="Concluída","Concluída",IF(AND(F172&lt;&gt;"",F172&lt;TODAY()),"Atrasada","No prazo")))</f>
        <v/>
      </c>
    </row>
    <row r="173" customFormat="false" ht="15" hidden="false" customHeight="false" outlineLevel="0" collapsed="false">
      <c r="A173" s="18"/>
      <c r="B173" s="18"/>
      <c r="C173" s="18"/>
      <c r="D173" s="18"/>
      <c r="E173" s="25"/>
      <c r="F173" s="25"/>
      <c r="G173" s="18"/>
      <c r="H173" s="26"/>
      <c r="I173" s="18"/>
      <c r="J173" s="18"/>
      <c r="K173" s="18"/>
      <c r="L173" s="27" t="str">
        <f aca="false">IF(C173="","",IF(G173="Concluída",1,N(H173)))</f>
        <v/>
      </c>
      <c r="M173" s="13" t="str">
        <f aca="true">IF(C173="","",IF(G173="Concluída","Concluída",IF(AND(F173&lt;&gt;"",F173&lt;TODAY()),"Atrasada","No prazo")))</f>
        <v/>
      </c>
    </row>
    <row r="174" customFormat="false" ht="15" hidden="false" customHeight="false" outlineLevel="0" collapsed="false">
      <c r="A174" s="18"/>
      <c r="B174" s="18"/>
      <c r="C174" s="18"/>
      <c r="D174" s="18"/>
      <c r="E174" s="25"/>
      <c r="F174" s="25"/>
      <c r="G174" s="18"/>
      <c r="H174" s="26"/>
      <c r="I174" s="18"/>
      <c r="J174" s="18"/>
      <c r="K174" s="18"/>
      <c r="L174" s="27" t="str">
        <f aca="false">IF(C174="","",IF(G174="Concluída",1,N(H174)))</f>
        <v/>
      </c>
      <c r="M174" s="13" t="str">
        <f aca="true">IF(C174="","",IF(G174="Concluída","Concluída",IF(AND(F174&lt;&gt;"",F174&lt;TODAY()),"Atrasada","No prazo")))</f>
        <v/>
      </c>
    </row>
    <row r="175" customFormat="false" ht="15" hidden="false" customHeight="false" outlineLevel="0" collapsed="false">
      <c r="A175" s="18"/>
      <c r="B175" s="18"/>
      <c r="C175" s="18"/>
      <c r="D175" s="18"/>
      <c r="E175" s="25"/>
      <c r="F175" s="25"/>
      <c r="G175" s="18"/>
      <c r="H175" s="26"/>
      <c r="I175" s="18"/>
      <c r="J175" s="18"/>
      <c r="K175" s="18"/>
      <c r="L175" s="27" t="str">
        <f aca="false">IF(C175="","",IF(G175="Concluída",1,N(H175)))</f>
        <v/>
      </c>
      <c r="M175" s="13" t="str">
        <f aca="true">IF(C175="","",IF(G175="Concluída","Concluída",IF(AND(F175&lt;&gt;"",F175&lt;TODAY()),"Atrasada","No prazo")))</f>
        <v/>
      </c>
    </row>
    <row r="176" customFormat="false" ht="15" hidden="false" customHeight="false" outlineLevel="0" collapsed="false">
      <c r="A176" s="18"/>
      <c r="B176" s="18"/>
      <c r="C176" s="18"/>
      <c r="D176" s="18"/>
      <c r="E176" s="25"/>
      <c r="F176" s="25"/>
      <c r="G176" s="18"/>
      <c r="H176" s="26"/>
      <c r="I176" s="18"/>
      <c r="J176" s="18"/>
      <c r="K176" s="18"/>
      <c r="L176" s="27" t="str">
        <f aca="false">IF(C176="","",IF(G176="Concluída",1,N(H176)))</f>
        <v/>
      </c>
      <c r="M176" s="13" t="str">
        <f aca="true">IF(C176="","",IF(G176="Concluída","Concluída",IF(AND(F176&lt;&gt;"",F176&lt;TODAY()),"Atrasada","No prazo")))</f>
        <v/>
      </c>
    </row>
    <row r="177" customFormat="false" ht="15" hidden="false" customHeight="false" outlineLevel="0" collapsed="false">
      <c r="A177" s="18"/>
      <c r="B177" s="18"/>
      <c r="C177" s="18"/>
      <c r="D177" s="18"/>
      <c r="E177" s="25"/>
      <c r="F177" s="25"/>
      <c r="G177" s="18"/>
      <c r="H177" s="26"/>
      <c r="I177" s="18"/>
      <c r="J177" s="18"/>
      <c r="K177" s="18"/>
      <c r="L177" s="27" t="str">
        <f aca="false">IF(C177="","",IF(G177="Concluída",1,N(H177)))</f>
        <v/>
      </c>
      <c r="M177" s="13" t="str">
        <f aca="true">IF(C177="","",IF(G177="Concluída","Concluída",IF(AND(F177&lt;&gt;"",F177&lt;TODAY()),"Atrasada","No prazo")))</f>
        <v/>
      </c>
    </row>
    <row r="178" customFormat="false" ht="15" hidden="false" customHeight="false" outlineLevel="0" collapsed="false">
      <c r="A178" s="18"/>
      <c r="B178" s="18"/>
      <c r="C178" s="18"/>
      <c r="D178" s="18"/>
      <c r="E178" s="25"/>
      <c r="F178" s="25"/>
      <c r="G178" s="18"/>
      <c r="H178" s="26"/>
      <c r="I178" s="18"/>
      <c r="J178" s="18"/>
      <c r="K178" s="18"/>
      <c r="L178" s="27" t="str">
        <f aca="false">IF(C178="","",IF(G178="Concluída",1,N(H178)))</f>
        <v/>
      </c>
      <c r="M178" s="13" t="str">
        <f aca="true">IF(C178="","",IF(G178="Concluída","Concluída",IF(AND(F178&lt;&gt;"",F178&lt;TODAY()),"Atrasada","No prazo")))</f>
        <v/>
      </c>
    </row>
    <row r="179" customFormat="false" ht="15" hidden="false" customHeight="false" outlineLevel="0" collapsed="false">
      <c r="A179" s="18"/>
      <c r="B179" s="18"/>
      <c r="C179" s="18"/>
      <c r="D179" s="18"/>
      <c r="E179" s="25"/>
      <c r="F179" s="25"/>
      <c r="G179" s="18"/>
      <c r="H179" s="26"/>
      <c r="I179" s="18"/>
      <c r="J179" s="18"/>
      <c r="K179" s="18"/>
      <c r="L179" s="27" t="str">
        <f aca="false">IF(C179="","",IF(G179="Concluída",1,N(H179)))</f>
        <v/>
      </c>
      <c r="M179" s="13" t="str">
        <f aca="true">IF(C179="","",IF(G179="Concluída","Concluída",IF(AND(F179&lt;&gt;"",F179&lt;TODAY()),"Atrasada","No prazo")))</f>
        <v/>
      </c>
    </row>
    <row r="180" customFormat="false" ht="15" hidden="false" customHeight="false" outlineLevel="0" collapsed="false">
      <c r="A180" s="18"/>
      <c r="B180" s="18"/>
      <c r="C180" s="18"/>
      <c r="D180" s="18"/>
      <c r="E180" s="25"/>
      <c r="F180" s="25"/>
      <c r="G180" s="18"/>
      <c r="H180" s="26"/>
      <c r="I180" s="18"/>
      <c r="J180" s="18"/>
      <c r="K180" s="18"/>
      <c r="L180" s="27" t="str">
        <f aca="false">IF(C180="","",IF(G180="Concluída",1,N(H180)))</f>
        <v/>
      </c>
      <c r="M180" s="13" t="str">
        <f aca="true">IF(C180="","",IF(G180="Concluída","Concluída",IF(AND(F180&lt;&gt;"",F180&lt;TODAY()),"Atrasada","No prazo")))</f>
        <v/>
      </c>
    </row>
    <row r="181" customFormat="false" ht="15" hidden="false" customHeight="false" outlineLevel="0" collapsed="false">
      <c r="A181" s="18"/>
      <c r="B181" s="18"/>
      <c r="C181" s="18"/>
      <c r="D181" s="18"/>
      <c r="E181" s="25"/>
      <c r="F181" s="25"/>
      <c r="G181" s="18"/>
      <c r="H181" s="26"/>
      <c r="I181" s="18"/>
      <c r="J181" s="18"/>
      <c r="K181" s="18"/>
      <c r="L181" s="27" t="str">
        <f aca="false">IF(C181="","",IF(G181="Concluída",1,N(H181)))</f>
        <v/>
      </c>
      <c r="M181" s="13" t="str">
        <f aca="true">IF(C181="","",IF(G181="Concluída","Concluída",IF(AND(F181&lt;&gt;"",F181&lt;TODAY()),"Atrasada","No prazo")))</f>
        <v/>
      </c>
    </row>
    <row r="182" customFormat="false" ht="15" hidden="false" customHeight="false" outlineLevel="0" collapsed="false">
      <c r="A182" s="18"/>
      <c r="B182" s="18"/>
      <c r="C182" s="18"/>
      <c r="D182" s="18"/>
      <c r="E182" s="25"/>
      <c r="F182" s="25"/>
      <c r="G182" s="18"/>
      <c r="H182" s="26"/>
      <c r="I182" s="18"/>
      <c r="J182" s="18"/>
      <c r="K182" s="18"/>
      <c r="L182" s="27" t="str">
        <f aca="false">IF(C182="","",IF(G182="Concluída",1,N(H182)))</f>
        <v/>
      </c>
      <c r="M182" s="13" t="str">
        <f aca="true">IF(C182="","",IF(G182="Concluída","Concluída",IF(AND(F182&lt;&gt;"",F182&lt;TODAY()),"Atrasada","No prazo")))</f>
        <v/>
      </c>
    </row>
    <row r="183" customFormat="false" ht="15" hidden="false" customHeight="false" outlineLevel="0" collapsed="false">
      <c r="A183" s="18"/>
      <c r="B183" s="18"/>
      <c r="C183" s="18"/>
      <c r="D183" s="18"/>
      <c r="E183" s="25"/>
      <c r="F183" s="25"/>
      <c r="G183" s="18"/>
      <c r="H183" s="26"/>
      <c r="I183" s="18"/>
      <c r="J183" s="18"/>
      <c r="K183" s="18"/>
      <c r="L183" s="27" t="str">
        <f aca="false">IF(C183="","",IF(G183="Concluída",1,N(H183)))</f>
        <v/>
      </c>
      <c r="M183" s="13" t="str">
        <f aca="true">IF(C183="","",IF(G183="Concluída","Concluída",IF(AND(F183&lt;&gt;"",F183&lt;TODAY()),"Atrasada","No prazo")))</f>
        <v/>
      </c>
    </row>
    <row r="184" customFormat="false" ht="15" hidden="false" customHeight="false" outlineLevel="0" collapsed="false">
      <c r="A184" s="18"/>
      <c r="B184" s="18"/>
      <c r="C184" s="18"/>
      <c r="D184" s="18"/>
      <c r="E184" s="25"/>
      <c r="F184" s="25"/>
      <c r="G184" s="18"/>
      <c r="H184" s="26"/>
      <c r="I184" s="18"/>
      <c r="J184" s="18"/>
      <c r="K184" s="18"/>
      <c r="L184" s="27" t="str">
        <f aca="false">IF(C184="","",IF(G184="Concluída",1,N(H184)))</f>
        <v/>
      </c>
      <c r="M184" s="13" t="str">
        <f aca="true">IF(C184="","",IF(G184="Concluída","Concluída",IF(AND(F184&lt;&gt;"",F184&lt;TODAY()),"Atrasada","No prazo")))</f>
        <v/>
      </c>
    </row>
    <row r="185" customFormat="false" ht="15" hidden="false" customHeight="false" outlineLevel="0" collapsed="false">
      <c r="A185" s="18"/>
      <c r="B185" s="18"/>
      <c r="C185" s="18"/>
      <c r="D185" s="18"/>
      <c r="E185" s="25"/>
      <c r="F185" s="25"/>
      <c r="G185" s="18"/>
      <c r="H185" s="26"/>
      <c r="I185" s="18"/>
      <c r="J185" s="18"/>
      <c r="K185" s="18"/>
      <c r="L185" s="27" t="str">
        <f aca="false">IF(C185="","",IF(G185="Concluída",1,N(H185)))</f>
        <v/>
      </c>
      <c r="M185" s="13" t="str">
        <f aca="true">IF(C185="","",IF(G185="Concluída","Concluída",IF(AND(F185&lt;&gt;"",F185&lt;TODAY()),"Atrasada","No prazo")))</f>
        <v/>
      </c>
    </row>
    <row r="186" customFormat="false" ht="15" hidden="false" customHeight="false" outlineLevel="0" collapsed="false">
      <c r="A186" s="18"/>
      <c r="B186" s="18"/>
      <c r="C186" s="18"/>
      <c r="D186" s="18"/>
      <c r="E186" s="25"/>
      <c r="F186" s="25"/>
      <c r="G186" s="18"/>
      <c r="H186" s="26"/>
      <c r="I186" s="18"/>
      <c r="J186" s="18"/>
      <c r="K186" s="18"/>
      <c r="L186" s="27" t="str">
        <f aca="false">IF(C186="","",IF(G186="Concluída",1,N(H186)))</f>
        <v/>
      </c>
      <c r="M186" s="13" t="str">
        <f aca="true">IF(C186="","",IF(G186="Concluída","Concluída",IF(AND(F186&lt;&gt;"",F186&lt;TODAY()),"Atrasada","No prazo")))</f>
        <v/>
      </c>
    </row>
    <row r="187" customFormat="false" ht="15" hidden="false" customHeight="false" outlineLevel="0" collapsed="false">
      <c r="A187" s="18"/>
      <c r="B187" s="18"/>
      <c r="C187" s="18"/>
      <c r="D187" s="18"/>
      <c r="E187" s="25"/>
      <c r="F187" s="25"/>
      <c r="G187" s="18"/>
      <c r="H187" s="26"/>
      <c r="I187" s="18"/>
      <c r="J187" s="18"/>
      <c r="K187" s="18"/>
      <c r="L187" s="27" t="str">
        <f aca="false">IF(C187="","",IF(G187="Concluída",1,N(H187)))</f>
        <v/>
      </c>
      <c r="M187" s="13" t="str">
        <f aca="true">IF(C187="","",IF(G187="Concluída","Concluída",IF(AND(F187&lt;&gt;"",F187&lt;TODAY()),"Atrasada","No prazo")))</f>
        <v/>
      </c>
    </row>
    <row r="188" customFormat="false" ht="15" hidden="false" customHeight="false" outlineLevel="0" collapsed="false">
      <c r="A188" s="18"/>
      <c r="B188" s="18"/>
      <c r="C188" s="18"/>
      <c r="D188" s="18"/>
      <c r="E188" s="25"/>
      <c r="F188" s="25"/>
      <c r="G188" s="18"/>
      <c r="H188" s="26"/>
      <c r="I188" s="18"/>
      <c r="J188" s="18"/>
      <c r="K188" s="18"/>
      <c r="L188" s="27" t="str">
        <f aca="false">IF(C188="","",IF(G188="Concluída",1,N(H188)))</f>
        <v/>
      </c>
      <c r="M188" s="13" t="str">
        <f aca="true">IF(C188="","",IF(G188="Concluída","Concluída",IF(AND(F188&lt;&gt;"",F188&lt;TODAY()),"Atrasada","No prazo")))</f>
        <v/>
      </c>
    </row>
    <row r="189" customFormat="false" ht="15" hidden="false" customHeight="false" outlineLevel="0" collapsed="false">
      <c r="A189" s="18"/>
      <c r="B189" s="18"/>
      <c r="C189" s="18"/>
      <c r="D189" s="18"/>
      <c r="E189" s="25"/>
      <c r="F189" s="25"/>
      <c r="G189" s="18"/>
      <c r="H189" s="26"/>
      <c r="I189" s="18"/>
      <c r="J189" s="18"/>
      <c r="K189" s="18"/>
      <c r="L189" s="27" t="str">
        <f aca="false">IF(C189="","",IF(G189="Concluída",1,N(H189)))</f>
        <v/>
      </c>
      <c r="M189" s="13" t="str">
        <f aca="true">IF(C189="","",IF(G189="Concluída","Concluída",IF(AND(F189&lt;&gt;"",F189&lt;TODAY()),"Atrasada","No prazo")))</f>
        <v/>
      </c>
    </row>
    <row r="190" customFormat="false" ht="15" hidden="false" customHeight="false" outlineLevel="0" collapsed="false">
      <c r="A190" s="18"/>
      <c r="B190" s="18"/>
      <c r="C190" s="18"/>
      <c r="D190" s="18"/>
      <c r="E190" s="25"/>
      <c r="F190" s="25"/>
      <c r="G190" s="18"/>
      <c r="H190" s="26"/>
      <c r="I190" s="18"/>
      <c r="J190" s="18"/>
      <c r="K190" s="18"/>
      <c r="L190" s="27" t="str">
        <f aca="false">IF(C190="","",IF(G190="Concluída",1,N(H190)))</f>
        <v/>
      </c>
      <c r="M190" s="13" t="str">
        <f aca="true">IF(C190="","",IF(G190="Concluída","Concluída",IF(AND(F190&lt;&gt;"",F190&lt;TODAY()),"Atrasada","No prazo")))</f>
        <v/>
      </c>
    </row>
    <row r="191" customFormat="false" ht="15" hidden="false" customHeight="false" outlineLevel="0" collapsed="false">
      <c r="A191" s="18"/>
      <c r="B191" s="18"/>
      <c r="C191" s="18"/>
      <c r="D191" s="18"/>
      <c r="E191" s="25"/>
      <c r="F191" s="25"/>
      <c r="G191" s="18"/>
      <c r="H191" s="26"/>
      <c r="I191" s="18"/>
      <c r="J191" s="18"/>
      <c r="K191" s="18"/>
      <c r="L191" s="27" t="str">
        <f aca="false">IF(C191="","",IF(G191="Concluída",1,N(H191)))</f>
        <v/>
      </c>
      <c r="M191" s="13" t="str">
        <f aca="true">IF(C191="","",IF(G191="Concluída","Concluída",IF(AND(F191&lt;&gt;"",F191&lt;TODAY()),"Atrasada","No prazo")))</f>
        <v/>
      </c>
    </row>
    <row r="192" customFormat="false" ht="15" hidden="false" customHeight="false" outlineLevel="0" collapsed="false">
      <c r="A192" s="18"/>
      <c r="B192" s="18"/>
      <c r="C192" s="18"/>
      <c r="D192" s="18"/>
      <c r="E192" s="25"/>
      <c r="F192" s="25"/>
      <c r="G192" s="18"/>
      <c r="H192" s="26"/>
      <c r="I192" s="18"/>
      <c r="J192" s="18"/>
      <c r="K192" s="18"/>
      <c r="L192" s="27" t="str">
        <f aca="false">IF(C192="","",IF(G192="Concluída",1,N(H192)))</f>
        <v/>
      </c>
      <c r="M192" s="13" t="str">
        <f aca="true">IF(C192="","",IF(G192="Concluída","Concluída",IF(AND(F192&lt;&gt;"",F192&lt;TODAY()),"Atrasada","No prazo")))</f>
        <v/>
      </c>
    </row>
    <row r="193" customFormat="false" ht="15" hidden="false" customHeight="false" outlineLevel="0" collapsed="false">
      <c r="A193" s="18"/>
      <c r="B193" s="18"/>
      <c r="C193" s="18"/>
      <c r="D193" s="18"/>
      <c r="E193" s="25"/>
      <c r="F193" s="25"/>
      <c r="G193" s="18"/>
      <c r="H193" s="26"/>
      <c r="I193" s="18"/>
      <c r="J193" s="18"/>
      <c r="K193" s="18"/>
      <c r="L193" s="27" t="str">
        <f aca="false">IF(C193="","",IF(G193="Concluída",1,N(H193)))</f>
        <v/>
      </c>
      <c r="M193" s="13" t="str">
        <f aca="true">IF(C193="","",IF(G193="Concluída","Concluída",IF(AND(F193&lt;&gt;"",F193&lt;TODAY()),"Atrasada","No prazo")))</f>
        <v/>
      </c>
    </row>
    <row r="194" customFormat="false" ht="15" hidden="false" customHeight="false" outlineLevel="0" collapsed="false">
      <c r="A194" s="18"/>
      <c r="B194" s="18"/>
      <c r="C194" s="18"/>
      <c r="D194" s="18"/>
      <c r="E194" s="25"/>
      <c r="F194" s="25"/>
      <c r="G194" s="18"/>
      <c r="H194" s="26"/>
      <c r="I194" s="18"/>
      <c r="J194" s="18"/>
      <c r="K194" s="18"/>
      <c r="L194" s="27" t="str">
        <f aca="false">IF(C194="","",IF(G194="Concluída",1,N(H194)))</f>
        <v/>
      </c>
      <c r="M194" s="13" t="str">
        <f aca="true">IF(C194="","",IF(G194="Concluída","Concluída",IF(AND(F194&lt;&gt;"",F194&lt;TODAY()),"Atrasada","No prazo")))</f>
        <v/>
      </c>
    </row>
    <row r="195" customFormat="false" ht="15" hidden="false" customHeight="false" outlineLevel="0" collapsed="false">
      <c r="A195" s="18"/>
      <c r="B195" s="18"/>
      <c r="C195" s="18"/>
      <c r="D195" s="18"/>
      <c r="E195" s="25"/>
      <c r="F195" s="25"/>
      <c r="G195" s="18"/>
      <c r="H195" s="26"/>
      <c r="I195" s="18"/>
      <c r="J195" s="18"/>
      <c r="K195" s="18"/>
      <c r="L195" s="27" t="str">
        <f aca="false">IF(C195="","",IF(G195="Concluída",1,N(H195)))</f>
        <v/>
      </c>
      <c r="M195" s="13" t="str">
        <f aca="true">IF(C195="","",IF(G195="Concluída","Concluída",IF(AND(F195&lt;&gt;"",F195&lt;TODAY()),"Atrasada","No prazo")))</f>
        <v/>
      </c>
    </row>
    <row r="196" customFormat="false" ht="15" hidden="false" customHeight="false" outlineLevel="0" collapsed="false">
      <c r="A196" s="18"/>
      <c r="B196" s="18"/>
      <c r="C196" s="18"/>
      <c r="D196" s="18"/>
      <c r="E196" s="25"/>
      <c r="F196" s="25"/>
      <c r="G196" s="18"/>
      <c r="H196" s="26"/>
      <c r="I196" s="18"/>
      <c r="J196" s="18"/>
      <c r="K196" s="18"/>
      <c r="L196" s="27" t="str">
        <f aca="false">IF(C196="","",IF(G196="Concluída",1,N(H196)))</f>
        <v/>
      </c>
      <c r="M196" s="13" t="str">
        <f aca="true">IF(C196="","",IF(G196="Concluída","Concluída",IF(AND(F196&lt;&gt;"",F196&lt;TODAY()),"Atrasada","No prazo")))</f>
        <v/>
      </c>
    </row>
    <row r="197" customFormat="false" ht="15" hidden="false" customHeight="false" outlineLevel="0" collapsed="false">
      <c r="A197" s="18"/>
      <c r="B197" s="18"/>
      <c r="C197" s="18"/>
      <c r="D197" s="18"/>
      <c r="E197" s="25"/>
      <c r="F197" s="25"/>
      <c r="G197" s="18"/>
      <c r="H197" s="26"/>
      <c r="I197" s="18"/>
      <c r="J197" s="18"/>
      <c r="K197" s="18"/>
      <c r="L197" s="27" t="str">
        <f aca="false">IF(C197="","",IF(G197="Concluída",1,N(H197)))</f>
        <v/>
      </c>
      <c r="M197" s="13" t="str">
        <f aca="true">IF(C197="","",IF(G197="Concluída","Concluída",IF(AND(F197&lt;&gt;"",F197&lt;TODAY()),"Atrasada","No prazo")))</f>
        <v/>
      </c>
    </row>
    <row r="198" customFormat="false" ht="15" hidden="false" customHeight="false" outlineLevel="0" collapsed="false">
      <c r="A198" s="18"/>
      <c r="B198" s="18"/>
      <c r="C198" s="18"/>
      <c r="D198" s="18"/>
      <c r="E198" s="25"/>
      <c r="F198" s="25"/>
      <c r="G198" s="18"/>
      <c r="H198" s="26"/>
      <c r="I198" s="18"/>
      <c r="J198" s="18"/>
      <c r="K198" s="18"/>
      <c r="L198" s="27" t="str">
        <f aca="false">IF(C198="","",IF(G198="Concluída",1,N(H198)))</f>
        <v/>
      </c>
      <c r="M198" s="13" t="str">
        <f aca="true">IF(C198="","",IF(G198="Concluída","Concluída",IF(AND(F198&lt;&gt;"",F198&lt;TODAY()),"Atrasada","No prazo")))</f>
        <v/>
      </c>
    </row>
    <row r="199" customFormat="false" ht="15" hidden="false" customHeight="false" outlineLevel="0" collapsed="false">
      <c r="A199" s="18"/>
      <c r="B199" s="18"/>
      <c r="C199" s="18"/>
      <c r="D199" s="18"/>
      <c r="E199" s="25"/>
      <c r="F199" s="25"/>
      <c r="G199" s="18"/>
      <c r="H199" s="26"/>
      <c r="I199" s="18"/>
      <c r="J199" s="18"/>
      <c r="K199" s="18"/>
      <c r="L199" s="27" t="str">
        <f aca="false">IF(C199="","",IF(G199="Concluída",1,N(H199)))</f>
        <v/>
      </c>
      <c r="M199" s="13" t="str">
        <f aca="true">IF(C199="","",IF(G199="Concluída","Concluída",IF(AND(F199&lt;&gt;"",F199&lt;TODAY()),"Atrasada","No prazo")))</f>
        <v/>
      </c>
    </row>
    <row r="200" customFormat="false" ht="15" hidden="false" customHeight="false" outlineLevel="0" collapsed="false">
      <c r="A200" s="18"/>
      <c r="B200" s="18"/>
      <c r="C200" s="18"/>
      <c r="D200" s="18"/>
      <c r="E200" s="25"/>
      <c r="F200" s="25"/>
      <c r="G200" s="18"/>
      <c r="H200" s="26"/>
      <c r="I200" s="18"/>
      <c r="J200" s="18"/>
      <c r="K200" s="18"/>
      <c r="L200" s="27" t="str">
        <f aca="false">IF(C200="","",IF(G200="Concluída",1,N(H200)))</f>
        <v/>
      </c>
      <c r="M200" s="13" t="str">
        <f aca="true">IF(C200="","",IF(G200="Concluída","Concluída",IF(AND(F200&lt;&gt;"",F200&lt;TODAY()),"Atrasada","No prazo")))</f>
        <v/>
      </c>
    </row>
    <row r="201" customFormat="false" ht="15" hidden="false" customHeight="false" outlineLevel="0" collapsed="false">
      <c r="A201" s="18"/>
      <c r="B201" s="18"/>
      <c r="C201" s="18"/>
      <c r="D201" s="18"/>
      <c r="E201" s="25"/>
      <c r="F201" s="25"/>
      <c r="G201" s="18"/>
      <c r="H201" s="26"/>
      <c r="I201" s="18"/>
      <c r="J201" s="18"/>
      <c r="K201" s="18"/>
      <c r="L201" s="27" t="str">
        <f aca="false">IF(C201="","",IF(G201="Concluída",1,N(H201)))</f>
        <v/>
      </c>
      <c r="M201" s="13" t="str">
        <f aca="true">IF(C201="","",IF(G201="Concluída","Concluída",IF(AND(F201&lt;&gt;"",F201&lt;TODAY()),"Atrasada","No prazo")))</f>
        <v/>
      </c>
    </row>
    <row r="202" customFormat="false" ht="15" hidden="false" customHeight="false" outlineLevel="0" collapsed="false">
      <c r="A202" s="18"/>
      <c r="B202" s="18"/>
      <c r="C202" s="18"/>
      <c r="D202" s="18"/>
      <c r="E202" s="25"/>
      <c r="F202" s="25"/>
      <c r="G202" s="18"/>
      <c r="H202" s="26"/>
      <c r="I202" s="18"/>
      <c r="J202" s="18"/>
      <c r="K202" s="18"/>
      <c r="L202" s="27" t="str">
        <f aca="false">IF(C202="","",IF(G202="Concluída",1,N(H202)))</f>
        <v/>
      </c>
      <c r="M202" s="13" t="str">
        <f aca="true">IF(C202="","",IF(G202="Concluída","Concluída",IF(AND(F202&lt;&gt;"",F202&lt;TODAY()),"Atrasada","No prazo")))</f>
        <v/>
      </c>
    </row>
    <row r="203" customFormat="false" ht="15" hidden="false" customHeight="false" outlineLevel="0" collapsed="false">
      <c r="A203" s="18"/>
      <c r="B203" s="18"/>
      <c r="C203" s="18"/>
      <c r="D203" s="18"/>
      <c r="E203" s="25"/>
      <c r="F203" s="25"/>
      <c r="G203" s="18"/>
      <c r="H203" s="26"/>
      <c r="I203" s="18"/>
      <c r="J203" s="18"/>
      <c r="K203" s="18"/>
      <c r="L203" s="27" t="str">
        <f aca="false">IF(C203="","",IF(G203="Concluída",1,N(H203)))</f>
        <v/>
      </c>
      <c r="M203" s="13" t="str">
        <f aca="true">IF(C203="","",IF(G203="Concluída","Concluída",IF(AND(F203&lt;&gt;"",F203&lt;TODAY()),"Atrasada","No prazo")))</f>
        <v/>
      </c>
    </row>
    <row r="204" customFormat="false" ht="15" hidden="false" customHeight="false" outlineLevel="0" collapsed="false">
      <c r="A204" s="18"/>
      <c r="B204" s="18"/>
      <c r="C204" s="18"/>
      <c r="D204" s="18"/>
      <c r="E204" s="25"/>
      <c r="F204" s="25"/>
      <c r="G204" s="18"/>
      <c r="H204" s="26"/>
      <c r="I204" s="18"/>
      <c r="J204" s="18"/>
      <c r="K204" s="18"/>
      <c r="L204" s="27" t="str">
        <f aca="false">IF(C204="","",IF(G204="Concluída",1,N(H204)))</f>
        <v/>
      </c>
      <c r="M204" s="13" t="str">
        <f aca="true">IF(C204="","",IF(G204="Concluída","Concluída",IF(AND(F204&lt;&gt;"",F204&lt;TODAY()),"Atrasada","No prazo")))</f>
        <v/>
      </c>
    </row>
    <row r="205" customFormat="false" ht="15" hidden="false" customHeight="false" outlineLevel="0" collapsed="false">
      <c r="A205" s="18"/>
      <c r="B205" s="18"/>
      <c r="C205" s="18"/>
      <c r="D205" s="18"/>
      <c r="E205" s="25"/>
      <c r="F205" s="25"/>
      <c r="G205" s="18"/>
      <c r="H205" s="26"/>
      <c r="I205" s="18"/>
      <c r="J205" s="18"/>
      <c r="K205" s="18"/>
      <c r="L205" s="27" t="str">
        <f aca="false">IF(C205="","",IF(G205="Concluída",1,N(H205)))</f>
        <v/>
      </c>
      <c r="M205" s="13" t="str">
        <f aca="true">IF(C205="","",IF(G205="Concluída","Concluída",IF(AND(F205&lt;&gt;"",F205&lt;TODAY()),"Atrasada","No prazo")))</f>
        <v/>
      </c>
    </row>
    <row r="206" customFormat="false" ht="15" hidden="false" customHeight="false" outlineLevel="0" collapsed="false">
      <c r="A206" s="18"/>
      <c r="B206" s="18"/>
      <c r="C206" s="18"/>
      <c r="D206" s="18"/>
      <c r="E206" s="25"/>
      <c r="F206" s="25"/>
      <c r="G206" s="18"/>
      <c r="H206" s="26"/>
      <c r="I206" s="18"/>
      <c r="J206" s="18"/>
      <c r="K206" s="18"/>
      <c r="L206" s="27" t="str">
        <f aca="false">IF(C206="","",IF(G206="Concluída",1,N(H206)))</f>
        <v/>
      </c>
      <c r="M206" s="13" t="str">
        <f aca="true">IF(C206="","",IF(G206="Concluída","Concluída",IF(AND(F206&lt;&gt;"",F206&lt;TODAY()),"Atrasada","No prazo")))</f>
        <v/>
      </c>
    </row>
    <row r="207" customFormat="false" ht="15" hidden="false" customHeight="false" outlineLevel="0" collapsed="false">
      <c r="A207" s="18"/>
      <c r="B207" s="18"/>
      <c r="C207" s="18"/>
      <c r="D207" s="18"/>
      <c r="E207" s="25"/>
      <c r="F207" s="25"/>
      <c r="G207" s="18"/>
      <c r="H207" s="26"/>
      <c r="I207" s="18"/>
      <c r="J207" s="18"/>
      <c r="K207" s="18"/>
      <c r="L207" s="27" t="str">
        <f aca="false">IF(C207="","",IF(G207="Concluída",1,N(H207)))</f>
        <v/>
      </c>
      <c r="M207" s="13" t="str">
        <f aca="true">IF(C207="","",IF(G207="Concluída","Concluída",IF(AND(F207&lt;&gt;"",F207&lt;TODAY()),"Atrasada","No prazo")))</f>
        <v/>
      </c>
    </row>
    <row r="208" customFormat="false" ht="15" hidden="false" customHeight="false" outlineLevel="0" collapsed="false">
      <c r="A208" s="18"/>
      <c r="B208" s="18"/>
      <c r="C208" s="18"/>
      <c r="D208" s="18"/>
      <c r="E208" s="25"/>
      <c r="F208" s="25"/>
      <c r="G208" s="18"/>
      <c r="H208" s="26"/>
      <c r="I208" s="18"/>
      <c r="J208" s="18"/>
      <c r="K208" s="18"/>
      <c r="L208" s="27" t="str">
        <f aca="false">IF(C208="","",IF(G208="Concluída",1,N(H208)))</f>
        <v/>
      </c>
      <c r="M208" s="13" t="str">
        <f aca="true">IF(C208="","",IF(G208="Concluída","Concluída",IF(AND(F208&lt;&gt;"",F208&lt;TODAY()),"Atrasada","No prazo")))</f>
        <v/>
      </c>
    </row>
    <row r="209" customFormat="false" ht="15" hidden="false" customHeight="false" outlineLevel="0" collapsed="false">
      <c r="A209" s="18"/>
      <c r="B209" s="18"/>
      <c r="C209" s="18"/>
      <c r="D209" s="18"/>
      <c r="E209" s="25"/>
      <c r="F209" s="25"/>
      <c r="G209" s="18"/>
      <c r="H209" s="26"/>
      <c r="I209" s="18"/>
      <c r="J209" s="18"/>
      <c r="K209" s="18"/>
      <c r="L209" s="27" t="str">
        <f aca="false">IF(C209="","",IF(G209="Concluída",1,N(H209)))</f>
        <v/>
      </c>
      <c r="M209" s="13" t="str">
        <f aca="true">IF(C209="","",IF(G209="Concluída","Concluída",IF(AND(F209&lt;&gt;"",F209&lt;TODAY()),"Atrasada","No prazo")))</f>
        <v/>
      </c>
    </row>
    <row r="210" customFormat="false" ht="15" hidden="false" customHeight="false" outlineLevel="0" collapsed="false">
      <c r="A210" s="18"/>
      <c r="B210" s="18"/>
      <c r="C210" s="18"/>
      <c r="D210" s="18"/>
      <c r="E210" s="25"/>
      <c r="F210" s="25"/>
      <c r="G210" s="18"/>
      <c r="H210" s="26"/>
      <c r="I210" s="18"/>
      <c r="J210" s="18"/>
      <c r="K210" s="18"/>
      <c r="L210" s="27" t="str">
        <f aca="false">IF(C210="","",IF(G210="Concluída",1,N(H210)))</f>
        <v/>
      </c>
      <c r="M210" s="13" t="str">
        <f aca="true">IF(C210="","",IF(G210="Concluída","Concluída",IF(AND(F210&lt;&gt;"",F210&lt;TODAY()),"Atrasada","No prazo")))</f>
        <v/>
      </c>
    </row>
    <row r="211" customFormat="false" ht="15" hidden="false" customHeight="false" outlineLevel="0" collapsed="false">
      <c r="A211" s="18"/>
      <c r="B211" s="18"/>
      <c r="C211" s="18"/>
      <c r="D211" s="18"/>
      <c r="E211" s="25"/>
      <c r="F211" s="25"/>
      <c r="G211" s="18"/>
      <c r="H211" s="26"/>
      <c r="I211" s="18"/>
      <c r="J211" s="18"/>
      <c r="K211" s="18"/>
      <c r="L211" s="27" t="str">
        <f aca="false">IF(C211="","",IF(G211="Concluída",1,N(H211)))</f>
        <v/>
      </c>
      <c r="M211" s="13" t="str">
        <f aca="true">IF(C211="","",IF(G211="Concluída","Concluída",IF(AND(F211&lt;&gt;"",F211&lt;TODAY()),"Atrasada","No prazo")))</f>
        <v/>
      </c>
    </row>
    <row r="212" customFormat="false" ht="15" hidden="false" customHeight="false" outlineLevel="0" collapsed="false">
      <c r="A212" s="18"/>
      <c r="B212" s="18"/>
      <c r="C212" s="18"/>
      <c r="D212" s="18"/>
      <c r="E212" s="25"/>
      <c r="F212" s="25"/>
      <c r="G212" s="18"/>
      <c r="H212" s="26"/>
      <c r="I212" s="18"/>
      <c r="J212" s="18"/>
      <c r="K212" s="18"/>
      <c r="L212" s="27" t="str">
        <f aca="false">IF(C212="","",IF(G212="Concluída",1,N(H212)))</f>
        <v/>
      </c>
      <c r="M212" s="13" t="str">
        <f aca="true">IF(C212="","",IF(G212="Concluída","Concluída",IF(AND(F212&lt;&gt;"",F212&lt;TODAY()),"Atrasada","No prazo")))</f>
        <v/>
      </c>
    </row>
    <row r="213" customFormat="false" ht="15" hidden="false" customHeight="false" outlineLevel="0" collapsed="false">
      <c r="A213" s="18"/>
      <c r="B213" s="18"/>
      <c r="C213" s="18"/>
      <c r="D213" s="18"/>
      <c r="E213" s="25"/>
      <c r="F213" s="25"/>
      <c r="G213" s="18"/>
      <c r="H213" s="26"/>
      <c r="I213" s="18"/>
      <c r="J213" s="18"/>
      <c r="K213" s="18"/>
      <c r="L213" s="27" t="str">
        <f aca="false">IF(C213="","",IF(G213="Concluída",1,N(H213)))</f>
        <v/>
      </c>
      <c r="M213" s="13" t="str">
        <f aca="true">IF(C213="","",IF(G213="Concluída","Concluída",IF(AND(F213&lt;&gt;"",F213&lt;TODAY()),"Atrasada","No prazo")))</f>
        <v/>
      </c>
    </row>
    <row r="214" customFormat="false" ht="15" hidden="false" customHeight="false" outlineLevel="0" collapsed="false">
      <c r="A214" s="18"/>
      <c r="B214" s="18"/>
      <c r="C214" s="18"/>
      <c r="D214" s="18"/>
      <c r="E214" s="25"/>
      <c r="F214" s="25"/>
      <c r="G214" s="18"/>
      <c r="H214" s="26"/>
      <c r="I214" s="18"/>
      <c r="J214" s="18"/>
      <c r="K214" s="18"/>
      <c r="L214" s="27" t="str">
        <f aca="false">IF(C214="","",IF(G214="Concluída",1,N(H214)))</f>
        <v/>
      </c>
      <c r="M214" s="13" t="str">
        <f aca="true">IF(C214="","",IF(G214="Concluída","Concluída",IF(AND(F214&lt;&gt;"",F214&lt;TODAY()),"Atrasada","No prazo")))</f>
        <v/>
      </c>
    </row>
    <row r="215" customFormat="false" ht="15" hidden="false" customHeight="false" outlineLevel="0" collapsed="false">
      <c r="A215" s="18"/>
      <c r="B215" s="18"/>
      <c r="C215" s="18"/>
      <c r="D215" s="18"/>
      <c r="E215" s="25"/>
      <c r="F215" s="25"/>
      <c r="G215" s="18"/>
      <c r="H215" s="26"/>
      <c r="I215" s="18"/>
      <c r="J215" s="18"/>
      <c r="K215" s="18"/>
      <c r="L215" s="27" t="str">
        <f aca="false">IF(C215="","",IF(G215="Concluída",1,N(H215)))</f>
        <v/>
      </c>
      <c r="M215" s="13" t="str">
        <f aca="true">IF(C215="","",IF(G215="Concluída","Concluída",IF(AND(F215&lt;&gt;"",F215&lt;TODAY()),"Atrasada","No prazo")))</f>
        <v/>
      </c>
    </row>
    <row r="216" customFormat="false" ht="15" hidden="false" customHeight="false" outlineLevel="0" collapsed="false">
      <c r="A216" s="18"/>
      <c r="B216" s="18"/>
      <c r="C216" s="18"/>
      <c r="D216" s="18"/>
      <c r="E216" s="25"/>
      <c r="F216" s="25"/>
      <c r="G216" s="18"/>
      <c r="H216" s="26"/>
      <c r="I216" s="18"/>
      <c r="J216" s="18"/>
      <c r="K216" s="18"/>
      <c r="L216" s="27" t="str">
        <f aca="false">IF(C216="","",IF(G216="Concluída",1,N(H216)))</f>
        <v/>
      </c>
      <c r="M216" s="13" t="str">
        <f aca="true">IF(C216="","",IF(G216="Concluída","Concluída",IF(AND(F216&lt;&gt;"",F216&lt;TODAY()),"Atrasada","No prazo")))</f>
        <v/>
      </c>
    </row>
    <row r="217" customFormat="false" ht="15" hidden="false" customHeight="false" outlineLevel="0" collapsed="false">
      <c r="A217" s="18"/>
      <c r="B217" s="18"/>
      <c r="C217" s="18"/>
      <c r="D217" s="18"/>
      <c r="E217" s="25"/>
      <c r="F217" s="25"/>
      <c r="G217" s="18"/>
      <c r="H217" s="26"/>
      <c r="I217" s="18"/>
      <c r="J217" s="18"/>
      <c r="K217" s="18"/>
      <c r="L217" s="27" t="str">
        <f aca="false">IF(C217="","",IF(G217="Concluída",1,N(H217)))</f>
        <v/>
      </c>
      <c r="M217" s="13" t="str">
        <f aca="true">IF(C217="","",IF(G217="Concluída","Concluída",IF(AND(F217&lt;&gt;"",F217&lt;TODAY()),"Atrasada","No prazo")))</f>
        <v/>
      </c>
    </row>
    <row r="218" customFormat="false" ht="15" hidden="false" customHeight="false" outlineLevel="0" collapsed="false">
      <c r="A218" s="18"/>
      <c r="B218" s="18"/>
      <c r="C218" s="18"/>
      <c r="D218" s="18"/>
      <c r="E218" s="25"/>
      <c r="F218" s="25"/>
      <c r="G218" s="18"/>
      <c r="H218" s="26"/>
      <c r="I218" s="18"/>
      <c r="J218" s="18"/>
      <c r="K218" s="18"/>
      <c r="L218" s="27" t="str">
        <f aca="false">IF(C218="","",IF(G218="Concluída",1,N(H218)))</f>
        <v/>
      </c>
      <c r="M218" s="13" t="str">
        <f aca="true">IF(C218="","",IF(G218="Concluída","Concluída",IF(AND(F218&lt;&gt;"",F218&lt;TODAY()),"Atrasada","No prazo")))</f>
        <v/>
      </c>
    </row>
    <row r="219" customFormat="false" ht="15" hidden="false" customHeight="false" outlineLevel="0" collapsed="false">
      <c r="A219" s="18"/>
      <c r="B219" s="18"/>
      <c r="C219" s="18"/>
      <c r="D219" s="18"/>
      <c r="E219" s="25"/>
      <c r="F219" s="25"/>
      <c r="G219" s="18"/>
      <c r="H219" s="26"/>
      <c r="I219" s="18"/>
      <c r="J219" s="18"/>
      <c r="K219" s="18"/>
      <c r="L219" s="27" t="str">
        <f aca="false">IF(C219="","",IF(G219="Concluída",1,N(H219)))</f>
        <v/>
      </c>
      <c r="M219" s="13" t="str">
        <f aca="true">IF(C219="","",IF(G219="Concluída","Concluída",IF(AND(F219&lt;&gt;"",F219&lt;TODAY()),"Atrasada","No prazo")))</f>
        <v/>
      </c>
    </row>
    <row r="220" customFormat="false" ht="15" hidden="false" customHeight="false" outlineLevel="0" collapsed="false">
      <c r="A220" s="18"/>
      <c r="B220" s="18"/>
      <c r="C220" s="18"/>
      <c r="D220" s="18"/>
      <c r="E220" s="25"/>
      <c r="F220" s="25"/>
      <c r="G220" s="18"/>
      <c r="H220" s="26"/>
      <c r="I220" s="18"/>
      <c r="J220" s="18"/>
      <c r="K220" s="18"/>
      <c r="L220" s="27" t="str">
        <f aca="false">IF(C220="","",IF(G220="Concluída",1,N(H220)))</f>
        <v/>
      </c>
      <c r="M220" s="13" t="str">
        <f aca="true">IF(C220="","",IF(G220="Concluída","Concluída",IF(AND(F220&lt;&gt;"",F220&lt;TODAY()),"Atrasada","No prazo")))</f>
        <v/>
      </c>
    </row>
    <row r="221" customFormat="false" ht="15" hidden="false" customHeight="false" outlineLevel="0" collapsed="false">
      <c r="A221" s="18"/>
      <c r="B221" s="18"/>
      <c r="C221" s="18"/>
      <c r="D221" s="18"/>
      <c r="E221" s="25"/>
      <c r="F221" s="25"/>
      <c r="G221" s="18"/>
      <c r="H221" s="26"/>
      <c r="I221" s="18"/>
      <c r="J221" s="18"/>
      <c r="K221" s="18"/>
      <c r="L221" s="27" t="str">
        <f aca="false">IF(C221="","",IF(G221="Concluída",1,N(H221)))</f>
        <v/>
      </c>
      <c r="M221" s="13" t="str">
        <f aca="true">IF(C221="","",IF(G221="Concluída","Concluída",IF(AND(F221&lt;&gt;"",F221&lt;TODAY()),"Atrasada","No prazo")))</f>
        <v/>
      </c>
    </row>
    <row r="222" customFormat="false" ht="15" hidden="false" customHeight="false" outlineLevel="0" collapsed="false">
      <c r="A222" s="18"/>
      <c r="B222" s="18"/>
      <c r="C222" s="18"/>
      <c r="D222" s="18"/>
      <c r="E222" s="25"/>
      <c r="F222" s="25"/>
      <c r="G222" s="18"/>
      <c r="H222" s="26"/>
      <c r="I222" s="18"/>
      <c r="J222" s="18"/>
      <c r="K222" s="18"/>
      <c r="L222" s="27" t="str">
        <f aca="false">IF(C222="","",IF(G222="Concluída",1,N(H222)))</f>
        <v/>
      </c>
      <c r="M222" s="13" t="str">
        <f aca="true">IF(C222="","",IF(G222="Concluída","Concluída",IF(AND(F222&lt;&gt;"",F222&lt;TODAY()),"Atrasada","No prazo")))</f>
        <v/>
      </c>
    </row>
    <row r="223" customFormat="false" ht="15" hidden="false" customHeight="false" outlineLevel="0" collapsed="false">
      <c r="A223" s="18"/>
      <c r="B223" s="18"/>
      <c r="C223" s="18"/>
      <c r="D223" s="18"/>
      <c r="E223" s="25"/>
      <c r="F223" s="25"/>
      <c r="G223" s="18"/>
      <c r="H223" s="26"/>
      <c r="I223" s="18"/>
      <c r="J223" s="18"/>
      <c r="K223" s="18"/>
      <c r="L223" s="27" t="str">
        <f aca="false">IF(C223="","",IF(G223="Concluída",1,N(H223)))</f>
        <v/>
      </c>
      <c r="M223" s="13" t="str">
        <f aca="true">IF(C223="","",IF(G223="Concluída","Concluída",IF(AND(F223&lt;&gt;"",F223&lt;TODAY()),"Atrasada","No prazo")))</f>
        <v/>
      </c>
    </row>
    <row r="224" customFormat="false" ht="15" hidden="false" customHeight="false" outlineLevel="0" collapsed="false">
      <c r="A224" s="18"/>
      <c r="B224" s="18"/>
      <c r="C224" s="18"/>
      <c r="D224" s="18"/>
      <c r="E224" s="25"/>
      <c r="F224" s="25"/>
      <c r="G224" s="18"/>
      <c r="H224" s="26"/>
      <c r="I224" s="18"/>
      <c r="J224" s="18"/>
      <c r="K224" s="18"/>
      <c r="L224" s="27" t="str">
        <f aca="false">IF(C224="","",IF(G224="Concluída",1,N(H224)))</f>
        <v/>
      </c>
      <c r="M224" s="13" t="str">
        <f aca="true">IF(C224="","",IF(G224="Concluída","Concluída",IF(AND(F224&lt;&gt;"",F224&lt;TODAY()),"Atrasada","No prazo")))</f>
        <v/>
      </c>
    </row>
    <row r="225" customFormat="false" ht="15" hidden="false" customHeight="false" outlineLevel="0" collapsed="false">
      <c r="A225" s="18"/>
      <c r="B225" s="18"/>
      <c r="C225" s="18"/>
      <c r="D225" s="18"/>
      <c r="E225" s="25"/>
      <c r="F225" s="25"/>
      <c r="G225" s="18"/>
      <c r="H225" s="26"/>
      <c r="I225" s="18"/>
      <c r="J225" s="18"/>
      <c r="K225" s="18"/>
      <c r="L225" s="27" t="str">
        <f aca="false">IF(C225="","",IF(G225="Concluída",1,N(H225)))</f>
        <v/>
      </c>
      <c r="M225" s="13" t="str">
        <f aca="true">IF(C225="","",IF(G225="Concluída","Concluída",IF(AND(F225&lt;&gt;"",F225&lt;TODAY()),"Atrasada","No prazo")))</f>
        <v/>
      </c>
    </row>
    <row r="226" customFormat="false" ht="15" hidden="false" customHeight="false" outlineLevel="0" collapsed="false">
      <c r="A226" s="18"/>
      <c r="B226" s="18"/>
      <c r="C226" s="18"/>
      <c r="D226" s="18"/>
      <c r="E226" s="25"/>
      <c r="F226" s="25"/>
      <c r="G226" s="18"/>
      <c r="H226" s="26"/>
      <c r="I226" s="18"/>
      <c r="J226" s="18"/>
      <c r="K226" s="18"/>
      <c r="L226" s="27" t="str">
        <f aca="false">IF(C226="","",IF(G226="Concluída",1,N(H226)))</f>
        <v/>
      </c>
      <c r="M226" s="13" t="str">
        <f aca="true">IF(C226="","",IF(G226="Concluída","Concluída",IF(AND(F226&lt;&gt;"",F226&lt;TODAY()),"Atrasada","No prazo")))</f>
        <v/>
      </c>
    </row>
    <row r="227" customFormat="false" ht="15" hidden="false" customHeight="false" outlineLevel="0" collapsed="false">
      <c r="A227" s="18"/>
      <c r="B227" s="18"/>
      <c r="C227" s="18"/>
      <c r="D227" s="18"/>
      <c r="E227" s="25"/>
      <c r="F227" s="25"/>
      <c r="G227" s="18"/>
      <c r="H227" s="26"/>
      <c r="I227" s="18"/>
      <c r="J227" s="18"/>
      <c r="K227" s="18"/>
      <c r="L227" s="27" t="str">
        <f aca="false">IF(C227="","",IF(G227="Concluída",1,N(H227)))</f>
        <v/>
      </c>
      <c r="M227" s="13" t="str">
        <f aca="true">IF(C227="","",IF(G227="Concluída","Concluída",IF(AND(F227&lt;&gt;"",F227&lt;TODAY()),"Atrasada","No prazo")))</f>
        <v/>
      </c>
    </row>
    <row r="228" customFormat="false" ht="15" hidden="false" customHeight="false" outlineLevel="0" collapsed="false">
      <c r="A228" s="18"/>
      <c r="B228" s="18"/>
      <c r="C228" s="18"/>
      <c r="D228" s="18"/>
      <c r="E228" s="25"/>
      <c r="F228" s="25"/>
      <c r="G228" s="18"/>
      <c r="H228" s="26"/>
      <c r="I228" s="18"/>
      <c r="J228" s="18"/>
      <c r="K228" s="18"/>
      <c r="L228" s="27" t="str">
        <f aca="false">IF(C228="","",IF(G228="Concluída",1,N(H228)))</f>
        <v/>
      </c>
      <c r="M228" s="13" t="str">
        <f aca="true">IF(C228="","",IF(G228="Concluída","Concluída",IF(AND(F228&lt;&gt;"",F228&lt;TODAY()),"Atrasada","No prazo")))</f>
        <v/>
      </c>
    </row>
    <row r="229" customFormat="false" ht="15" hidden="false" customHeight="false" outlineLevel="0" collapsed="false">
      <c r="A229" s="18"/>
      <c r="B229" s="18"/>
      <c r="C229" s="18"/>
      <c r="D229" s="18"/>
      <c r="E229" s="25"/>
      <c r="F229" s="25"/>
      <c r="G229" s="18"/>
      <c r="H229" s="26"/>
      <c r="I229" s="18"/>
      <c r="J229" s="18"/>
      <c r="K229" s="18"/>
      <c r="L229" s="27" t="str">
        <f aca="false">IF(C229="","",IF(G229="Concluída",1,N(H229)))</f>
        <v/>
      </c>
      <c r="M229" s="13" t="str">
        <f aca="true">IF(C229="","",IF(G229="Concluída","Concluída",IF(AND(F229&lt;&gt;"",F229&lt;TODAY()),"Atrasada","No prazo")))</f>
        <v/>
      </c>
    </row>
    <row r="230" customFormat="false" ht="15" hidden="false" customHeight="false" outlineLevel="0" collapsed="false">
      <c r="A230" s="18"/>
      <c r="B230" s="18"/>
      <c r="C230" s="18"/>
      <c r="D230" s="18"/>
      <c r="E230" s="25"/>
      <c r="F230" s="25"/>
      <c r="G230" s="18"/>
      <c r="H230" s="26"/>
      <c r="I230" s="18"/>
      <c r="J230" s="18"/>
      <c r="K230" s="18"/>
      <c r="L230" s="27" t="str">
        <f aca="false">IF(C230="","",IF(G230="Concluída",1,N(H230)))</f>
        <v/>
      </c>
      <c r="M230" s="13" t="str">
        <f aca="true">IF(C230="","",IF(G230="Concluída","Concluída",IF(AND(F230&lt;&gt;"",F230&lt;TODAY()),"Atrasada","No prazo")))</f>
        <v/>
      </c>
    </row>
    <row r="231" customFormat="false" ht="15" hidden="false" customHeight="false" outlineLevel="0" collapsed="false">
      <c r="A231" s="18"/>
      <c r="B231" s="18"/>
      <c r="C231" s="18"/>
      <c r="D231" s="18"/>
      <c r="E231" s="25"/>
      <c r="F231" s="25"/>
      <c r="G231" s="18"/>
      <c r="H231" s="26"/>
      <c r="I231" s="18"/>
      <c r="J231" s="18"/>
      <c r="K231" s="18"/>
      <c r="L231" s="27" t="str">
        <f aca="false">IF(C231="","",IF(G231="Concluída",1,N(H231)))</f>
        <v/>
      </c>
      <c r="M231" s="13" t="str">
        <f aca="true">IF(C231="","",IF(G231="Concluída","Concluída",IF(AND(F231&lt;&gt;"",F231&lt;TODAY()),"Atrasada","No prazo")))</f>
        <v/>
      </c>
    </row>
    <row r="232" customFormat="false" ht="15" hidden="false" customHeight="false" outlineLevel="0" collapsed="false">
      <c r="A232" s="18"/>
      <c r="B232" s="18"/>
      <c r="C232" s="18"/>
      <c r="D232" s="18"/>
      <c r="E232" s="25"/>
      <c r="F232" s="25"/>
      <c r="G232" s="18"/>
      <c r="H232" s="26"/>
      <c r="I232" s="18"/>
      <c r="J232" s="18"/>
      <c r="K232" s="18"/>
      <c r="L232" s="27" t="str">
        <f aca="false">IF(C232="","",IF(G232="Concluída",1,N(H232)))</f>
        <v/>
      </c>
      <c r="M232" s="13" t="str">
        <f aca="true">IF(C232="","",IF(G232="Concluída","Concluída",IF(AND(F232&lt;&gt;"",F232&lt;TODAY()),"Atrasada","No prazo")))</f>
        <v/>
      </c>
    </row>
    <row r="233" customFormat="false" ht="15" hidden="false" customHeight="false" outlineLevel="0" collapsed="false">
      <c r="A233" s="18"/>
      <c r="B233" s="18"/>
      <c r="C233" s="18"/>
      <c r="D233" s="18"/>
      <c r="E233" s="25"/>
      <c r="F233" s="25"/>
      <c r="G233" s="18"/>
      <c r="H233" s="26"/>
      <c r="I233" s="18"/>
      <c r="J233" s="18"/>
      <c r="K233" s="18"/>
      <c r="L233" s="27" t="str">
        <f aca="false">IF(C233="","",IF(G233="Concluída",1,N(H233)))</f>
        <v/>
      </c>
      <c r="M233" s="13" t="str">
        <f aca="true">IF(C233="","",IF(G233="Concluída","Concluída",IF(AND(F233&lt;&gt;"",F233&lt;TODAY()),"Atrasada","No prazo")))</f>
        <v/>
      </c>
    </row>
    <row r="234" customFormat="false" ht="15" hidden="false" customHeight="false" outlineLevel="0" collapsed="false">
      <c r="A234" s="18"/>
      <c r="B234" s="18"/>
      <c r="C234" s="18"/>
      <c r="D234" s="18"/>
      <c r="E234" s="25"/>
      <c r="F234" s="25"/>
      <c r="G234" s="18"/>
      <c r="H234" s="26"/>
      <c r="I234" s="18"/>
      <c r="J234" s="18"/>
      <c r="K234" s="18"/>
      <c r="L234" s="27" t="str">
        <f aca="false">IF(C234="","",IF(G234="Concluída",1,N(H234)))</f>
        <v/>
      </c>
      <c r="M234" s="13" t="str">
        <f aca="true">IF(C234="","",IF(G234="Concluída","Concluída",IF(AND(F234&lt;&gt;"",F234&lt;TODAY()),"Atrasada","No prazo")))</f>
        <v/>
      </c>
    </row>
    <row r="235" customFormat="false" ht="15" hidden="false" customHeight="false" outlineLevel="0" collapsed="false">
      <c r="A235" s="18"/>
      <c r="B235" s="18"/>
      <c r="C235" s="18"/>
      <c r="D235" s="18"/>
      <c r="E235" s="25"/>
      <c r="F235" s="25"/>
      <c r="G235" s="18"/>
      <c r="H235" s="26"/>
      <c r="I235" s="18"/>
      <c r="J235" s="18"/>
      <c r="K235" s="18"/>
      <c r="L235" s="27" t="str">
        <f aca="false">IF(C235="","",IF(G235="Concluída",1,N(H235)))</f>
        <v/>
      </c>
      <c r="M235" s="13" t="str">
        <f aca="true">IF(C235="","",IF(G235="Concluída","Concluída",IF(AND(F235&lt;&gt;"",F235&lt;TODAY()),"Atrasada","No prazo")))</f>
        <v/>
      </c>
    </row>
    <row r="236" customFormat="false" ht="15" hidden="false" customHeight="false" outlineLevel="0" collapsed="false">
      <c r="A236" s="18"/>
      <c r="B236" s="18"/>
      <c r="C236" s="18"/>
      <c r="D236" s="18"/>
      <c r="E236" s="25"/>
      <c r="F236" s="25"/>
      <c r="G236" s="18"/>
      <c r="H236" s="26"/>
      <c r="I236" s="18"/>
      <c r="J236" s="18"/>
      <c r="K236" s="18"/>
      <c r="L236" s="27" t="str">
        <f aca="false">IF(C236="","",IF(G236="Concluída",1,N(H236)))</f>
        <v/>
      </c>
      <c r="M236" s="13" t="str">
        <f aca="true">IF(C236="","",IF(G236="Concluída","Concluída",IF(AND(F236&lt;&gt;"",F236&lt;TODAY()),"Atrasada","No prazo")))</f>
        <v/>
      </c>
    </row>
    <row r="237" customFormat="false" ht="15" hidden="false" customHeight="false" outlineLevel="0" collapsed="false">
      <c r="A237" s="18"/>
      <c r="B237" s="18"/>
      <c r="C237" s="18"/>
      <c r="D237" s="18"/>
      <c r="E237" s="25"/>
      <c r="F237" s="25"/>
      <c r="G237" s="18"/>
      <c r="H237" s="26"/>
      <c r="I237" s="18"/>
      <c r="J237" s="18"/>
      <c r="K237" s="18"/>
      <c r="L237" s="27" t="str">
        <f aca="false">IF(C237="","",IF(G237="Concluída",1,N(H237)))</f>
        <v/>
      </c>
      <c r="M237" s="13" t="str">
        <f aca="true">IF(C237="","",IF(G237="Concluída","Concluída",IF(AND(F237&lt;&gt;"",F237&lt;TODAY()),"Atrasada","No prazo")))</f>
        <v/>
      </c>
    </row>
    <row r="238" customFormat="false" ht="15" hidden="false" customHeight="false" outlineLevel="0" collapsed="false">
      <c r="A238" s="18"/>
      <c r="B238" s="18"/>
      <c r="C238" s="18"/>
      <c r="D238" s="18"/>
      <c r="E238" s="25"/>
      <c r="F238" s="25"/>
      <c r="G238" s="18"/>
      <c r="H238" s="26"/>
      <c r="I238" s="18"/>
      <c r="J238" s="18"/>
      <c r="K238" s="18"/>
      <c r="L238" s="27" t="str">
        <f aca="false">IF(C238="","",IF(G238="Concluída",1,N(H238)))</f>
        <v/>
      </c>
      <c r="M238" s="13" t="str">
        <f aca="true">IF(C238="","",IF(G238="Concluída","Concluída",IF(AND(F238&lt;&gt;"",F238&lt;TODAY()),"Atrasada","No prazo")))</f>
        <v/>
      </c>
    </row>
    <row r="239" customFormat="false" ht="15" hidden="false" customHeight="false" outlineLevel="0" collapsed="false">
      <c r="A239" s="18"/>
      <c r="B239" s="18"/>
      <c r="C239" s="18"/>
      <c r="D239" s="18"/>
      <c r="E239" s="25"/>
      <c r="F239" s="25"/>
      <c r="G239" s="18"/>
      <c r="H239" s="26"/>
      <c r="I239" s="18"/>
      <c r="J239" s="18"/>
      <c r="K239" s="18"/>
      <c r="L239" s="27" t="str">
        <f aca="false">IF(C239="","",IF(G239="Concluída",1,N(H239)))</f>
        <v/>
      </c>
      <c r="M239" s="13" t="str">
        <f aca="true">IF(C239="","",IF(G239="Concluída","Concluída",IF(AND(F239&lt;&gt;"",F239&lt;TODAY()),"Atrasada","No prazo")))</f>
        <v/>
      </c>
    </row>
    <row r="240" customFormat="false" ht="15" hidden="false" customHeight="false" outlineLevel="0" collapsed="false">
      <c r="A240" s="18"/>
      <c r="B240" s="18"/>
      <c r="C240" s="18"/>
      <c r="D240" s="18"/>
      <c r="E240" s="25"/>
      <c r="F240" s="25"/>
      <c r="G240" s="18"/>
      <c r="H240" s="26"/>
      <c r="I240" s="18"/>
      <c r="J240" s="18"/>
      <c r="K240" s="18"/>
      <c r="L240" s="27" t="str">
        <f aca="false">IF(C240="","",IF(G240="Concluída",1,N(H240)))</f>
        <v/>
      </c>
      <c r="M240" s="13" t="str">
        <f aca="true">IF(C240="","",IF(G240="Concluída","Concluída",IF(AND(F240&lt;&gt;"",F240&lt;TODAY()),"Atrasada","No prazo")))</f>
        <v/>
      </c>
    </row>
    <row r="241" customFormat="false" ht="15" hidden="false" customHeight="false" outlineLevel="0" collapsed="false">
      <c r="A241" s="18"/>
      <c r="B241" s="18"/>
      <c r="C241" s="18"/>
      <c r="D241" s="18"/>
      <c r="E241" s="25"/>
      <c r="F241" s="25"/>
      <c r="G241" s="18"/>
      <c r="H241" s="26"/>
      <c r="I241" s="18"/>
      <c r="J241" s="18"/>
      <c r="K241" s="18"/>
      <c r="L241" s="27" t="str">
        <f aca="false">IF(C241="","",IF(G241="Concluída",1,N(H241)))</f>
        <v/>
      </c>
      <c r="M241" s="13" t="str">
        <f aca="true">IF(C241="","",IF(G241="Concluída","Concluída",IF(AND(F241&lt;&gt;"",F241&lt;TODAY()),"Atrasada","No prazo")))</f>
        <v/>
      </c>
    </row>
    <row r="242" customFormat="false" ht="15" hidden="false" customHeight="false" outlineLevel="0" collapsed="false">
      <c r="A242" s="18"/>
      <c r="B242" s="18"/>
      <c r="C242" s="18"/>
      <c r="D242" s="18"/>
      <c r="E242" s="25"/>
      <c r="F242" s="25"/>
      <c r="G242" s="18"/>
      <c r="H242" s="26"/>
      <c r="I242" s="18"/>
      <c r="J242" s="18"/>
      <c r="K242" s="18"/>
      <c r="L242" s="27" t="str">
        <f aca="false">IF(C242="","",IF(G242="Concluída",1,N(H242)))</f>
        <v/>
      </c>
      <c r="M242" s="13" t="str">
        <f aca="true">IF(C242="","",IF(G242="Concluída","Concluída",IF(AND(F242&lt;&gt;"",F242&lt;TODAY()),"Atrasada","No prazo")))</f>
        <v/>
      </c>
    </row>
    <row r="243" customFormat="false" ht="15" hidden="false" customHeight="false" outlineLevel="0" collapsed="false">
      <c r="A243" s="18"/>
      <c r="B243" s="18"/>
      <c r="C243" s="18"/>
      <c r="D243" s="18"/>
      <c r="E243" s="25"/>
      <c r="F243" s="25"/>
      <c r="G243" s="18"/>
      <c r="H243" s="26"/>
      <c r="I243" s="18"/>
      <c r="J243" s="18"/>
      <c r="K243" s="18"/>
      <c r="L243" s="27" t="str">
        <f aca="false">IF(C243="","",IF(G243="Concluída",1,N(H243)))</f>
        <v/>
      </c>
      <c r="M243" s="13" t="str">
        <f aca="true">IF(C243="","",IF(G243="Concluída","Concluída",IF(AND(F243&lt;&gt;"",F243&lt;TODAY()),"Atrasada","No prazo")))</f>
        <v/>
      </c>
    </row>
    <row r="244" customFormat="false" ht="15" hidden="false" customHeight="false" outlineLevel="0" collapsed="false">
      <c r="A244" s="18"/>
      <c r="B244" s="18"/>
      <c r="C244" s="18"/>
      <c r="D244" s="18"/>
      <c r="E244" s="25"/>
      <c r="F244" s="25"/>
      <c r="G244" s="18"/>
      <c r="H244" s="26"/>
      <c r="I244" s="18"/>
      <c r="J244" s="18"/>
      <c r="K244" s="18"/>
      <c r="L244" s="27" t="str">
        <f aca="false">IF(C244="","",IF(G244="Concluída",1,N(H244)))</f>
        <v/>
      </c>
      <c r="M244" s="13" t="str">
        <f aca="true">IF(C244="","",IF(G244="Concluída","Concluída",IF(AND(F244&lt;&gt;"",F244&lt;TODAY()),"Atrasada","No prazo")))</f>
        <v/>
      </c>
    </row>
    <row r="245" customFormat="false" ht="15" hidden="false" customHeight="false" outlineLevel="0" collapsed="false">
      <c r="A245" s="18"/>
      <c r="B245" s="18"/>
      <c r="C245" s="18"/>
      <c r="D245" s="18"/>
      <c r="E245" s="25"/>
      <c r="F245" s="25"/>
      <c r="G245" s="18"/>
      <c r="H245" s="26"/>
      <c r="I245" s="18"/>
      <c r="J245" s="18"/>
      <c r="K245" s="18"/>
      <c r="L245" s="27" t="str">
        <f aca="false">IF(C245="","",IF(G245="Concluída",1,N(H245)))</f>
        <v/>
      </c>
      <c r="M245" s="13" t="str">
        <f aca="true">IF(C245="","",IF(G245="Concluída","Concluída",IF(AND(F245&lt;&gt;"",F245&lt;TODAY()),"Atrasada","No prazo")))</f>
        <v/>
      </c>
    </row>
    <row r="246" customFormat="false" ht="15" hidden="false" customHeight="false" outlineLevel="0" collapsed="false">
      <c r="A246" s="18"/>
      <c r="B246" s="18"/>
      <c r="C246" s="18"/>
      <c r="D246" s="18"/>
      <c r="E246" s="25"/>
      <c r="F246" s="25"/>
      <c r="G246" s="18"/>
      <c r="H246" s="26"/>
      <c r="I246" s="18"/>
      <c r="J246" s="18"/>
      <c r="K246" s="18"/>
      <c r="L246" s="27" t="str">
        <f aca="false">IF(C246="","",IF(G246="Concluída",1,N(H246)))</f>
        <v/>
      </c>
      <c r="M246" s="13" t="str">
        <f aca="true">IF(C246="","",IF(G246="Concluída","Concluída",IF(AND(F246&lt;&gt;"",F246&lt;TODAY()),"Atrasada","No prazo")))</f>
        <v/>
      </c>
    </row>
    <row r="247" customFormat="false" ht="15" hidden="false" customHeight="false" outlineLevel="0" collapsed="false">
      <c r="A247" s="18"/>
      <c r="B247" s="18"/>
      <c r="C247" s="18"/>
      <c r="D247" s="18"/>
      <c r="E247" s="25"/>
      <c r="F247" s="25"/>
      <c r="G247" s="18"/>
      <c r="H247" s="26"/>
      <c r="I247" s="18"/>
      <c r="J247" s="18"/>
      <c r="K247" s="18"/>
      <c r="L247" s="27" t="str">
        <f aca="false">IF(C247="","",IF(G247="Concluída",1,N(H247)))</f>
        <v/>
      </c>
      <c r="M247" s="13" t="str">
        <f aca="true">IF(C247="","",IF(G247="Concluída","Concluída",IF(AND(F247&lt;&gt;"",F247&lt;TODAY()),"Atrasada","No prazo")))</f>
        <v/>
      </c>
    </row>
    <row r="248" customFormat="false" ht="15" hidden="false" customHeight="false" outlineLevel="0" collapsed="false">
      <c r="A248" s="18"/>
      <c r="B248" s="18"/>
      <c r="C248" s="18"/>
      <c r="D248" s="18"/>
      <c r="E248" s="25"/>
      <c r="F248" s="25"/>
      <c r="G248" s="18"/>
      <c r="H248" s="26"/>
      <c r="I248" s="18"/>
      <c r="J248" s="18"/>
      <c r="K248" s="18"/>
      <c r="L248" s="27" t="str">
        <f aca="false">IF(C248="","",IF(G248="Concluída",1,N(H248)))</f>
        <v/>
      </c>
      <c r="M248" s="13" t="str">
        <f aca="true">IF(C248="","",IF(G248="Concluída","Concluída",IF(AND(F248&lt;&gt;"",F248&lt;TODAY()),"Atrasada","No prazo")))</f>
        <v/>
      </c>
    </row>
    <row r="249" customFormat="false" ht="15" hidden="false" customHeight="false" outlineLevel="0" collapsed="false">
      <c r="A249" s="18"/>
      <c r="B249" s="18"/>
      <c r="C249" s="18"/>
      <c r="D249" s="18"/>
      <c r="E249" s="25"/>
      <c r="F249" s="25"/>
      <c r="G249" s="18"/>
      <c r="H249" s="26"/>
      <c r="I249" s="18"/>
      <c r="J249" s="18"/>
      <c r="K249" s="18"/>
      <c r="L249" s="27" t="str">
        <f aca="false">IF(C249="","",IF(G249="Concluída",1,N(H249)))</f>
        <v/>
      </c>
      <c r="M249" s="13" t="str">
        <f aca="true">IF(C249="","",IF(G249="Concluída","Concluída",IF(AND(F249&lt;&gt;"",F249&lt;TODAY()),"Atrasada","No prazo")))</f>
        <v/>
      </c>
    </row>
    <row r="250" customFormat="false" ht="15" hidden="false" customHeight="false" outlineLevel="0" collapsed="false">
      <c r="A250" s="18"/>
      <c r="B250" s="18"/>
      <c r="C250" s="18"/>
      <c r="D250" s="18"/>
      <c r="E250" s="25"/>
      <c r="F250" s="25"/>
      <c r="G250" s="18"/>
      <c r="H250" s="26"/>
      <c r="I250" s="18"/>
      <c r="J250" s="18"/>
      <c r="K250" s="18"/>
      <c r="L250" s="27" t="str">
        <f aca="false">IF(C250="","",IF(G250="Concluída",1,N(H250)))</f>
        <v/>
      </c>
      <c r="M250" s="13" t="str">
        <f aca="true">IF(C250="","",IF(G250="Concluída","Concluída",IF(AND(F250&lt;&gt;"",F250&lt;TODAY()),"Atrasada","No prazo")))</f>
        <v/>
      </c>
    </row>
    <row r="251" customFormat="false" ht="15" hidden="false" customHeight="false" outlineLevel="0" collapsed="false">
      <c r="A251" s="18"/>
      <c r="B251" s="18"/>
      <c r="C251" s="18"/>
      <c r="D251" s="18"/>
      <c r="E251" s="25"/>
      <c r="F251" s="25"/>
      <c r="G251" s="18"/>
      <c r="H251" s="26"/>
      <c r="I251" s="18"/>
      <c r="J251" s="18"/>
      <c r="K251" s="18"/>
      <c r="L251" s="27" t="str">
        <f aca="false">IF(C251="","",IF(G251="Concluída",1,N(H251)))</f>
        <v/>
      </c>
      <c r="M251" s="13" t="str">
        <f aca="true">IF(C251="","",IF(G251="Concluída","Concluída",IF(AND(F251&lt;&gt;"",F251&lt;TODAY()),"Atrasada","No prazo")))</f>
        <v/>
      </c>
    </row>
    <row r="252" customFormat="false" ht="15" hidden="false" customHeight="false" outlineLevel="0" collapsed="false">
      <c r="A252" s="18"/>
      <c r="B252" s="18"/>
      <c r="C252" s="18"/>
      <c r="D252" s="18"/>
      <c r="E252" s="25"/>
      <c r="F252" s="25"/>
      <c r="G252" s="18"/>
      <c r="H252" s="26"/>
      <c r="I252" s="18"/>
      <c r="J252" s="18"/>
      <c r="K252" s="18"/>
      <c r="L252" s="27" t="str">
        <f aca="false">IF(C252="","",IF(G252="Concluída",1,N(H252)))</f>
        <v/>
      </c>
      <c r="M252" s="13" t="str">
        <f aca="true">IF(C252="","",IF(G252="Concluída","Concluída",IF(AND(F252&lt;&gt;"",F252&lt;TODAY()),"Atrasada","No prazo")))</f>
        <v/>
      </c>
    </row>
    <row r="253" customFormat="false" ht="15" hidden="false" customHeight="false" outlineLevel="0" collapsed="false">
      <c r="A253" s="18"/>
      <c r="B253" s="18"/>
      <c r="C253" s="18"/>
      <c r="D253" s="18"/>
      <c r="E253" s="25"/>
      <c r="F253" s="25"/>
      <c r="G253" s="18"/>
      <c r="H253" s="26"/>
      <c r="I253" s="18"/>
      <c r="J253" s="18"/>
      <c r="K253" s="18"/>
      <c r="L253" s="27" t="str">
        <f aca="false">IF(C253="","",IF(G253="Concluída",1,N(H253)))</f>
        <v/>
      </c>
      <c r="M253" s="13" t="str">
        <f aca="true">IF(C253="","",IF(G253="Concluída","Concluída",IF(AND(F253&lt;&gt;"",F253&lt;TODAY()),"Atrasada","No prazo")))</f>
        <v/>
      </c>
    </row>
    <row r="254" customFormat="false" ht="15" hidden="false" customHeight="false" outlineLevel="0" collapsed="false">
      <c r="A254" s="18"/>
      <c r="B254" s="18"/>
      <c r="C254" s="18"/>
      <c r="D254" s="18"/>
      <c r="E254" s="25"/>
      <c r="F254" s="25"/>
      <c r="G254" s="18"/>
      <c r="H254" s="26"/>
      <c r="I254" s="18"/>
      <c r="J254" s="18"/>
      <c r="K254" s="18"/>
      <c r="L254" s="27" t="str">
        <f aca="false">IF(C254="","",IF(G254="Concluída",1,N(H254)))</f>
        <v/>
      </c>
      <c r="M254" s="13" t="str">
        <f aca="true">IF(C254="","",IF(G254="Concluída","Concluída",IF(AND(F254&lt;&gt;"",F254&lt;TODAY()),"Atrasada","No prazo")))</f>
        <v/>
      </c>
    </row>
    <row r="255" customFormat="false" ht="15" hidden="false" customHeight="false" outlineLevel="0" collapsed="false">
      <c r="A255" s="18"/>
      <c r="B255" s="18"/>
      <c r="C255" s="18"/>
      <c r="D255" s="18"/>
      <c r="E255" s="25"/>
      <c r="F255" s="25"/>
      <c r="G255" s="18"/>
      <c r="H255" s="26"/>
      <c r="I255" s="18"/>
      <c r="J255" s="18"/>
      <c r="K255" s="18"/>
      <c r="L255" s="27" t="str">
        <f aca="false">IF(C255="","",IF(G255="Concluída",1,N(H255)))</f>
        <v/>
      </c>
      <c r="M255" s="13" t="str">
        <f aca="true">IF(C255="","",IF(G255="Concluída","Concluída",IF(AND(F255&lt;&gt;"",F255&lt;TODAY()),"Atrasada","No prazo")))</f>
        <v/>
      </c>
    </row>
    <row r="256" customFormat="false" ht="15" hidden="false" customHeight="false" outlineLevel="0" collapsed="false">
      <c r="A256" s="18"/>
      <c r="B256" s="18"/>
      <c r="C256" s="18"/>
      <c r="D256" s="18"/>
      <c r="E256" s="25"/>
      <c r="F256" s="25"/>
      <c r="G256" s="18"/>
      <c r="H256" s="26"/>
      <c r="I256" s="18"/>
      <c r="J256" s="18"/>
      <c r="K256" s="18"/>
      <c r="L256" s="27" t="str">
        <f aca="false">IF(C256="","",IF(G256="Concluída",1,N(H256)))</f>
        <v/>
      </c>
      <c r="M256" s="13" t="str">
        <f aca="true">IF(C256="","",IF(G256="Concluída","Concluída",IF(AND(F256&lt;&gt;"",F256&lt;TODAY()),"Atrasada","No prazo")))</f>
        <v/>
      </c>
    </row>
    <row r="257" customFormat="false" ht="15" hidden="false" customHeight="false" outlineLevel="0" collapsed="false">
      <c r="A257" s="18"/>
      <c r="B257" s="18"/>
      <c r="C257" s="18"/>
      <c r="D257" s="18"/>
      <c r="E257" s="25"/>
      <c r="F257" s="25"/>
      <c r="G257" s="18"/>
      <c r="H257" s="26"/>
      <c r="I257" s="18"/>
      <c r="J257" s="18"/>
      <c r="K257" s="18"/>
      <c r="L257" s="27" t="str">
        <f aca="false">IF(C257="","",IF(G257="Concluída",1,N(H257)))</f>
        <v/>
      </c>
      <c r="M257" s="13" t="str">
        <f aca="true">IF(C257="","",IF(G257="Concluída","Concluída",IF(AND(F257&lt;&gt;"",F257&lt;TODAY()),"Atrasada","No prazo")))</f>
        <v/>
      </c>
    </row>
    <row r="258" customFormat="false" ht="15" hidden="false" customHeight="false" outlineLevel="0" collapsed="false">
      <c r="A258" s="18"/>
      <c r="B258" s="18"/>
      <c r="C258" s="18"/>
      <c r="D258" s="18"/>
      <c r="E258" s="25"/>
      <c r="F258" s="25"/>
      <c r="G258" s="18"/>
      <c r="H258" s="26"/>
      <c r="I258" s="18"/>
      <c r="J258" s="18"/>
      <c r="K258" s="18"/>
      <c r="L258" s="27" t="str">
        <f aca="false">IF(C258="","",IF(G258="Concluída",1,N(H258)))</f>
        <v/>
      </c>
      <c r="M258" s="13" t="str">
        <f aca="true">IF(C258="","",IF(G258="Concluída","Concluída",IF(AND(F258&lt;&gt;"",F258&lt;TODAY()),"Atrasada","No prazo")))</f>
        <v/>
      </c>
    </row>
    <row r="259" customFormat="false" ht="15" hidden="false" customHeight="false" outlineLevel="0" collapsed="false">
      <c r="A259" s="18"/>
      <c r="B259" s="18"/>
      <c r="C259" s="18"/>
      <c r="D259" s="18"/>
      <c r="E259" s="25"/>
      <c r="F259" s="25"/>
      <c r="G259" s="18"/>
      <c r="H259" s="26"/>
      <c r="I259" s="18"/>
      <c r="J259" s="18"/>
      <c r="K259" s="18"/>
      <c r="L259" s="27" t="str">
        <f aca="false">IF(C259="","",IF(G259="Concluída",1,N(H259)))</f>
        <v/>
      </c>
      <c r="M259" s="13" t="str">
        <f aca="true">IF(C259="","",IF(G259="Concluída","Concluída",IF(AND(F259&lt;&gt;"",F259&lt;TODAY()),"Atrasada","No prazo")))</f>
        <v/>
      </c>
    </row>
    <row r="260" customFormat="false" ht="15" hidden="false" customHeight="false" outlineLevel="0" collapsed="false">
      <c r="A260" s="18"/>
      <c r="B260" s="18"/>
      <c r="C260" s="18"/>
      <c r="D260" s="18"/>
      <c r="E260" s="25"/>
      <c r="F260" s="25"/>
      <c r="G260" s="18"/>
      <c r="H260" s="26"/>
      <c r="I260" s="18"/>
      <c r="J260" s="18"/>
      <c r="K260" s="18"/>
      <c r="L260" s="27" t="str">
        <f aca="false">IF(C260="","",IF(G260="Concluída",1,N(H260)))</f>
        <v/>
      </c>
      <c r="M260" s="13" t="str">
        <f aca="true">IF(C260="","",IF(G260="Concluída","Concluída",IF(AND(F260&lt;&gt;"",F260&lt;TODAY()),"Atrasada","No prazo")))</f>
        <v/>
      </c>
    </row>
    <row r="261" customFormat="false" ht="15" hidden="false" customHeight="false" outlineLevel="0" collapsed="false">
      <c r="A261" s="18"/>
      <c r="B261" s="18"/>
      <c r="C261" s="18"/>
      <c r="D261" s="18"/>
      <c r="E261" s="25"/>
      <c r="F261" s="25"/>
      <c r="G261" s="18"/>
      <c r="H261" s="26"/>
      <c r="I261" s="18"/>
      <c r="J261" s="18"/>
      <c r="K261" s="18"/>
      <c r="L261" s="27" t="str">
        <f aca="false">IF(C261="","",IF(G261="Concluída",1,N(H261)))</f>
        <v/>
      </c>
      <c r="M261" s="13" t="str">
        <f aca="true">IF(C261="","",IF(G261="Concluída","Concluída",IF(AND(F261&lt;&gt;"",F261&lt;TODAY()),"Atrasada","No prazo")))</f>
        <v/>
      </c>
    </row>
    <row r="262" customFormat="false" ht="15" hidden="false" customHeight="false" outlineLevel="0" collapsed="false">
      <c r="A262" s="18"/>
      <c r="B262" s="18"/>
      <c r="C262" s="18"/>
      <c r="D262" s="18"/>
      <c r="E262" s="25"/>
      <c r="F262" s="25"/>
      <c r="G262" s="18"/>
      <c r="H262" s="26"/>
      <c r="I262" s="18"/>
      <c r="J262" s="18"/>
      <c r="K262" s="18"/>
      <c r="L262" s="27" t="str">
        <f aca="false">IF(C262="","",IF(G262="Concluída",1,N(H262)))</f>
        <v/>
      </c>
      <c r="M262" s="13" t="str">
        <f aca="true">IF(C262="","",IF(G262="Concluída","Concluída",IF(AND(F262&lt;&gt;"",F262&lt;TODAY()),"Atrasada","No prazo")))</f>
        <v/>
      </c>
    </row>
    <row r="263" customFormat="false" ht="15" hidden="false" customHeight="false" outlineLevel="0" collapsed="false">
      <c r="A263" s="18"/>
      <c r="B263" s="18"/>
      <c r="C263" s="18"/>
      <c r="D263" s="18"/>
      <c r="E263" s="25"/>
      <c r="F263" s="25"/>
      <c r="G263" s="18"/>
      <c r="H263" s="26"/>
      <c r="I263" s="18"/>
      <c r="J263" s="18"/>
      <c r="K263" s="18"/>
      <c r="L263" s="27" t="str">
        <f aca="false">IF(C263="","",IF(G263="Concluída",1,N(H263)))</f>
        <v/>
      </c>
      <c r="M263" s="13" t="str">
        <f aca="true">IF(C263="","",IF(G263="Concluída","Concluída",IF(AND(F263&lt;&gt;"",F263&lt;TODAY()),"Atrasada","No prazo")))</f>
        <v/>
      </c>
    </row>
    <row r="264" customFormat="false" ht="15" hidden="false" customHeight="false" outlineLevel="0" collapsed="false">
      <c r="A264" s="18"/>
      <c r="B264" s="18"/>
      <c r="C264" s="18"/>
      <c r="D264" s="18"/>
      <c r="E264" s="25"/>
      <c r="F264" s="25"/>
      <c r="G264" s="18"/>
      <c r="H264" s="26"/>
      <c r="I264" s="18"/>
      <c r="J264" s="18"/>
      <c r="K264" s="18"/>
      <c r="L264" s="27" t="str">
        <f aca="false">IF(C264="","",IF(G264="Concluída",1,N(H264)))</f>
        <v/>
      </c>
      <c r="M264" s="13" t="str">
        <f aca="true">IF(C264="","",IF(G264="Concluída","Concluída",IF(AND(F264&lt;&gt;"",F264&lt;TODAY()),"Atrasada","No prazo")))</f>
        <v/>
      </c>
    </row>
    <row r="265" customFormat="false" ht="15" hidden="false" customHeight="false" outlineLevel="0" collapsed="false">
      <c r="A265" s="18"/>
      <c r="B265" s="18"/>
      <c r="C265" s="18"/>
      <c r="D265" s="18"/>
      <c r="E265" s="25"/>
      <c r="F265" s="25"/>
      <c r="G265" s="18"/>
      <c r="H265" s="26"/>
      <c r="I265" s="18"/>
      <c r="J265" s="18"/>
      <c r="K265" s="18"/>
      <c r="L265" s="27" t="str">
        <f aca="false">IF(C265="","",IF(G265="Concluída",1,N(H265)))</f>
        <v/>
      </c>
      <c r="M265" s="13" t="str">
        <f aca="true">IF(C265="","",IF(G265="Concluída","Concluída",IF(AND(F265&lt;&gt;"",F265&lt;TODAY()),"Atrasada","No prazo")))</f>
        <v/>
      </c>
    </row>
    <row r="266" customFormat="false" ht="15" hidden="false" customHeight="false" outlineLevel="0" collapsed="false">
      <c r="A266" s="18"/>
      <c r="B266" s="18"/>
      <c r="C266" s="18"/>
      <c r="D266" s="18"/>
      <c r="E266" s="25"/>
      <c r="F266" s="25"/>
      <c r="G266" s="18"/>
      <c r="H266" s="26"/>
      <c r="I266" s="18"/>
      <c r="J266" s="18"/>
      <c r="K266" s="18"/>
      <c r="L266" s="27" t="str">
        <f aca="false">IF(C266="","",IF(G266="Concluída",1,N(H266)))</f>
        <v/>
      </c>
      <c r="M266" s="13" t="str">
        <f aca="true">IF(C266="","",IF(G266="Concluída","Concluída",IF(AND(F266&lt;&gt;"",F266&lt;TODAY()),"Atrasada","No prazo")))</f>
        <v/>
      </c>
    </row>
    <row r="267" customFormat="false" ht="15" hidden="false" customHeight="false" outlineLevel="0" collapsed="false">
      <c r="A267" s="18"/>
      <c r="B267" s="18"/>
      <c r="C267" s="18"/>
      <c r="D267" s="18"/>
      <c r="E267" s="25"/>
      <c r="F267" s="25"/>
      <c r="G267" s="18"/>
      <c r="H267" s="26"/>
      <c r="I267" s="18"/>
      <c r="J267" s="18"/>
      <c r="K267" s="18"/>
      <c r="L267" s="27" t="str">
        <f aca="false">IF(C267="","",IF(G267="Concluída",1,N(H267)))</f>
        <v/>
      </c>
      <c r="M267" s="13" t="str">
        <f aca="true">IF(C267="","",IF(G267="Concluída","Concluída",IF(AND(F267&lt;&gt;"",F267&lt;TODAY()),"Atrasada","No prazo")))</f>
        <v/>
      </c>
    </row>
    <row r="268" customFormat="false" ht="15" hidden="false" customHeight="false" outlineLevel="0" collapsed="false">
      <c r="A268" s="18"/>
      <c r="B268" s="18"/>
      <c r="C268" s="18"/>
      <c r="D268" s="18"/>
      <c r="E268" s="25"/>
      <c r="F268" s="25"/>
      <c r="G268" s="18"/>
      <c r="H268" s="26"/>
      <c r="I268" s="18"/>
      <c r="J268" s="18"/>
      <c r="K268" s="18"/>
      <c r="L268" s="27" t="str">
        <f aca="false">IF(C268="","",IF(G268="Concluída",1,N(H268)))</f>
        <v/>
      </c>
      <c r="M268" s="13" t="str">
        <f aca="true">IF(C268="","",IF(G268="Concluída","Concluída",IF(AND(F268&lt;&gt;"",F268&lt;TODAY()),"Atrasada","No prazo")))</f>
        <v/>
      </c>
    </row>
    <row r="269" customFormat="false" ht="15" hidden="false" customHeight="false" outlineLevel="0" collapsed="false">
      <c r="A269" s="18"/>
      <c r="B269" s="18"/>
      <c r="C269" s="18"/>
      <c r="D269" s="18"/>
      <c r="E269" s="25"/>
      <c r="F269" s="25"/>
      <c r="G269" s="18"/>
      <c r="H269" s="26"/>
      <c r="I269" s="18"/>
      <c r="J269" s="18"/>
      <c r="K269" s="18"/>
      <c r="L269" s="27" t="str">
        <f aca="false">IF(C269="","",IF(G269="Concluída",1,N(H269)))</f>
        <v/>
      </c>
      <c r="M269" s="13" t="str">
        <f aca="true">IF(C269="","",IF(G269="Concluída","Concluída",IF(AND(F269&lt;&gt;"",F269&lt;TODAY()),"Atrasada","No prazo")))</f>
        <v/>
      </c>
    </row>
    <row r="270" customFormat="false" ht="15" hidden="false" customHeight="false" outlineLevel="0" collapsed="false">
      <c r="A270" s="18"/>
      <c r="B270" s="18"/>
      <c r="C270" s="18"/>
      <c r="D270" s="18"/>
      <c r="E270" s="25"/>
      <c r="F270" s="25"/>
      <c r="G270" s="18"/>
      <c r="H270" s="26"/>
      <c r="I270" s="18"/>
      <c r="J270" s="18"/>
      <c r="K270" s="18"/>
      <c r="L270" s="27" t="str">
        <f aca="false">IF(C270="","",IF(G270="Concluída",1,N(H270)))</f>
        <v/>
      </c>
      <c r="M270" s="13" t="str">
        <f aca="true">IF(C270="","",IF(G270="Concluída","Concluída",IF(AND(F270&lt;&gt;"",F270&lt;TODAY()),"Atrasada","No prazo")))</f>
        <v/>
      </c>
    </row>
    <row r="271" customFormat="false" ht="15" hidden="false" customHeight="false" outlineLevel="0" collapsed="false">
      <c r="A271" s="18"/>
      <c r="B271" s="18"/>
      <c r="C271" s="18"/>
      <c r="D271" s="18"/>
      <c r="E271" s="25"/>
      <c r="F271" s="25"/>
      <c r="G271" s="18"/>
      <c r="H271" s="26"/>
      <c r="I271" s="18"/>
      <c r="J271" s="18"/>
      <c r="K271" s="18"/>
      <c r="L271" s="27" t="str">
        <f aca="false">IF(C271="","",IF(G271="Concluída",1,N(H271)))</f>
        <v/>
      </c>
      <c r="M271" s="13" t="str">
        <f aca="true">IF(C271="","",IF(G271="Concluída","Concluída",IF(AND(F271&lt;&gt;"",F271&lt;TODAY()),"Atrasada","No prazo")))</f>
        <v/>
      </c>
    </row>
    <row r="272" customFormat="false" ht="15" hidden="false" customHeight="false" outlineLevel="0" collapsed="false">
      <c r="A272" s="18"/>
      <c r="B272" s="18"/>
      <c r="C272" s="18"/>
      <c r="D272" s="18"/>
      <c r="E272" s="25"/>
      <c r="F272" s="25"/>
      <c r="G272" s="18"/>
      <c r="H272" s="26"/>
      <c r="I272" s="18"/>
      <c r="J272" s="18"/>
      <c r="K272" s="18"/>
      <c r="L272" s="27" t="str">
        <f aca="false">IF(C272="","",IF(G272="Concluída",1,N(H272)))</f>
        <v/>
      </c>
      <c r="M272" s="13" t="str">
        <f aca="true">IF(C272="","",IF(G272="Concluída","Concluída",IF(AND(F272&lt;&gt;"",F272&lt;TODAY()),"Atrasada","No prazo")))</f>
        <v/>
      </c>
    </row>
    <row r="273" customFormat="false" ht="15" hidden="false" customHeight="false" outlineLevel="0" collapsed="false">
      <c r="A273" s="18"/>
      <c r="B273" s="18"/>
      <c r="C273" s="18"/>
      <c r="D273" s="18"/>
      <c r="E273" s="25"/>
      <c r="F273" s="25"/>
      <c r="G273" s="18"/>
      <c r="H273" s="26"/>
      <c r="I273" s="18"/>
      <c r="J273" s="18"/>
      <c r="K273" s="18"/>
      <c r="L273" s="27" t="str">
        <f aca="false">IF(C273="","",IF(G273="Concluída",1,N(H273)))</f>
        <v/>
      </c>
      <c r="M273" s="13" t="str">
        <f aca="true">IF(C273="","",IF(G273="Concluída","Concluída",IF(AND(F273&lt;&gt;"",F273&lt;TODAY()),"Atrasada","No prazo")))</f>
        <v/>
      </c>
    </row>
    <row r="274" customFormat="false" ht="15" hidden="false" customHeight="false" outlineLevel="0" collapsed="false">
      <c r="A274" s="18"/>
      <c r="B274" s="18"/>
      <c r="C274" s="18"/>
      <c r="D274" s="18"/>
      <c r="E274" s="25"/>
      <c r="F274" s="25"/>
      <c r="G274" s="18"/>
      <c r="H274" s="26"/>
      <c r="I274" s="18"/>
      <c r="J274" s="18"/>
      <c r="K274" s="18"/>
      <c r="L274" s="27" t="str">
        <f aca="false">IF(C274="","",IF(G274="Concluída",1,N(H274)))</f>
        <v/>
      </c>
      <c r="M274" s="13" t="str">
        <f aca="true">IF(C274="","",IF(G274="Concluída","Concluída",IF(AND(F274&lt;&gt;"",F274&lt;TODAY()),"Atrasada","No prazo")))</f>
        <v/>
      </c>
    </row>
    <row r="275" customFormat="false" ht="15" hidden="false" customHeight="false" outlineLevel="0" collapsed="false">
      <c r="A275" s="18"/>
      <c r="B275" s="18"/>
      <c r="C275" s="18"/>
      <c r="D275" s="18"/>
      <c r="E275" s="25"/>
      <c r="F275" s="25"/>
      <c r="G275" s="18"/>
      <c r="H275" s="26"/>
      <c r="I275" s="18"/>
      <c r="J275" s="18"/>
      <c r="K275" s="18"/>
      <c r="L275" s="27" t="str">
        <f aca="false">IF(C275="","",IF(G275="Concluída",1,N(H275)))</f>
        <v/>
      </c>
      <c r="M275" s="13" t="str">
        <f aca="true">IF(C275="","",IF(G275="Concluída","Concluída",IF(AND(F275&lt;&gt;"",F275&lt;TODAY()),"Atrasada","No prazo")))</f>
        <v/>
      </c>
    </row>
    <row r="276" customFormat="false" ht="15" hidden="false" customHeight="false" outlineLevel="0" collapsed="false">
      <c r="A276" s="18"/>
      <c r="B276" s="18"/>
      <c r="C276" s="18"/>
      <c r="D276" s="18"/>
      <c r="E276" s="25"/>
      <c r="F276" s="25"/>
      <c r="G276" s="18"/>
      <c r="H276" s="26"/>
      <c r="I276" s="18"/>
      <c r="J276" s="18"/>
      <c r="K276" s="18"/>
      <c r="L276" s="27" t="str">
        <f aca="false">IF(C276="","",IF(G276="Concluída",1,N(H276)))</f>
        <v/>
      </c>
      <c r="M276" s="13" t="str">
        <f aca="true">IF(C276="","",IF(G276="Concluída","Concluída",IF(AND(F276&lt;&gt;"",F276&lt;TODAY()),"Atrasada","No prazo")))</f>
        <v/>
      </c>
    </row>
    <row r="277" customFormat="false" ht="15" hidden="false" customHeight="false" outlineLevel="0" collapsed="false">
      <c r="A277" s="18"/>
      <c r="B277" s="18"/>
      <c r="C277" s="18"/>
      <c r="D277" s="18"/>
      <c r="E277" s="25"/>
      <c r="F277" s="25"/>
      <c r="G277" s="18"/>
      <c r="H277" s="26"/>
      <c r="I277" s="18"/>
      <c r="J277" s="18"/>
      <c r="K277" s="18"/>
      <c r="L277" s="27" t="str">
        <f aca="false">IF(C277="","",IF(G277="Concluída",1,N(H277)))</f>
        <v/>
      </c>
      <c r="M277" s="13" t="str">
        <f aca="true">IF(C277="","",IF(G277="Concluída","Concluída",IF(AND(F277&lt;&gt;"",F277&lt;TODAY()),"Atrasada","No prazo")))</f>
        <v/>
      </c>
    </row>
    <row r="278" customFormat="false" ht="15" hidden="false" customHeight="false" outlineLevel="0" collapsed="false">
      <c r="A278" s="18"/>
      <c r="B278" s="18"/>
      <c r="C278" s="18"/>
      <c r="D278" s="18"/>
      <c r="E278" s="25"/>
      <c r="F278" s="25"/>
      <c r="G278" s="18"/>
      <c r="H278" s="26"/>
      <c r="I278" s="18"/>
      <c r="J278" s="18"/>
      <c r="K278" s="18"/>
      <c r="L278" s="27" t="str">
        <f aca="false">IF(C278="","",IF(G278="Concluída",1,N(H278)))</f>
        <v/>
      </c>
      <c r="M278" s="13" t="str">
        <f aca="true">IF(C278="","",IF(G278="Concluída","Concluída",IF(AND(F278&lt;&gt;"",F278&lt;TODAY()),"Atrasada","No prazo")))</f>
        <v/>
      </c>
    </row>
    <row r="279" customFormat="false" ht="15" hidden="false" customHeight="false" outlineLevel="0" collapsed="false">
      <c r="A279" s="18"/>
      <c r="B279" s="18"/>
      <c r="C279" s="18"/>
      <c r="D279" s="18"/>
      <c r="E279" s="25"/>
      <c r="F279" s="25"/>
      <c r="G279" s="18"/>
      <c r="H279" s="26"/>
      <c r="I279" s="18"/>
      <c r="J279" s="18"/>
      <c r="K279" s="18"/>
      <c r="L279" s="27" t="str">
        <f aca="false">IF(C279="","",IF(G279="Concluída",1,N(H279)))</f>
        <v/>
      </c>
      <c r="M279" s="13" t="str">
        <f aca="true">IF(C279="","",IF(G279="Concluída","Concluída",IF(AND(F279&lt;&gt;"",F279&lt;TODAY()),"Atrasada","No prazo")))</f>
        <v/>
      </c>
    </row>
    <row r="280" customFormat="false" ht="15" hidden="false" customHeight="false" outlineLevel="0" collapsed="false">
      <c r="A280" s="18"/>
      <c r="B280" s="18"/>
      <c r="C280" s="18"/>
      <c r="D280" s="18"/>
      <c r="E280" s="25"/>
      <c r="F280" s="25"/>
      <c r="G280" s="18"/>
      <c r="H280" s="26"/>
      <c r="I280" s="18"/>
      <c r="J280" s="18"/>
      <c r="K280" s="18"/>
      <c r="L280" s="27" t="str">
        <f aca="false">IF(C280="","",IF(G280="Concluída",1,N(H280)))</f>
        <v/>
      </c>
      <c r="M280" s="13" t="str">
        <f aca="true">IF(C280="","",IF(G280="Concluída","Concluída",IF(AND(F280&lt;&gt;"",F280&lt;TODAY()),"Atrasada","No prazo")))</f>
        <v/>
      </c>
    </row>
    <row r="281" customFormat="false" ht="15" hidden="false" customHeight="false" outlineLevel="0" collapsed="false">
      <c r="A281" s="18"/>
      <c r="B281" s="18"/>
      <c r="C281" s="18"/>
      <c r="D281" s="18"/>
      <c r="E281" s="25"/>
      <c r="F281" s="25"/>
      <c r="G281" s="18"/>
      <c r="H281" s="26"/>
      <c r="I281" s="18"/>
      <c r="J281" s="18"/>
      <c r="K281" s="18"/>
      <c r="L281" s="27" t="str">
        <f aca="false">IF(C281="","",IF(G281="Concluída",1,N(H281)))</f>
        <v/>
      </c>
      <c r="M281" s="13" t="str">
        <f aca="true">IF(C281="","",IF(G281="Concluída","Concluída",IF(AND(F281&lt;&gt;"",F281&lt;TODAY()),"Atrasada","No prazo")))</f>
        <v/>
      </c>
    </row>
    <row r="282" customFormat="false" ht="15" hidden="false" customHeight="false" outlineLevel="0" collapsed="false">
      <c r="A282" s="18"/>
      <c r="B282" s="18"/>
      <c r="C282" s="18"/>
      <c r="D282" s="18"/>
      <c r="E282" s="25"/>
      <c r="F282" s="25"/>
      <c r="G282" s="18"/>
      <c r="H282" s="26"/>
      <c r="I282" s="18"/>
      <c r="J282" s="18"/>
      <c r="K282" s="18"/>
      <c r="L282" s="27" t="str">
        <f aca="false">IF(C282="","",IF(G282="Concluída",1,N(H282)))</f>
        <v/>
      </c>
      <c r="M282" s="13" t="str">
        <f aca="true">IF(C282="","",IF(G282="Concluída","Concluída",IF(AND(F282&lt;&gt;"",F282&lt;TODAY()),"Atrasada","No prazo")))</f>
        <v/>
      </c>
    </row>
    <row r="283" customFormat="false" ht="15" hidden="false" customHeight="false" outlineLevel="0" collapsed="false">
      <c r="A283" s="18"/>
      <c r="B283" s="18"/>
      <c r="C283" s="18"/>
      <c r="D283" s="18"/>
      <c r="E283" s="25"/>
      <c r="F283" s="25"/>
      <c r="G283" s="18"/>
      <c r="H283" s="26"/>
      <c r="I283" s="18"/>
      <c r="J283" s="18"/>
      <c r="K283" s="18"/>
      <c r="L283" s="27" t="str">
        <f aca="false">IF(C283="","",IF(G283="Concluída",1,N(H283)))</f>
        <v/>
      </c>
      <c r="M283" s="13" t="str">
        <f aca="true">IF(C283="","",IF(G283="Concluída","Concluída",IF(AND(F283&lt;&gt;"",F283&lt;TODAY()),"Atrasada","No prazo")))</f>
        <v/>
      </c>
    </row>
    <row r="284" customFormat="false" ht="15" hidden="false" customHeight="false" outlineLevel="0" collapsed="false">
      <c r="A284" s="18"/>
      <c r="B284" s="18"/>
      <c r="C284" s="18"/>
      <c r="D284" s="18"/>
      <c r="E284" s="25"/>
      <c r="F284" s="25"/>
      <c r="G284" s="18"/>
      <c r="H284" s="26"/>
      <c r="I284" s="18"/>
      <c r="J284" s="18"/>
      <c r="K284" s="18"/>
      <c r="L284" s="27" t="str">
        <f aca="false">IF(C284="","",IF(G284="Concluída",1,N(H284)))</f>
        <v/>
      </c>
      <c r="M284" s="13" t="str">
        <f aca="true">IF(C284="","",IF(G284="Concluída","Concluída",IF(AND(F284&lt;&gt;"",F284&lt;TODAY()),"Atrasada","No prazo")))</f>
        <v/>
      </c>
    </row>
    <row r="285" customFormat="false" ht="15" hidden="false" customHeight="false" outlineLevel="0" collapsed="false">
      <c r="A285" s="18"/>
      <c r="B285" s="18"/>
      <c r="C285" s="18"/>
      <c r="D285" s="18"/>
      <c r="E285" s="25"/>
      <c r="F285" s="25"/>
      <c r="G285" s="18"/>
      <c r="H285" s="26"/>
      <c r="I285" s="18"/>
      <c r="J285" s="18"/>
      <c r="K285" s="18"/>
      <c r="L285" s="27" t="str">
        <f aca="false">IF(C285="","",IF(G285="Concluída",1,N(H285)))</f>
        <v/>
      </c>
      <c r="M285" s="13" t="str">
        <f aca="true">IF(C285="","",IF(G285="Concluída","Concluída",IF(AND(F285&lt;&gt;"",F285&lt;TODAY()),"Atrasada","No prazo")))</f>
        <v/>
      </c>
    </row>
    <row r="286" customFormat="false" ht="15" hidden="false" customHeight="false" outlineLevel="0" collapsed="false">
      <c r="A286" s="18"/>
      <c r="B286" s="18"/>
      <c r="C286" s="18"/>
      <c r="D286" s="18"/>
      <c r="E286" s="25"/>
      <c r="F286" s="25"/>
      <c r="G286" s="18"/>
      <c r="H286" s="26"/>
      <c r="I286" s="18"/>
      <c r="J286" s="18"/>
      <c r="K286" s="18"/>
      <c r="L286" s="27" t="str">
        <f aca="false">IF(C286="","",IF(G286="Concluída",1,N(H286)))</f>
        <v/>
      </c>
      <c r="M286" s="13" t="str">
        <f aca="true">IF(C286="","",IF(G286="Concluída","Concluída",IF(AND(F286&lt;&gt;"",F286&lt;TODAY()),"Atrasada","No prazo")))</f>
        <v/>
      </c>
    </row>
    <row r="287" customFormat="false" ht="15" hidden="false" customHeight="false" outlineLevel="0" collapsed="false">
      <c r="A287" s="18"/>
      <c r="B287" s="18"/>
      <c r="C287" s="18"/>
      <c r="D287" s="18"/>
      <c r="E287" s="25"/>
      <c r="F287" s="25"/>
      <c r="G287" s="18"/>
      <c r="H287" s="26"/>
      <c r="I287" s="18"/>
      <c r="J287" s="18"/>
      <c r="K287" s="18"/>
      <c r="L287" s="27" t="str">
        <f aca="false">IF(C287="","",IF(G287="Concluída",1,N(H287)))</f>
        <v/>
      </c>
      <c r="M287" s="13" t="str">
        <f aca="true">IF(C287="","",IF(G287="Concluída","Concluída",IF(AND(F287&lt;&gt;"",F287&lt;TODAY()),"Atrasada","No prazo")))</f>
        <v/>
      </c>
    </row>
    <row r="288" customFormat="false" ht="15" hidden="false" customHeight="false" outlineLevel="0" collapsed="false">
      <c r="A288" s="18"/>
      <c r="B288" s="18"/>
      <c r="C288" s="18"/>
      <c r="D288" s="18"/>
      <c r="E288" s="25"/>
      <c r="F288" s="25"/>
      <c r="G288" s="18"/>
      <c r="H288" s="26"/>
      <c r="I288" s="18"/>
      <c r="J288" s="18"/>
      <c r="K288" s="18"/>
      <c r="L288" s="27" t="str">
        <f aca="false">IF(C288="","",IF(G288="Concluída",1,N(H288)))</f>
        <v/>
      </c>
      <c r="M288" s="13" t="str">
        <f aca="true">IF(C288="","",IF(G288="Concluída","Concluída",IF(AND(F288&lt;&gt;"",F288&lt;TODAY()),"Atrasada","No prazo")))</f>
        <v/>
      </c>
    </row>
    <row r="289" customFormat="false" ht="15" hidden="false" customHeight="false" outlineLevel="0" collapsed="false">
      <c r="A289" s="18"/>
      <c r="B289" s="18"/>
      <c r="C289" s="18"/>
      <c r="D289" s="18"/>
      <c r="E289" s="25"/>
      <c r="F289" s="25"/>
      <c r="G289" s="18"/>
      <c r="H289" s="26"/>
      <c r="I289" s="18"/>
      <c r="J289" s="18"/>
      <c r="K289" s="18"/>
      <c r="L289" s="27" t="str">
        <f aca="false">IF(C289="","",IF(G289="Concluída",1,N(H289)))</f>
        <v/>
      </c>
      <c r="M289" s="13" t="str">
        <f aca="true">IF(C289="","",IF(G289="Concluída","Concluída",IF(AND(F289&lt;&gt;"",F289&lt;TODAY()),"Atrasada","No prazo")))</f>
        <v/>
      </c>
    </row>
    <row r="290" customFormat="false" ht="15" hidden="false" customHeight="false" outlineLevel="0" collapsed="false">
      <c r="A290" s="18"/>
      <c r="B290" s="18"/>
      <c r="C290" s="18"/>
      <c r="D290" s="18"/>
      <c r="E290" s="25"/>
      <c r="F290" s="25"/>
      <c r="G290" s="18"/>
      <c r="H290" s="26"/>
      <c r="I290" s="18"/>
      <c r="J290" s="18"/>
      <c r="K290" s="18"/>
      <c r="L290" s="27" t="str">
        <f aca="false">IF(C290="","",IF(G290="Concluída",1,N(H290)))</f>
        <v/>
      </c>
      <c r="M290" s="13" t="str">
        <f aca="true">IF(C290="","",IF(G290="Concluída","Concluída",IF(AND(F290&lt;&gt;"",F290&lt;TODAY()),"Atrasada","No prazo")))</f>
        <v/>
      </c>
    </row>
    <row r="291" customFormat="false" ht="15" hidden="false" customHeight="false" outlineLevel="0" collapsed="false">
      <c r="A291" s="18"/>
      <c r="B291" s="18"/>
      <c r="C291" s="18"/>
      <c r="D291" s="18"/>
      <c r="E291" s="25"/>
      <c r="F291" s="25"/>
      <c r="G291" s="18"/>
      <c r="H291" s="26"/>
      <c r="I291" s="18"/>
      <c r="J291" s="18"/>
      <c r="K291" s="18"/>
      <c r="L291" s="27" t="str">
        <f aca="false">IF(C291="","",IF(G291="Concluída",1,N(H291)))</f>
        <v/>
      </c>
      <c r="M291" s="13" t="str">
        <f aca="true">IF(C291="","",IF(G291="Concluída","Concluída",IF(AND(F291&lt;&gt;"",F291&lt;TODAY()),"Atrasada","No prazo")))</f>
        <v/>
      </c>
    </row>
    <row r="292" customFormat="false" ht="15" hidden="false" customHeight="false" outlineLevel="0" collapsed="false">
      <c r="A292" s="18"/>
      <c r="B292" s="18"/>
      <c r="C292" s="18"/>
      <c r="D292" s="18"/>
      <c r="E292" s="25"/>
      <c r="F292" s="25"/>
      <c r="G292" s="18"/>
      <c r="H292" s="26"/>
      <c r="I292" s="18"/>
      <c r="J292" s="18"/>
      <c r="K292" s="18"/>
      <c r="L292" s="27" t="str">
        <f aca="false">IF(C292="","",IF(G292="Concluída",1,N(H292)))</f>
        <v/>
      </c>
      <c r="M292" s="13" t="str">
        <f aca="true">IF(C292="","",IF(G292="Concluída","Concluída",IF(AND(F292&lt;&gt;"",F292&lt;TODAY()),"Atrasada","No prazo")))</f>
        <v/>
      </c>
    </row>
    <row r="293" customFormat="false" ht="15" hidden="false" customHeight="false" outlineLevel="0" collapsed="false">
      <c r="A293" s="18"/>
      <c r="B293" s="18"/>
      <c r="C293" s="18"/>
      <c r="D293" s="18"/>
      <c r="E293" s="25"/>
      <c r="F293" s="25"/>
      <c r="G293" s="18"/>
      <c r="H293" s="26"/>
      <c r="I293" s="18"/>
      <c r="J293" s="18"/>
      <c r="K293" s="18"/>
      <c r="L293" s="27" t="str">
        <f aca="false">IF(C293="","",IF(G293="Concluída",1,N(H293)))</f>
        <v/>
      </c>
      <c r="M293" s="13" t="str">
        <f aca="true">IF(C293="","",IF(G293="Concluída","Concluída",IF(AND(F293&lt;&gt;"",F293&lt;TODAY()),"Atrasada","No prazo")))</f>
        <v/>
      </c>
    </row>
    <row r="294" customFormat="false" ht="15" hidden="false" customHeight="false" outlineLevel="0" collapsed="false">
      <c r="A294" s="18"/>
      <c r="B294" s="18"/>
      <c r="C294" s="18"/>
      <c r="D294" s="18"/>
      <c r="E294" s="25"/>
      <c r="F294" s="25"/>
      <c r="G294" s="18"/>
      <c r="H294" s="26"/>
      <c r="I294" s="18"/>
      <c r="J294" s="18"/>
      <c r="K294" s="18"/>
      <c r="L294" s="27" t="str">
        <f aca="false">IF(C294="","",IF(G294="Concluída",1,N(H294)))</f>
        <v/>
      </c>
      <c r="M294" s="13" t="str">
        <f aca="true">IF(C294="","",IF(G294="Concluída","Concluída",IF(AND(F294&lt;&gt;"",F294&lt;TODAY()),"Atrasada","No prazo")))</f>
        <v/>
      </c>
    </row>
    <row r="295" customFormat="false" ht="15" hidden="false" customHeight="false" outlineLevel="0" collapsed="false">
      <c r="A295" s="18"/>
      <c r="B295" s="18"/>
      <c r="C295" s="18"/>
      <c r="D295" s="18"/>
      <c r="E295" s="25"/>
      <c r="F295" s="25"/>
      <c r="G295" s="18"/>
      <c r="H295" s="26"/>
      <c r="I295" s="18"/>
      <c r="J295" s="18"/>
      <c r="K295" s="18"/>
      <c r="L295" s="27" t="str">
        <f aca="false">IF(C295="","",IF(G295="Concluída",1,N(H295)))</f>
        <v/>
      </c>
      <c r="M295" s="13" t="str">
        <f aca="true">IF(C295="","",IF(G295="Concluída","Concluída",IF(AND(F295&lt;&gt;"",F295&lt;TODAY()),"Atrasada","No prazo")))</f>
        <v/>
      </c>
    </row>
    <row r="296" customFormat="false" ht="15" hidden="false" customHeight="false" outlineLevel="0" collapsed="false">
      <c r="A296" s="18"/>
      <c r="B296" s="18"/>
      <c r="C296" s="18"/>
      <c r="D296" s="18"/>
      <c r="E296" s="25"/>
      <c r="F296" s="25"/>
      <c r="G296" s="18"/>
      <c r="H296" s="26"/>
      <c r="I296" s="18"/>
      <c r="J296" s="18"/>
      <c r="K296" s="18"/>
      <c r="L296" s="27" t="str">
        <f aca="false">IF(C296="","",IF(G296="Concluída",1,N(H296)))</f>
        <v/>
      </c>
      <c r="M296" s="13" t="str">
        <f aca="true">IF(C296="","",IF(G296="Concluída","Concluída",IF(AND(F296&lt;&gt;"",F296&lt;TODAY()),"Atrasada","No prazo")))</f>
        <v/>
      </c>
    </row>
    <row r="297" customFormat="false" ht="15" hidden="false" customHeight="false" outlineLevel="0" collapsed="false">
      <c r="A297" s="18"/>
      <c r="B297" s="18"/>
      <c r="C297" s="18"/>
      <c r="D297" s="18"/>
      <c r="E297" s="25"/>
      <c r="F297" s="25"/>
      <c r="G297" s="18"/>
      <c r="H297" s="26"/>
      <c r="I297" s="18"/>
      <c r="J297" s="18"/>
      <c r="K297" s="18"/>
      <c r="L297" s="27" t="str">
        <f aca="false">IF(C297="","",IF(G297="Concluída",1,N(H297)))</f>
        <v/>
      </c>
      <c r="M297" s="13" t="str">
        <f aca="true">IF(C297="","",IF(G297="Concluída","Concluída",IF(AND(F297&lt;&gt;"",F297&lt;TODAY()),"Atrasada","No prazo")))</f>
        <v/>
      </c>
    </row>
    <row r="298" customFormat="false" ht="15" hidden="false" customHeight="false" outlineLevel="0" collapsed="false">
      <c r="A298" s="18"/>
      <c r="B298" s="18"/>
      <c r="C298" s="18"/>
      <c r="D298" s="18"/>
      <c r="E298" s="25"/>
      <c r="F298" s="25"/>
      <c r="G298" s="18"/>
      <c r="H298" s="26"/>
      <c r="I298" s="18"/>
      <c r="J298" s="18"/>
      <c r="K298" s="18"/>
      <c r="L298" s="27" t="str">
        <f aca="false">IF(C298="","",IF(G298="Concluída",1,N(H298)))</f>
        <v/>
      </c>
      <c r="M298" s="13" t="str">
        <f aca="true">IF(C298="","",IF(G298="Concluída","Concluída",IF(AND(F298&lt;&gt;"",F298&lt;TODAY()),"Atrasada","No prazo")))</f>
        <v/>
      </c>
    </row>
    <row r="299" customFormat="false" ht="15" hidden="false" customHeight="false" outlineLevel="0" collapsed="false">
      <c r="A299" s="18"/>
      <c r="B299" s="18"/>
      <c r="C299" s="18"/>
      <c r="D299" s="18"/>
      <c r="E299" s="25"/>
      <c r="F299" s="25"/>
      <c r="G299" s="18"/>
      <c r="H299" s="26"/>
      <c r="I299" s="18"/>
      <c r="J299" s="18"/>
      <c r="K299" s="18"/>
      <c r="L299" s="27" t="str">
        <f aca="false">IF(C299="","",IF(G299="Concluída",1,N(H299)))</f>
        <v/>
      </c>
      <c r="M299" s="13" t="str">
        <f aca="true">IF(C299="","",IF(G299="Concluída","Concluída",IF(AND(F299&lt;&gt;"",F299&lt;TODAY()),"Atrasada","No prazo")))</f>
        <v/>
      </c>
    </row>
    <row r="300" customFormat="false" ht="15" hidden="false" customHeight="false" outlineLevel="0" collapsed="false">
      <c r="A300" s="18"/>
      <c r="B300" s="18"/>
      <c r="C300" s="18"/>
      <c r="D300" s="18"/>
      <c r="E300" s="25"/>
      <c r="F300" s="25"/>
      <c r="G300" s="18"/>
      <c r="H300" s="26"/>
      <c r="I300" s="18"/>
      <c r="J300" s="18"/>
      <c r="K300" s="18"/>
      <c r="L300" s="27" t="str">
        <f aca="false">IF(C300="","",IF(G300="Concluída",1,N(H300)))</f>
        <v/>
      </c>
      <c r="M300" s="13" t="str">
        <f aca="true">IF(C300="","",IF(G300="Concluída","Concluída",IF(AND(F300&lt;&gt;"",F300&lt;TODAY()),"Atrasada","No prazo")))</f>
        <v/>
      </c>
    </row>
    <row r="301" customFormat="false" ht="15" hidden="false" customHeight="false" outlineLevel="0" collapsed="false">
      <c r="A301" s="18"/>
      <c r="B301" s="18"/>
      <c r="C301" s="18"/>
      <c r="D301" s="18"/>
      <c r="E301" s="25"/>
      <c r="F301" s="25"/>
      <c r="G301" s="18"/>
      <c r="H301" s="26"/>
      <c r="I301" s="18"/>
      <c r="J301" s="18"/>
      <c r="K301" s="18"/>
      <c r="L301" s="27" t="str">
        <f aca="false">IF(C301="","",IF(G301="Concluída",1,N(H301)))</f>
        <v/>
      </c>
      <c r="M301" s="13" t="str">
        <f aca="true">IF(C301="","",IF(G301="Concluída","Concluída",IF(AND(F301&lt;&gt;"",F301&lt;TODAY()),"Atrasada","No prazo")))</f>
        <v/>
      </c>
    </row>
    <row r="302" customFormat="false" ht="15" hidden="false" customHeight="false" outlineLevel="0" collapsed="false">
      <c r="A302" s="18"/>
      <c r="B302" s="18"/>
      <c r="C302" s="18"/>
      <c r="D302" s="18"/>
      <c r="E302" s="25"/>
      <c r="F302" s="25"/>
      <c r="G302" s="18"/>
      <c r="H302" s="26"/>
      <c r="I302" s="18"/>
      <c r="J302" s="18"/>
      <c r="K302" s="18"/>
      <c r="L302" s="27" t="str">
        <f aca="false">IF(C302="","",IF(G302="Concluída",1,N(H302)))</f>
        <v/>
      </c>
      <c r="M302" s="13" t="str">
        <f aca="true">IF(C302="","",IF(G302="Concluída","Concluída",IF(AND(F302&lt;&gt;"",F302&lt;TODAY()),"Atrasada","No prazo")))</f>
        <v/>
      </c>
    </row>
    <row r="303" customFormat="false" ht="15" hidden="false" customHeight="false" outlineLevel="0" collapsed="false">
      <c r="A303" s="18"/>
      <c r="B303" s="18"/>
      <c r="C303" s="18"/>
      <c r="D303" s="18"/>
      <c r="E303" s="25"/>
      <c r="F303" s="25"/>
      <c r="G303" s="18"/>
      <c r="H303" s="26"/>
      <c r="I303" s="18"/>
      <c r="J303" s="18"/>
      <c r="K303" s="18"/>
      <c r="L303" s="27" t="str">
        <f aca="false">IF(C303="","",IF(G303="Concluída",1,N(H303)))</f>
        <v/>
      </c>
      <c r="M303" s="13" t="str">
        <f aca="true">IF(C303="","",IF(G303="Concluída","Concluída",IF(AND(F303&lt;&gt;"",F303&lt;TODAY()),"Atrasada","No prazo")))</f>
        <v/>
      </c>
    </row>
    <row r="304" customFormat="false" ht="15" hidden="false" customHeight="false" outlineLevel="0" collapsed="false">
      <c r="A304" s="18"/>
      <c r="B304" s="18"/>
      <c r="C304" s="18"/>
      <c r="D304" s="18"/>
      <c r="E304" s="25"/>
      <c r="F304" s="25"/>
      <c r="G304" s="18"/>
      <c r="H304" s="26"/>
      <c r="I304" s="18"/>
      <c r="J304" s="18"/>
      <c r="K304" s="18"/>
      <c r="L304" s="27" t="str">
        <f aca="false">IF(C304="","",IF(G304="Concluída",1,N(H304)))</f>
        <v/>
      </c>
      <c r="M304" s="13" t="str">
        <f aca="true">IF(C304="","",IF(G304="Concluída","Concluída",IF(AND(F304&lt;&gt;"",F304&lt;TODAY()),"Atrasada","No prazo")))</f>
        <v/>
      </c>
    </row>
    <row r="305" customFormat="false" ht="15" hidden="false" customHeight="false" outlineLevel="0" collapsed="false">
      <c r="A305" s="18"/>
      <c r="B305" s="18"/>
      <c r="C305" s="18"/>
      <c r="D305" s="18"/>
      <c r="E305" s="25"/>
      <c r="F305" s="25"/>
      <c r="G305" s="18"/>
      <c r="H305" s="26"/>
      <c r="I305" s="18"/>
      <c r="J305" s="18"/>
      <c r="K305" s="18"/>
      <c r="L305" s="27" t="str">
        <f aca="false">IF(C305="","",IF(G305="Concluída",1,N(H305)))</f>
        <v/>
      </c>
      <c r="M305" s="13" t="str">
        <f aca="true">IF(C305="","",IF(G305="Concluída","Concluída",IF(AND(F305&lt;&gt;"",F305&lt;TODAY()),"Atrasada","No prazo")))</f>
        <v/>
      </c>
    </row>
    <row r="306" customFormat="false" ht="15" hidden="false" customHeight="false" outlineLevel="0" collapsed="false">
      <c r="A306" s="18"/>
      <c r="B306" s="18"/>
      <c r="C306" s="18"/>
      <c r="D306" s="18"/>
      <c r="E306" s="25"/>
      <c r="F306" s="25"/>
      <c r="G306" s="18"/>
      <c r="H306" s="26"/>
      <c r="I306" s="18"/>
      <c r="J306" s="18"/>
      <c r="K306" s="18"/>
      <c r="L306" s="27" t="str">
        <f aca="false">IF(C306="","",IF(G306="Concluída",1,N(H306)))</f>
        <v/>
      </c>
      <c r="M306" s="13" t="str">
        <f aca="true">IF(C306="","",IF(G306="Concluída","Concluída",IF(AND(F306&lt;&gt;"",F306&lt;TODAY()),"Atrasada","No prazo")))</f>
        <v/>
      </c>
    </row>
    <row r="307" customFormat="false" ht="15" hidden="false" customHeight="false" outlineLevel="0" collapsed="false">
      <c r="A307" s="18"/>
      <c r="B307" s="18"/>
      <c r="C307" s="18"/>
      <c r="D307" s="18"/>
      <c r="E307" s="25"/>
      <c r="F307" s="25"/>
      <c r="G307" s="18"/>
      <c r="H307" s="26"/>
      <c r="I307" s="18"/>
      <c r="J307" s="18"/>
      <c r="K307" s="18"/>
      <c r="L307" s="27" t="str">
        <f aca="false">IF(C307="","",IF(G307="Concluída",1,N(H307)))</f>
        <v/>
      </c>
      <c r="M307" s="13" t="str">
        <f aca="true">IF(C307="","",IF(G307="Concluída","Concluída",IF(AND(F307&lt;&gt;"",F307&lt;TODAY()),"Atrasada","No prazo")))</f>
        <v/>
      </c>
    </row>
    <row r="308" customFormat="false" ht="15" hidden="false" customHeight="false" outlineLevel="0" collapsed="false">
      <c r="A308" s="18"/>
      <c r="B308" s="18"/>
      <c r="C308" s="18"/>
      <c r="D308" s="18"/>
      <c r="E308" s="25"/>
      <c r="F308" s="25"/>
      <c r="G308" s="18"/>
      <c r="H308" s="26"/>
      <c r="I308" s="18"/>
      <c r="J308" s="18"/>
      <c r="K308" s="18"/>
      <c r="L308" s="27" t="str">
        <f aca="false">IF(C308="","",IF(G308="Concluída",1,N(H308)))</f>
        <v/>
      </c>
      <c r="M308" s="13" t="str">
        <f aca="true">IF(C308="","",IF(G308="Concluída","Concluída",IF(AND(F308&lt;&gt;"",F308&lt;TODAY()),"Atrasada","No prazo")))</f>
        <v/>
      </c>
    </row>
    <row r="309" customFormat="false" ht="15" hidden="false" customHeight="false" outlineLevel="0" collapsed="false">
      <c r="A309" s="18"/>
      <c r="B309" s="18"/>
      <c r="C309" s="18"/>
      <c r="D309" s="18"/>
      <c r="E309" s="25"/>
      <c r="F309" s="25"/>
      <c r="G309" s="18"/>
      <c r="H309" s="26"/>
      <c r="I309" s="18"/>
      <c r="J309" s="18"/>
      <c r="K309" s="18"/>
      <c r="L309" s="27" t="str">
        <f aca="false">IF(C309="","",IF(G309="Concluída",1,N(H309)))</f>
        <v/>
      </c>
      <c r="M309" s="13" t="str">
        <f aca="true">IF(C309="","",IF(G309="Concluída","Concluída",IF(AND(F309&lt;&gt;"",F309&lt;TODAY()),"Atrasada","No prazo")))</f>
        <v/>
      </c>
    </row>
    <row r="310" customFormat="false" ht="15" hidden="false" customHeight="false" outlineLevel="0" collapsed="false">
      <c r="A310" s="18"/>
      <c r="B310" s="18"/>
      <c r="C310" s="18"/>
      <c r="D310" s="18"/>
      <c r="E310" s="25"/>
      <c r="F310" s="25"/>
      <c r="G310" s="18"/>
      <c r="H310" s="26"/>
      <c r="I310" s="18"/>
      <c r="J310" s="18"/>
      <c r="K310" s="18"/>
      <c r="L310" s="27" t="str">
        <f aca="false">IF(C310="","",IF(G310="Concluída",1,N(H310)))</f>
        <v/>
      </c>
      <c r="M310" s="13" t="str">
        <f aca="true">IF(C310="","",IF(G310="Concluída","Concluída",IF(AND(F310&lt;&gt;"",F310&lt;TODAY()),"Atrasada","No prazo")))</f>
        <v/>
      </c>
    </row>
    <row r="311" customFormat="false" ht="15" hidden="false" customHeight="false" outlineLevel="0" collapsed="false">
      <c r="A311" s="18"/>
      <c r="B311" s="18"/>
      <c r="C311" s="18"/>
      <c r="D311" s="18"/>
      <c r="E311" s="25"/>
      <c r="F311" s="25"/>
      <c r="G311" s="18"/>
      <c r="H311" s="26"/>
      <c r="I311" s="18"/>
      <c r="J311" s="18"/>
      <c r="K311" s="18"/>
      <c r="L311" s="27" t="str">
        <f aca="false">IF(C311="","",IF(G311="Concluída",1,N(H311)))</f>
        <v/>
      </c>
      <c r="M311" s="13" t="str">
        <f aca="true">IF(C311="","",IF(G311="Concluída","Concluída",IF(AND(F311&lt;&gt;"",F311&lt;TODAY()),"Atrasada","No prazo")))</f>
        <v/>
      </c>
    </row>
    <row r="312" customFormat="false" ht="15" hidden="false" customHeight="false" outlineLevel="0" collapsed="false">
      <c r="A312" s="18"/>
      <c r="B312" s="18"/>
      <c r="C312" s="18"/>
      <c r="D312" s="18"/>
      <c r="E312" s="25"/>
      <c r="F312" s="25"/>
      <c r="G312" s="18"/>
      <c r="H312" s="26"/>
      <c r="I312" s="18"/>
      <c r="J312" s="18"/>
      <c r="K312" s="18"/>
      <c r="L312" s="27" t="str">
        <f aca="false">IF(C312="","",IF(G312="Concluída",1,N(H312)))</f>
        <v/>
      </c>
      <c r="M312" s="13" t="str">
        <f aca="true">IF(C312="","",IF(G312="Concluída","Concluída",IF(AND(F312&lt;&gt;"",F312&lt;TODAY()),"Atrasada","No prazo")))</f>
        <v/>
      </c>
    </row>
    <row r="313" customFormat="false" ht="15" hidden="false" customHeight="false" outlineLevel="0" collapsed="false">
      <c r="A313" s="18"/>
      <c r="B313" s="18"/>
      <c r="C313" s="18"/>
      <c r="D313" s="18"/>
      <c r="E313" s="25"/>
      <c r="F313" s="25"/>
      <c r="G313" s="18"/>
      <c r="H313" s="26"/>
      <c r="I313" s="18"/>
      <c r="J313" s="18"/>
      <c r="K313" s="18"/>
      <c r="L313" s="27" t="str">
        <f aca="false">IF(C313="","",IF(G313="Concluída",1,N(H313)))</f>
        <v/>
      </c>
      <c r="M313" s="13" t="str">
        <f aca="true">IF(C313="","",IF(G313="Concluída","Concluída",IF(AND(F313&lt;&gt;"",F313&lt;TODAY()),"Atrasada","No prazo")))</f>
        <v/>
      </c>
    </row>
    <row r="314" customFormat="false" ht="15" hidden="false" customHeight="false" outlineLevel="0" collapsed="false">
      <c r="A314" s="18"/>
      <c r="B314" s="18"/>
      <c r="C314" s="18"/>
      <c r="D314" s="18"/>
      <c r="E314" s="25"/>
      <c r="F314" s="25"/>
      <c r="G314" s="18"/>
      <c r="H314" s="26"/>
      <c r="I314" s="18"/>
      <c r="J314" s="18"/>
      <c r="K314" s="18"/>
      <c r="L314" s="27" t="str">
        <f aca="false">IF(C314="","",IF(G314="Concluída",1,N(H314)))</f>
        <v/>
      </c>
      <c r="M314" s="13" t="str">
        <f aca="true">IF(C314="","",IF(G314="Concluída","Concluída",IF(AND(F314&lt;&gt;"",F314&lt;TODAY()),"Atrasada","No prazo")))</f>
        <v/>
      </c>
    </row>
    <row r="315" customFormat="false" ht="15" hidden="false" customHeight="false" outlineLevel="0" collapsed="false">
      <c r="A315" s="18"/>
      <c r="B315" s="18"/>
      <c r="C315" s="18"/>
      <c r="D315" s="18"/>
      <c r="E315" s="25"/>
      <c r="F315" s="25"/>
      <c r="G315" s="18"/>
      <c r="H315" s="26"/>
      <c r="I315" s="18"/>
      <c r="J315" s="18"/>
      <c r="K315" s="18"/>
      <c r="L315" s="27" t="str">
        <f aca="false">IF(C315="","",IF(G315="Concluída",1,N(H315)))</f>
        <v/>
      </c>
      <c r="M315" s="13" t="str">
        <f aca="true">IF(C315="","",IF(G315="Concluída","Concluída",IF(AND(F315&lt;&gt;"",F315&lt;TODAY()),"Atrasada","No prazo")))</f>
        <v/>
      </c>
    </row>
    <row r="316" customFormat="false" ht="15" hidden="false" customHeight="false" outlineLevel="0" collapsed="false">
      <c r="A316" s="18"/>
      <c r="B316" s="18"/>
      <c r="C316" s="18"/>
      <c r="D316" s="18"/>
      <c r="E316" s="25"/>
      <c r="F316" s="25"/>
      <c r="G316" s="18"/>
      <c r="H316" s="26"/>
      <c r="I316" s="18"/>
      <c r="J316" s="18"/>
      <c r="K316" s="18"/>
      <c r="L316" s="27" t="str">
        <f aca="false">IF(C316="","",IF(G316="Concluída",1,N(H316)))</f>
        <v/>
      </c>
      <c r="M316" s="13" t="str">
        <f aca="true">IF(C316="","",IF(G316="Concluída","Concluída",IF(AND(F316&lt;&gt;"",F316&lt;TODAY()),"Atrasada","No prazo")))</f>
        <v/>
      </c>
    </row>
    <row r="317" customFormat="false" ht="15" hidden="false" customHeight="false" outlineLevel="0" collapsed="false">
      <c r="A317" s="18"/>
      <c r="B317" s="18"/>
      <c r="C317" s="18"/>
      <c r="D317" s="18"/>
      <c r="E317" s="25"/>
      <c r="F317" s="25"/>
      <c r="G317" s="18"/>
      <c r="H317" s="26"/>
      <c r="I317" s="18"/>
      <c r="J317" s="18"/>
      <c r="K317" s="18"/>
      <c r="L317" s="27" t="str">
        <f aca="false">IF(C317="","",IF(G317="Concluída",1,N(H317)))</f>
        <v/>
      </c>
      <c r="M317" s="13" t="str">
        <f aca="true">IF(C317="","",IF(G317="Concluída","Concluída",IF(AND(F317&lt;&gt;"",F317&lt;TODAY()),"Atrasada","No prazo")))</f>
        <v/>
      </c>
    </row>
    <row r="318" customFormat="false" ht="15" hidden="false" customHeight="false" outlineLevel="0" collapsed="false">
      <c r="A318" s="18"/>
      <c r="B318" s="18"/>
      <c r="C318" s="18"/>
      <c r="D318" s="18"/>
      <c r="E318" s="25"/>
      <c r="F318" s="25"/>
      <c r="G318" s="18"/>
      <c r="H318" s="26"/>
      <c r="I318" s="18"/>
      <c r="J318" s="18"/>
      <c r="K318" s="18"/>
      <c r="L318" s="27" t="str">
        <f aca="false">IF(C318="","",IF(G318="Concluída",1,N(H318)))</f>
        <v/>
      </c>
      <c r="M318" s="13" t="str">
        <f aca="true">IF(C318="","",IF(G318="Concluída","Concluída",IF(AND(F318&lt;&gt;"",F318&lt;TODAY()),"Atrasada","No prazo")))</f>
        <v/>
      </c>
    </row>
    <row r="319" customFormat="false" ht="15" hidden="false" customHeight="false" outlineLevel="0" collapsed="false">
      <c r="A319" s="18"/>
      <c r="B319" s="18"/>
      <c r="C319" s="18"/>
      <c r="D319" s="18"/>
      <c r="E319" s="25"/>
      <c r="F319" s="25"/>
      <c r="G319" s="18"/>
      <c r="H319" s="26"/>
      <c r="I319" s="18"/>
      <c r="J319" s="18"/>
      <c r="K319" s="18"/>
      <c r="L319" s="27" t="str">
        <f aca="false">IF(C319="","",IF(G319="Concluída",1,N(H319)))</f>
        <v/>
      </c>
      <c r="M319" s="13" t="str">
        <f aca="true">IF(C319="","",IF(G319="Concluída","Concluída",IF(AND(F319&lt;&gt;"",F319&lt;TODAY()),"Atrasada","No prazo")))</f>
        <v/>
      </c>
    </row>
    <row r="320" customFormat="false" ht="15" hidden="false" customHeight="false" outlineLevel="0" collapsed="false">
      <c r="A320" s="18"/>
      <c r="B320" s="18"/>
      <c r="C320" s="18"/>
      <c r="D320" s="18"/>
      <c r="E320" s="25"/>
      <c r="F320" s="25"/>
      <c r="G320" s="18"/>
      <c r="H320" s="26"/>
      <c r="I320" s="18"/>
      <c r="J320" s="18"/>
      <c r="K320" s="18"/>
      <c r="L320" s="27" t="str">
        <f aca="false">IF(C320="","",IF(G320="Concluída",1,N(H320)))</f>
        <v/>
      </c>
      <c r="M320" s="13" t="str">
        <f aca="true">IF(C320="","",IF(G320="Concluída","Concluída",IF(AND(F320&lt;&gt;"",F320&lt;TODAY()),"Atrasada","No prazo")))</f>
        <v/>
      </c>
    </row>
    <row r="321" customFormat="false" ht="15" hidden="false" customHeight="false" outlineLevel="0" collapsed="false">
      <c r="A321" s="18"/>
      <c r="B321" s="18"/>
      <c r="C321" s="18"/>
      <c r="D321" s="18"/>
      <c r="E321" s="25"/>
      <c r="F321" s="25"/>
      <c r="G321" s="18"/>
      <c r="H321" s="26"/>
      <c r="I321" s="18"/>
      <c r="J321" s="18"/>
      <c r="K321" s="18"/>
      <c r="L321" s="27" t="str">
        <f aca="false">IF(C321="","",IF(G321="Concluída",1,N(H321)))</f>
        <v/>
      </c>
      <c r="M321" s="13" t="str">
        <f aca="true">IF(C321="","",IF(G321="Concluída","Concluída",IF(AND(F321&lt;&gt;"",F321&lt;TODAY()),"Atrasada","No prazo")))</f>
        <v/>
      </c>
    </row>
    <row r="322" customFormat="false" ht="15" hidden="false" customHeight="false" outlineLevel="0" collapsed="false">
      <c r="A322" s="18"/>
      <c r="B322" s="18"/>
      <c r="C322" s="18"/>
      <c r="D322" s="18"/>
      <c r="E322" s="25"/>
      <c r="F322" s="25"/>
      <c r="G322" s="18"/>
      <c r="H322" s="26"/>
      <c r="I322" s="18"/>
      <c r="J322" s="18"/>
      <c r="K322" s="18"/>
      <c r="L322" s="27" t="str">
        <f aca="false">IF(C322="","",IF(G322="Concluída",1,N(H322)))</f>
        <v/>
      </c>
      <c r="M322" s="13" t="str">
        <f aca="true">IF(C322="","",IF(G322="Concluída","Concluída",IF(AND(F322&lt;&gt;"",F322&lt;TODAY()),"Atrasada","No prazo")))</f>
        <v/>
      </c>
    </row>
    <row r="323" customFormat="false" ht="15" hidden="false" customHeight="false" outlineLevel="0" collapsed="false">
      <c r="A323" s="18"/>
      <c r="B323" s="18"/>
      <c r="C323" s="18"/>
      <c r="D323" s="18"/>
      <c r="E323" s="25"/>
      <c r="F323" s="25"/>
      <c r="G323" s="18"/>
      <c r="H323" s="26"/>
      <c r="I323" s="18"/>
      <c r="J323" s="18"/>
      <c r="K323" s="18"/>
      <c r="L323" s="27" t="str">
        <f aca="false">IF(C323="","",IF(G323="Concluída",1,N(H323)))</f>
        <v/>
      </c>
      <c r="M323" s="13" t="str">
        <f aca="true">IF(C323="","",IF(G323="Concluída","Concluída",IF(AND(F323&lt;&gt;"",F323&lt;TODAY()),"Atrasada","No prazo")))</f>
        <v/>
      </c>
    </row>
    <row r="324" customFormat="false" ht="15" hidden="false" customHeight="false" outlineLevel="0" collapsed="false">
      <c r="A324" s="18"/>
      <c r="B324" s="18"/>
      <c r="C324" s="18"/>
      <c r="D324" s="18"/>
      <c r="E324" s="25"/>
      <c r="F324" s="25"/>
      <c r="G324" s="18"/>
      <c r="H324" s="26"/>
      <c r="I324" s="18"/>
      <c r="J324" s="18"/>
      <c r="K324" s="18"/>
      <c r="L324" s="27" t="str">
        <f aca="false">IF(C324="","",IF(G324="Concluída",1,N(H324)))</f>
        <v/>
      </c>
      <c r="M324" s="13" t="str">
        <f aca="true">IF(C324="","",IF(G324="Concluída","Concluída",IF(AND(F324&lt;&gt;"",F324&lt;TODAY()),"Atrasada","No prazo")))</f>
        <v/>
      </c>
    </row>
    <row r="325" customFormat="false" ht="15" hidden="false" customHeight="false" outlineLevel="0" collapsed="false">
      <c r="A325" s="18"/>
      <c r="B325" s="18"/>
      <c r="C325" s="18"/>
      <c r="D325" s="18"/>
      <c r="E325" s="25"/>
      <c r="F325" s="25"/>
      <c r="G325" s="18"/>
      <c r="H325" s="26"/>
      <c r="I325" s="18"/>
      <c r="J325" s="18"/>
      <c r="K325" s="18"/>
      <c r="L325" s="27" t="str">
        <f aca="false">IF(C325="","",IF(G325="Concluída",1,N(H325)))</f>
        <v/>
      </c>
      <c r="M325" s="13" t="str">
        <f aca="true">IF(C325="","",IF(G325="Concluída","Concluída",IF(AND(F325&lt;&gt;"",F325&lt;TODAY()),"Atrasada","No prazo")))</f>
        <v/>
      </c>
    </row>
    <row r="326" customFormat="false" ht="15" hidden="false" customHeight="false" outlineLevel="0" collapsed="false">
      <c r="A326" s="18"/>
      <c r="B326" s="18"/>
      <c r="C326" s="18"/>
      <c r="D326" s="18"/>
      <c r="E326" s="25"/>
      <c r="F326" s="25"/>
      <c r="G326" s="18"/>
      <c r="H326" s="26"/>
      <c r="I326" s="18"/>
      <c r="J326" s="18"/>
      <c r="K326" s="18"/>
      <c r="L326" s="27" t="str">
        <f aca="false">IF(C326="","",IF(G326="Concluída",1,N(H326)))</f>
        <v/>
      </c>
      <c r="M326" s="13" t="str">
        <f aca="true">IF(C326="","",IF(G326="Concluída","Concluída",IF(AND(F326&lt;&gt;"",F326&lt;TODAY()),"Atrasada","No prazo")))</f>
        <v/>
      </c>
    </row>
    <row r="327" customFormat="false" ht="15" hidden="false" customHeight="false" outlineLevel="0" collapsed="false">
      <c r="A327" s="18"/>
      <c r="B327" s="18"/>
      <c r="C327" s="18"/>
      <c r="D327" s="18"/>
      <c r="E327" s="25"/>
      <c r="F327" s="25"/>
      <c r="G327" s="18"/>
      <c r="H327" s="26"/>
      <c r="I327" s="18"/>
      <c r="J327" s="18"/>
      <c r="K327" s="18"/>
      <c r="L327" s="27" t="str">
        <f aca="false">IF(C327="","",IF(G327="Concluída",1,N(H327)))</f>
        <v/>
      </c>
      <c r="M327" s="13" t="str">
        <f aca="true">IF(C327="","",IF(G327="Concluída","Concluída",IF(AND(F327&lt;&gt;"",F327&lt;TODAY()),"Atrasada","No prazo")))</f>
        <v/>
      </c>
    </row>
    <row r="328" customFormat="false" ht="15" hidden="false" customHeight="false" outlineLevel="0" collapsed="false">
      <c r="A328" s="18"/>
      <c r="B328" s="18"/>
      <c r="C328" s="18"/>
      <c r="D328" s="18"/>
      <c r="E328" s="25"/>
      <c r="F328" s="25"/>
      <c r="G328" s="18"/>
      <c r="H328" s="26"/>
      <c r="I328" s="18"/>
      <c r="J328" s="18"/>
      <c r="K328" s="18"/>
      <c r="L328" s="27" t="str">
        <f aca="false">IF(C328="","",IF(G328="Concluída",1,N(H328)))</f>
        <v/>
      </c>
      <c r="M328" s="13" t="str">
        <f aca="true">IF(C328="","",IF(G328="Concluída","Concluída",IF(AND(F328&lt;&gt;"",F328&lt;TODAY()),"Atrasada","No prazo")))</f>
        <v/>
      </c>
    </row>
    <row r="329" customFormat="false" ht="15" hidden="false" customHeight="false" outlineLevel="0" collapsed="false">
      <c r="A329" s="18"/>
      <c r="B329" s="18"/>
      <c r="C329" s="18"/>
      <c r="D329" s="18"/>
      <c r="E329" s="25"/>
      <c r="F329" s="25"/>
      <c r="G329" s="18"/>
      <c r="H329" s="26"/>
      <c r="I329" s="18"/>
      <c r="J329" s="18"/>
      <c r="K329" s="18"/>
      <c r="L329" s="27" t="str">
        <f aca="false">IF(C329="","",IF(G329="Concluída",1,N(H329)))</f>
        <v/>
      </c>
      <c r="M329" s="13" t="str">
        <f aca="true">IF(C329="","",IF(G329="Concluída","Concluída",IF(AND(F329&lt;&gt;"",F329&lt;TODAY()),"Atrasada","No prazo")))</f>
        <v/>
      </c>
    </row>
    <row r="330" customFormat="false" ht="15" hidden="false" customHeight="false" outlineLevel="0" collapsed="false">
      <c r="A330" s="18"/>
      <c r="B330" s="18"/>
      <c r="C330" s="18"/>
      <c r="D330" s="18"/>
      <c r="E330" s="25"/>
      <c r="F330" s="25"/>
      <c r="G330" s="18"/>
      <c r="H330" s="26"/>
      <c r="I330" s="18"/>
      <c r="J330" s="18"/>
      <c r="K330" s="18"/>
      <c r="L330" s="27" t="str">
        <f aca="false">IF(C330="","",IF(G330="Concluída",1,N(H330)))</f>
        <v/>
      </c>
      <c r="M330" s="13" t="str">
        <f aca="true">IF(C330="","",IF(G330="Concluída","Concluída",IF(AND(F330&lt;&gt;"",F330&lt;TODAY()),"Atrasada","No prazo")))</f>
        <v/>
      </c>
    </row>
    <row r="331" customFormat="false" ht="15" hidden="false" customHeight="false" outlineLevel="0" collapsed="false">
      <c r="A331" s="18"/>
      <c r="B331" s="18"/>
      <c r="C331" s="18"/>
      <c r="D331" s="18"/>
      <c r="E331" s="25"/>
      <c r="F331" s="25"/>
      <c r="G331" s="18"/>
      <c r="H331" s="26"/>
      <c r="I331" s="18"/>
      <c r="J331" s="18"/>
      <c r="K331" s="18"/>
      <c r="L331" s="27" t="str">
        <f aca="false">IF(C331="","",IF(G331="Concluída",1,N(H331)))</f>
        <v/>
      </c>
      <c r="M331" s="13" t="str">
        <f aca="true">IF(C331="","",IF(G331="Concluída","Concluída",IF(AND(F331&lt;&gt;"",F331&lt;TODAY()),"Atrasada","No prazo")))</f>
        <v/>
      </c>
    </row>
    <row r="332" customFormat="false" ht="15" hidden="false" customHeight="false" outlineLevel="0" collapsed="false">
      <c r="A332" s="18"/>
      <c r="B332" s="18"/>
      <c r="C332" s="18"/>
      <c r="D332" s="18"/>
      <c r="E332" s="25"/>
      <c r="F332" s="25"/>
      <c r="G332" s="18"/>
      <c r="H332" s="26"/>
      <c r="I332" s="18"/>
      <c r="J332" s="18"/>
      <c r="K332" s="18"/>
      <c r="L332" s="27" t="str">
        <f aca="false">IF(C332="","",IF(G332="Concluída",1,N(H332)))</f>
        <v/>
      </c>
      <c r="M332" s="13" t="str">
        <f aca="true">IF(C332="","",IF(G332="Concluída","Concluída",IF(AND(F332&lt;&gt;"",F332&lt;TODAY()),"Atrasada","No prazo")))</f>
        <v/>
      </c>
    </row>
    <row r="333" customFormat="false" ht="15" hidden="false" customHeight="false" outlineLevel="0" collapsed="false">
      <c r="A333" s="18"/>
      <c r="B333" s="18"/>
      <c r="C333" s="18"/>
      <c r="D333" s="18"/>
      <c r="E333" s="25"/>
      <c r="F333" s="25"/>
      <c r="G333" s="18"/>
      <c r="H333" s="26"/>
      <c r="I333" s="18"/>
      <c r="J333" s="18"/>
      <c r="K333" s="18"/>
      <c r="L333" s="27" t="str">
        <f aca="false">IF(C333="","",IF(G333="Concluída",1,N(H333)))</f>
        <v/>
      </c>
      <c r="M333" s="13" t="str">
        <f aca="true">IF(C333="","",IF(G333="Concluída","Concluída",IF(AND(F333&lt;&gt;"",F333&lt;TODAY()),"Atrasada","No prazo")))</f>
        <v/>
      </c>
    </row>
    <row r="334" customFormat="false" ht="15" hidden="false" customHeight="false" outlineLevel="0" collapsed="false">
      <c r="A334" s="18"/>
      <c r="B334" s="18"/>
      <c r="C334" s="18"/>
      <c r="D334" s="18"/>
      <c r="E334" s="25"/>
      <c r="F334" s="25"/>
      <c r="G334" s="18"/>
      <c r="H334" s="26"/>
      <c r="I334" s="18"/>
      <c r="J334" s="18"/>
      <c r="K334" s="18"/>
      <c r="L334" s="27" t="str">
        <f aca="false">IF(C334="","",IF(G334="Concluída",1,N(H334)))</f>
        <v/>
      </c>
      <c r="M334" s="13" t="str">
        <f aca="true">IF(C334="","",IF(G334="Concluída","Concluída",IF(AND(F334&lt;&gt;"",F334&lt;TODAY()),"Atrasada","No prazo")))</f>
        <v/>
      </c>
    </row>
    <row r="335" customFormat="false" ht="15" hidden="false" customHeight="false" outlineLevel="0" collapsed="false">
      <c r="A335" s="18"/>
      <c r="B335" s="18"/>
      <c r="C335" s="18"/>
      <c r="D335" s="18"/>
      <c r="E335" s="25"/>
      <c r="F335" s="25"/>
      <c r="G335" s="18"/>
      <c r="H335" s="26"/>
      <c r="I335" s="18"/>
      <c r="J335" s="18"/>
      <c r="K335" s="18"/>
      <c r="L335" s="27" t="str">
        <f aca="false">IF(C335="","",IF(G335="Concluída",1,N(H335)))</f>
        <v/>
      </c>
      <c r="M335" s="13" t="str">
        <f aca="true">IF(C335="","",IF(G335="Concluída","Concluída",IF(AND(F335&lt;&gt;"",F335&lt;TODAY()),"Atrasada","No prazo")))</f>
        <v/>
      </c>
    </row>
    <row r="336" customFormat="false" ht="15" hidden="false" customHeight="false" outlineLevel="0" collapsed="false">
      <c r="A336" s="18"/>
      <c r="B336" s="18"/>
      <c r="C336" s="18"/>
      <c r="D336" s="18"/>
      <c r="E336" s="25"/>
      <c r="F336" s="25"/>
      <c r="G336" s="18"/>
      <c r="H336" s="26"/>
      <c r="I336" s="18"/>
      <c r="J336" s="18"/>
      <c r="K336" s="18"/>
      <c r="L336" s="27" t="str">
        <f aca="false">IF(C336="","",IF(G336="Concluída",1,N(H336)))</f>
        <v/>
      </c>
      <c r="M336" s="13" t="str">
        <f aca="true">IF(C336="","",IF(G336="Concluída","Concluída",IF(AND(F336&lt;&gt;"",F336&lt;TODAY()),"Atrasada","No prazo")))</f>
        <v/>
      </c>
    </row>
    <row r="337" customFormat="false" ht="15" hidden="false" customHeight="false" outlineLevel="0" collapsed="false">
      <c r="A337" s="18"/>
      <c r="B337" s="18"/>
      <c r="C337" s="18"/>
      <c r="D337" s="18"/>
      <c r="E337" s="25"/>
      <c r="F337" s="25"/>
      <c r="G337" s="18"/>
      <c r="H337" s="26"/>
      <c r="I337" s="18"/>
      <c r="J337" s="18"/>
      <c r="K337" s="18"/>
      <c r="L337" s="27" t="str">
        <f aca="false">IF(C337="","",IF(G337="Concluída",1,N(H337)))</f>
        <v/>
      </c>
      <c r="M337" s="13" t="str">
        <f aca="true">IF(C337="","",IF(G337="Concluída","Concluída",IF(AND(F337&lt;&gt;"",F337&lt;TODAY()),"Atrasada","No prazo")))</f>
        <v/>
      </c>
    </row>
    <row r="338" customFormat="false" ht="15" hidden="false" customHeight="false" outlineLevel="0" collapsed="false">
      <c r="A338" s="18"/>
      <c r="B338" s="18"/>
      <c r="C338" s="18"/>
      <c r="D338" s="18"/>
      <c r="E338" s="25"/>
      <c r="F338" s="25"/>
      <c r="G338" s="18"/>
      <c r="H338" s="26"/>
      <c r="I338" s="18"/>
      <c r="J338" s="18"/>
      <c r="K338" s="18"/>
      <c r="L338" s="27" t="str">
        <f aca="false">IF(C338="","",IF(G338="Concluída",1,N(H338)))</f>
        <v/>
      </c>
      <c r="M338" s="13" t="str">
        <f aca="true">IF(C338="","",IF(G338="Concluída","Concluída",IF(AND(F338&lt;&gt;"",F338&lt;TODAY()),"Atrasada","No prazo")))</f>
        <v/>
      </c>
    </row>
    <row r="339" customFormat="false" ht="15" hidden="false" customHeight="false" outlineLevel="0" collapsed="false">
      <c r="A339" s="18"/>
      <c r="B339" s="18"/>
      <c r="C339" s="18"/>
      <c r="D339" s="18"/>
      <c r="E339" s="25"/>
      <c r="F339" s="25"/>
      <c r="G339" s="18"/>
      <c r="H339" s="26"/>
      <c r="I339" s="18"/>
      <c r="J339" s="18"/>
      <c r="K339" s="18"/>
      <c r="L339" s="27" t="str">
        <f aca="false">IF(C339="","",IF(G339="Concluída",1,N(H339)))</f>
        <v/>
      </c>
      <c r="M339" s="13" t="str">
        <f aca="true">IF(C339="","",IF(G339="Concluída","Concluída",IF(AND(F339&lt;&gt;"",F339&lt;TODAY()),"Atrasada","No prazo")))</f>
        <v/>
      </c>
    </row>
    <row r="340" customFormat="false" ht="15" hidden="false" customHeight="false" outlineLevel="0" collapsed="false">
      <c r="A340" s="18"/>
      <c r="B340" s="18"/>
      <c r="C340" s="18"/>
      <c r="D340" s="18"/>
      <c r="E340" s="25"/>
      <c r="F340" s="25"/>
      <c r="G340" s="18"/>
      <c r="H340" s="26"/>
      <c r="I340" s="18"/>
      <c r="J340" s="18"/>
      <c r="K340" s="18"/>
      <c r="L340" s="27" t="str">
        <f aca="false">IF(C340="","",IF(G340="Concluída",1,N(H340)))</f>
        <v/>
      </c>
      <c r="M340" s="13" t="str">
        <f aca="true">IF(C340="","",IF(G340="Concluída","Concluída",IF(AND(F340&lt;&gt;"",F340&lt;TODAY()),"Atrasada","No prazo")))</f>
        <v/>
      </c>
    </row>
    <row r="341" customFormat="false" ht="15" hidden="false" customHeight="false" outlineLevel="0" collapsed="false">
      <c r="A341" s="18"/>
      <c r="B341" s="18"/>
      <c r="C341" s="18"/>
      <c r="D341" s="18"/>
      <c r="E341" s="25"/>
      <c r="F341" s="25"/>
      <c r="G341" s="18"/>
      <c r="H341" s="26"/>
      <c r="I341" s="18"/>
      <c r="J341" s="18"/>
      <c r="K341" s="18"/>
      <c r="L341" s="27" t="str">
        <f aca="false">IF(C341="","",IF(G341="Concluída",1,N(H341)))</f>
        <v/>
      </c>
      <c r="M341" s="13" t="str">
        <f aca="true">IF(C341="","",IF(G341="Concluída","Concluída",IF(AND(F341&lt;&gt;"",F341&lt;TODAY()),"Atrasada","No prazo")))</f>
        <v/>
      </c>
    </row>
    <row r="342" customFormat="false" ht="15" hidden="false" customHeight="false" outlineLevel="0" collapsed="false">
      <c r="A342" s="18"/>
      <c r="B342" s="18"/>
      <c r="C342" s="18"/>
      <c r="D342" s="18"/>
      <c r="E342" s="25"/>
      <c r="F342" s="25"/>
      <c r="G342" s="18"/>
      <c r="H342" s="26"/>
      <c r="I342" s="18"/>
      <c r="J342" s="18"/>
      <c r="K342" s="18"/>
      <c r="L342" s="27" t="str">
        <f aca="false">IF(C342="","",IF(G342="Concluída",1,N(H342)))</f>
        <v/>
      </c>
      <c r="M342" s="13" t="str">
        <f aca="true">IF(C342="","",IF(G342="Concluída","Concluída",IF(AND(F342&lt;&gt;"",F342&lt;TODAY()),"Atrasada","No prazo")))</f>
        <v/>
      </c>
    </row>
    <row r="343" customFormat="false" ht="15" hidden="false" customHeight="false" outlineLevel="0" collapsed="false">
      <c r="A343" s="18"/>
      <c r="B343" s="18"/>
      <c r="C343" s="18"/>
      <c r="D343" s="18"/>
      <c r="E343" s="25"/>
      <c r="F343" s="25"/>
      <c r="G343" s="18"/>
      <c r="H343" s="26"/>
      <c r="I343" s="18"/>
      <c r="J343" s="18"/>
      <c r="K343" s="18"/>
      <c r="L343" s="27" t="str">
        <f aca="false">IF(C343="","",IF(G343="Concluída",1,N(H343)))</f>
        <v/>
      </c>
      <c r="M343" s="13" t="str">
        <f aca="true">IF(C343="","",IF(G343="Concluída","Concluída",IF(AND(F343&lt;&gt;"",F343&lt;TODAY()),"Atrasada","No prazo")))</f>
        <v/>
      </c>
    </row>
    <row r="344" customFormat="false" ht="15" hidden="false" customHeight="false" outlineLevel="0" collapsed="false">
      <c r="A344" s="18"/>
      <c r="B344" s="18"/>
      <c r="C344" s="18"/>
      <c r="D344" s="18"/>
      <c r="E344" s="25"/>
      <c r="F344" s="25"/>
      <c r="G344" s="18"/>
      <c r="H344" s="26"/>
      <c r="I344" s="18"/>
      <c r="J344" s="18"/>
      <c r="K344" s="18"/>
      <c r="L344" s="27" t="str">
        <f aca="false">IF(C344="","",IF(G344="Concluída",1,N(H344)))</f>
        <v/>
      </c>
      <c r="M344" s="13" t="str">
        <f aca="true">IF(C344="","",IF(G344="Concluída","Concluída",IF(AND(F344&lt;&gt;"",F344&lt;TODAY()),"Atrasada","No prazo")))</f>
        <v/>
      </c>
    </row>
    <row r="345" customFormat="false" ht="15" hidden="false" customHeight="false" outlineLevel="0" collapsed="false">
      <c r="A345" s="18"/>
      <c r="B345" s="18"/>
      <c r="C345" s="18"/>
      <c r="D345" s="18"/>
      <c r="E345" s="25"/>
      <c r="F345" s="25"/>
      <c r="G345" s="18"/>
      <c r="H345" s="26"/>
      <c r="I345" s="18"/>
      <c r="J345" s="18"/>
      <c r="K345" s="18"/>
      <c r="L345" s="27" t="str">
        <f aca="false">IF(C345="","",IF(G345="Concluída",1,N(H345)))</f>
        <v/>
      </c>
      <c r="M345" s="13" t="str">
        <f aca="true">IF(C345="","",IF(G345="Concluída","Concluída",IF(AND(F345&lt;&gt;"",F345&lt;TODAY()),"Atrasada","No prazo")))</f>
        <v/>
      </c>
    </row>
    <row r="346" customFormat="false" ht="15" hidden="false" customHeight="false" outlineLevel="0" collapsed="false">
      <c r="A346" s="18"/>
      <c r="B346" s="18"/>
      <c r="C346" s="18"/>
      <c r="D346" s="18"/>
      <c r="E346" s="25"/>
      <c r="F346" s="25"/>
      <c r="G346" s="18"/>
      <c r="H346" s="26"/>
      <c r="I346" s="18"/>
      <c r="J346" s="18"/>
      <c r="K346" s="18"/>
      <c r="L346" s="27" t="str">
        <f aca="false">IF(C346="","",IF(G346="Concluída",1,N(H346)))</f>
        <v/>
      </c>
      <c r="M346" s="13" t="str">
        <f aca="true">IF(C346="","",IF(G346="Concluída","Concluída",IF(AND(F346&lt;&gt;"",F346&lt;TODAY()),"Atrasada","No prazo")))</f>
        <v/>
      </c>
    </row>
    <row r="347" customFormat="false" ht="15" hidden="false" customHeight="false" outlineLevel="0" collapsed="false">
      <c r="A347" s="18"/>
      <c r="B347" s="18"/>
      <c r="C347" s="18"/>
      <c r="D347" s="18"/>
      <c r="E347" s="25"/>
      <c r="F347" s="25"/>
      <c r="G347" s="18"/>
      <c r="H347" s="26"/>
      <c r="I347" s="18"/>
      <c r="J347" s="18"/>
      <c r="K347" s="18"/>
      <c r="L347" s="27" t="str">
        <f aca="false">IF(C347="","",IF(G347="Concluída",1,N(H347)))</f>
        <v/>
      </c>
      <c r="M347" s="13" t="str">
        <f aca="true">IF(C347="","",IF(G347="Concluída","Concluída",IF(AND(F347&lt;&gt;"",F347&lt;TODAY()),"Atrasada","No prazo")))</f>
        <v/>
      </c>
    </row>
    <row r="348" customFormat="false" ht="15" hidden="false" customHeight="false" outlineLevel="0" collapsed="false">
      <c r="A348" s="18"/>
      <c r="B348" s="18"/>
      <c r="C348" s="18"/>
      <c r="D348" s="18"/>
      <c r="E348" s="25"/>
      <c r="F348" s="25"/>
      <c r="G348" s="18"/>
      <c r="H348" s="26"/>
      <c r="I348" s="18"/>
      <c r="J348" s="18"/>
      <c r="K348" s="18"/>
      <c r="L348" s="27" t="str">
        <f aca="false">IF(C348="","",IF(G348="Concluída",1,N(H348)))</f>
        <v/>
      </c>
      <c r="M348" s="13" t="str">
        <f aca="true">IF(C348="","",IF(G348="Concluída","Concluída",IF(AND(F348&lt;&gt;"",F348&lt;TODAY()),"Atrasada","No prazo")))</f>
        <v/>
      </c>
    </row>
    <row r="349" customFormat="false" ht="15" hidden="false" customHeight="false" outlineLevel="0" collapsed="false">
      <c r="A349" s="18"/>
      <c r="B349" s="18"/>
      <c r="C349" s="18"/>
      <c r="D349" s="18"/>
      <c r="E349" s="25"/>
      <c r="F349" s="25"/>
      <c r="G349" s="18"/>
      <c r="H349" s="26"/>
      <c r="I349" s="18"/>
      <c r="J349" s="18"/>
      <c r="K349" s="18"/>
      <c r="L349" s="27" t="str">
        <f aca="false">IF(C349="","",IF(G349="Concluída",1,N(H349)))</f>
        <v/>
      </c>
      <c r="M349" s="13" t="str">
        <f aca="true">IF(C349="","",IF(G349="Concluída","Concluída",IF(AND(F349&lt;&gt;"",F349&lt;TODAY()),"Atrasada","No prazo")))</f>
        <v/>
      </c>
    </row>
    <row r="350" customFormat="false" ht="15" hidden="false" customHeight="false" outlineLevel="0" collapsed="false">
      <c r="A350" s="18"/>
      <c r="B350" s="18"/>
      <c r="C350" s="18"/>
      <c r="D350" s="18"/>
      <c r="E350" s="25"/>
      <c r="F350" s="25"/>
      <c r="G350" s="18"/>
      <c r="H350" s="26"/>
      <c r="I350" s="18"/>
      <c r="J350" s="18"/>
      <c r="K350" s="18"/>
      <c r="L350" s="27" t="str">
        <f aca="false">IF(C350="","",IF(G350="Concluída",1,N(H350)))</f>
        <v/>
      </c>
      <c r="M350" s="13" t="str">
        <f aca="true">IF(C350="","",IF(G350="Concluída","Concluída",IF(AND(F350&lt;&gt;"",F350&lt;TODAY()),"Atrasada","No prazo")))</f>
        <v/>
      </c>
    </row>
    <row r="351" customFormat="false" ht="15" hidden="false" customHeight="false" outlineLevel="0" collapsed="false">
      <c r="A351" s="18"/>
      <c r="B351" s="18"/>
      <c r="C351" s="18"/>
      <c r="D351" s="18"/>
      <c r="E351" s="25"/>
      <c r="F351" s="25"/>
      <c r="G351" s="18"/>
      <c r="H351" s="26"/>
      <c r="I351" s="18"/>
      <c r="J351" s="18"/>
      <c r="K351" s="18"/>
      <c r="L351" s="27" t="str">
        <f aca="false">IF(C351="","",IF(G351="Concluída",1,N(H351)))</f>
        <v/>
      </c>
      <c r="M351" s="13" t="str">
        <f aca="true">IF(C351="","",IF(G351="Concluída","Concluída",IF(AND(F351&lt;&gt;"",F351&lt;TODAY()),"Atrasada","No prazo")))</f>
        <v/>
      </c>
    </row>
    <row r="352" customFormat="false" ht="15" hidden="false" customHeight="false" outlineLevel="0" collapsed="false">
      <c r="A352" s="18"/>
      <c r="B352" s="18"/>
      <c r="C352" s="18"/>
      <c r="D352" s="18"/>
      <c r="E352" s="25"/>
      <c r="F352" s="25"/>
      <c r="G352" s="18"/>
      <c r="H352" s="26"/>
      <c r="I352" s="18"/>
      <c r="J352" s="18"/>
      <c r="K352" s="18"/>
      <c r="L352" s="27" t="str">
        <f aca="false">IF(C352="","",IF(G352="Concluída",1,N(H352)))</f>
        <v/>
      </c>
      <c r="M352" s="13" t="str">
        <f aca="true">IF(C352="","",IF(G352="Concluída","Concluída",IF(AND(F352&lt;&gt;"",F352&lt;TODAY()),"Atrasada","No prazo")))</f>
        <v/>
      </c>
    </row>
    <row r="353" customFormat="false" ht="15" hidden="false" customHeight="false" outlineLevel="0" collapsed="false">
      <c r="A353" s="18"/>
      <c r="B353" s="18"/>
      <c r="C353" s="18"/>
      <c r="D353" s="18"/>
      <c r="E353" s="25"/>
      <c r="F353" s="25"/>
      <c r="G353" s="18"/>
      <c r="H353" s="26"/>
      <c r="I353" s="18"/>
      <c r="J353" s="18"/>
      <c r="K353" s="18"/>
      <c r="L353" s="27" t="str">
        <f aca="false">IF(C353="","",IF(G353="Concluída",1,N(H353)))</f>
        <v/>
      </c>
      <c r="M353" s="13" t="str">
        <f aca="true">IF(C353="","",IF(G353="Concluída","Concluída",IF(AND(F353&lt;&gt;"",F353&lt;TODAY()),"Atrasada","No prazo")))</f>
        <v/>
      </c>
    </row>
    <row r="354" customFormat="false" ht="15" hidden="false" customHeight="false" outlineLevel="0" collapsed="false">
      <c r="A354" s="18"/>
      <c r="B354" s="18"/>
      <c r="C354" s="18"/>
      <c r="D354" s="18"/>
      <c r="E354" s="25"/>
      <c r="F354" s="25"/>
      <c r="G354" s="18"/>
      <c r="H354" s="26"/>
      <c r="I354" s="18"/>
      <c r="J354" s="18"/>
      <c r="K354" s="18"/>
      <c r="L354" s="27" t="str">
        <f aca="false">IF(C354="","",IF(G354="Concluída",1,N(H354)))</f>
        <v/>
      </c>
      <c r="M354" s="13" t="str">
        <f aca="true">IF(C354="","",IF(G354="Concluída","Concluída",IF(AND(F354&lt;&gt;"",F354&lt;TODAY()),"Atrasada","No prazo")))</f>
        <v/>
      </c>
    </row>
    <row r="355" customFormat="false" ht="15" hidden="false" customHeight="false" outlineLevel="0" collapsed="false">
      <c r="A355" s="18"/>
      <c r="B355" s="18"/>
      <c r="C355" s="18"/>
      <c r="D355" s="18"/>
      <c r="E355" s="25"/>
      <c r="F355" s="25"/>
      <c r="G355" s="18"/>
      <c r="H355" s="26"/>
      <c r="I355" s="18"/>
      <c r="J355" s="18"/>
      <c r="K355" s="18"/>
      <c r="L355" s="27" t="str">
        <f aca="false">IF(C355="","",IF(G355="Concluída",1,N(H355)))</f>
        <v/>
      </c>
      <c r="M355" s="13" t="str">
        <f aca="true">IF(C355="","",IF(G355="Concluída","Concluída",IF(AND(F355&lt;&gt;"",F355&lt;TODAY()),"Atrasada","No prazo")))</f>
        <v/>
      </c>
    </row>
    <row r="356" customFormat="false" ht="15" hidden="false" customHeight="false" outlineLevel="0" collapsed="false">
      <c r="A356" s="18"/>
      <c r="B356" s="18"/>
      <c r="C356" s="18"/>
      <c r="D356" s="18"/>
      <c r="E356" s="25"/>
      <c r="F356" s="25"/>
      <c r="G356" s="18"/>
      <c r="H356" s="26"/>
      <c r="I356" s="18"/>
      <c r="J356" s="18"/>
      <c r="K356" s="18"/>
      <c r="L356" s="27" t="str">
        <f aca="false">IF(C356="","",IF(G356="Concluída",1,N(H356)))</f>
        <v/>
      </c>
      <c r="M356" s="13" t="str">
        <f aca="true">IF(C356="","",IF(G356="Concluída","Concluída",IF(AND(F356&lt;&gt;"",F356&lt;TODAY()),"Atrasada","No prazo")))</f>
        <v/>
      </c>
    </row>
    <row r="357" customFormat="false" ht="15" hidden="false" customHeight="false" outlineLevel="0" collapsed="false">
      <c r="A357" s="18"/>
      <c r="B357" s="18"/>
      <c r="C357" s="18"/>
      <c r="D357" s="18"/>
      <c r="E357" s="25"/>
      <c r="F357" s="25"/>
      <c r="G357" s="18"/>
      <c r="H357" s="26"/>
      <c r="I357" s="18"/>
      <c r="J357" s="18"/>
      <c r="K357" s="18"/>
      <c r="L357" s="27" t="str">
        <f aca="false">IF(C357="","",IF(G357="Concluída",1,N(H357)))</f>
        <v/>
      </c>
      <c r="M357" s="13" t="str">
        <f aca="true">IF(C357="","",IF(G357="Concluída","Concluída",IF(AND(F357&lt;&gt;"",F357&lt;TODAY()),"Atrasada","No prazo")))</f>
        <v/>
      </c>
    </row>
    <row r="358" customFormat="false" ht="15" hidden="false" customHeight="false" outlineLevel="0" collapsed="false">
      <c r="A358" s="18"/>
      <c r="B358" s="18"/>
      <c r="C358" s="18"/>
      <c r="D358" s="18"/>
      <c r="E358" s="25"/>
      <c r="F358" s="25"/>
      <c r="G358" s="18"/>
      <c r="H358" s="26"/>
      <c r="I358" s="18"/>
      <c r="J358" s="18"/>
      <c r="K358" s="18"/>
      <c r="L358" s="27" t="str">
        <f aca="false">IF(C358="","",IF(G358="Concluída",1,N(H358)))</f>
        <v/>
      </c>
      <c r="M358" s="13" t="str">
        <f aca="true">IF(C358="","",IF(G358="Concluída","Concluída",IF(AND(F358&lt;&gt;"",F358&lt;TODAY()),"Atrasada","No prazo")))</f>
        <v/>
      </c>
    </row>
    <row r="359" customFormat="false" ht="15" hidden="false" customHeight="false" outlineLevel="0" collapsed="false">
      <c r="A359" s="18"/>
      <c r="B359" s="18"/>
      <c r="C359" s="18"/>
      <c r="D359" s="18"/>
      <c r="E359" s="25"/>
      <c r="F359" s="25"/>
      <c r="G359" s="18"/>
      <c r="H359" s="26"/>
      <c r="I359" s="18"/>
      <c r="J359" s="18"/>
      <c r="K359" s="18"/>
      <c r="L359" s="27" t="str">
        <f aca="false">IF(C359="","",IF(G359="Concluída",1,N(H359)))</f>
        <v/>
      </c>
      <c r="M359" s="13" t="str">
        <f aca="true">IF(C359="","",IF(G359="Concluída","Concluída",IF(AND(F359&lt;&gt;"",F359&lt;TODAY()),"Atrasada","No prazo")))</f>
        <v/>
      </c>
    </row>
    <row r="360" customFormat="false" ht="15" hidden="false" customHeight="false" outlineLevel="0" collapsed="false">
      <c r="A360" s="18"/>
      <c r="B360" s="18"/>
      <c r="C360" s="18"/>
      <c r="D360" s="18"/>
      <c r="E360" s="25"/>
      <c r="F360" s="25"/>
      <c r="G360" s="18"/>
      <c r="H360" s="26"/>
      <c r="I360" s="18"/>
      <c r="J360" s="18"/>
      <c r="K360" s="18"/>
      <c r="L360" s="27" t="str">
        <f aca="false">IF(C360="","",IF(G360="Concluída",1,N(H360)))</f>
        <v/>
      </c>
      <c r="M360" s="13" t="str">
        <f aca="true">IF(C360="","",IF(G360="Concluída","Concluída",IF(AND(F360&lt;&gt;"",F360&lt;TODAY()),"Atrasada","No prazo")))</f>
        <v/>
      </c>
    </row>
    <row r="361" customFormat="false" ht="15" hidden="false" customHeight="false" outlineLevel="0" collapsed="false">
      <c r="A361" s="18"/>
      <c r="B361" s="18"/>
      <c r="C361" s="18"/>
      <c r="D361" s="18"/>
      <c r="E361" s="25"/>
      <c r="F361" s="25"/>
      <c r="G361" s="18"/>
      <c r="H361" s="26"/>
      <c r="I361" s="18"/>
      <c r="J361" s="18"/>
      <c r="K361" s="18"/>
      <c r="L361" s="27" t="str">
        <f aca="false">IF(C361="","",IF(G361="Concluída",1,N(H361)))</f>
        <v/>
      </c>
      <c r="M361" s="13" t="str">
        <f aca="true">IF(C361="","",IF(G361="Concluída","Concluída",IF(AND(F361&lt;&gt;"",F361&lt;TODAY()),"Atrasada","No prazo")))</f>
        <v/>
      </c>
    </row>
    <row r="362" customFormat="false" ht="15" hidden="false" customHeight="false" outlineLevel="0" collapsed="false">
      <c r="A362" s="18"/>
      <c r="B362" s="18"/>
      <c r="C362" s="18"/>
      <c r="D362" s="18"/>
      <c r="E362" s="25"/>
      <c r="F362" s="25"/>
      <c r="G362" s="18"/>
      <c r="H362" s="26"/>
      <c r="I362" s="18"/>
      <c r="J362" s="18"/>
      <c r="K362" s="18"/>
      <c r="L362" s="27" t="str">
        <f aca="false">IF(C362="","",IF(G362="Concluída",1,N(H362)))</f>
        <v/>
      </c>
      <c r="M362" s="13" t="str">
        <f aca="true">IF(C362="","",IF(G362="Concluída","Concluída",IF(AND(F362&lt;&gt;"",F362&lt;TODAY()),"Atrasada","No prazo")))</f>
        <v/>
      </c>
    </row>
    <row r="363" customFormat="false" ht="15" hidden="false" customHeight="false" outlineLevel="0" collapsed="false">
      <c r="A363" s="18"/>
      <c r="B363" s="18"/>
      <c r="C363" s="18"/>
      <c r="D363" s="18"/>
      <c r="E363" s="25"/>
      <c r="F363" s="25"/>
      <c r="G363" s="18"/>
      <c r="H363" s="26"/>
      <c r="I363" s="18"/>
      <c r="J363" s="18"/>
      <c r="K363" s="18"/>
      <c r="L363" s="27" t="str">
        <f aca="false">IF(C363="","",IF(G363="Concluída",1,N(H363)))</f>
        <v/>
      </c>
      <c r="M363" s="13" t="str">
        <f aca="true">IF(C363="","",IF(G363="Concluída","Concluída",IF(AND(F363&lt;&gt;"",F363&lt;TODAY()),"Atrasada","No prazo")))</f>
        <v/>
      </c>
    </row>
    <row r="364" customFormat="false" ht="15" hidden="false" customHeight="false" outlineLevel="0" collapsed="false">
      <c r="A364" s="18"/>
      <c r="B364" s="18"/>
      <c r="C364" s="18"/>
      <c r="D364" s="18"/>
      <c r="E364" s="25"/>
      <c r="F364" s="25"/>
      <c r="G364" s="18"/>
      <c r="H364" s="26"/>
      <c r="I364" s="18"/>
      <c r="J364" s="18"/>
      <c r="K364" s="18"/>
      <c r="L364" s="27" t="str">
        <f aca="false">IF(C364="","",IF(G364="Concluída",1,N(H364)))</f>
        <v/>
      </c>
      <c r="M364" s="13" t="str">
        <f aca="true">IF(C364="","",IF(G364="Concluída","Concluída",IF(AND(F364&lt;&gt;"",F364&lt;TODAY()),"Atrasada","No prazo")))</f>
        <v/>
      </c>
    </row>
    <row r="365" customFormat="false" ht="15" hidden="false" customHeight="false" outlineLevel="0" collapsed="false">
      <c r="A365" s="18"/>
      <c r="B365" s="18"/>
      <c r="C365" s="18"/>
      <c r="D365" s="18"/>
      <c r="E365" s="25"/>
      <c r="F365" s="25"/>
      <c r="G365" s="18"/>
      <c r="H365" s="26"/>
      <c r="I365" s="18"/>
      <c r="J365" s="18"/>
      <c r="K365" s="18"/>
      <c r="L365" s="27" t="str">
        <f aca="false">IF(C365="","",IF(G365="Concluída",1,N(H365)))</f>
        <v/>
      </c>
      <c r="M365" s="13" t="str">
        <f aca="true">IF(C365="","",IF(G365="Concluída","Concluída",IF(AND(F365&lt;&gt;"",F365&lt;TODAY()),"Atrasada","No prazo")))</f>
        <v/>
      </c>
    </row>
    <row r="366" customFormat="false" ht="15" hidden="false" customHeight="false" outlineLevel="0" collapsed="false">
      <c r="A366" s="18"/>
      <c r="B366" s="18"/>
      <c r="C366" s="18"/>
      <c r="D366" s="18"/>
      <c r="E366" s="25"/>
      <c r="F366" s="25"/>
      <c r="G366" s="18"/>
      <c r="H366" s="26"/>
      <c r="I366" s="18"/>
      <c r="J366" s="18"/>
      <c r="K366" s="18"/>
      <c r="L366" s="27" t="str">
        <f aca="false">IF(C366="","",IF(G366="Concluída",1,N(H366)))</f>
        <v/>
      </c>
      <c r="M366" s="13" t="str">
        <f aca="true">IF(C366="","",IF(G366="Concluída","Concluída",IF(AND(F366&lt;&gt;"",F366&lt;TODAY()),"Atrasada","No prazo")))</f>
        <v/>
      </c>
    </row>
    <row r="367" customFormat="false" ht="15" hidden="false" customHeight="false" outlineLevel="0" collapsed="false">
      <c r="A367" s="18"/>
      <c r="B367" s="18"/>
      <c r="C367" s="18"/>
      <c r="D367" s="18"/>
      <c r="E367" s="25"/>
      <c r="F367" s="25"/>
      <c r="G367" s="18"/>
      <c r="H367" s="26"/>
      <c r="I367" s="18"/>
      <c r="J367" s="18"/>
      <c r="K367" s="18"/>
      <c r="L367" s="27" t="str">
        <f aca="false">IF(C367="","",IF(G367="Concluída",1,N(H367)))</f>
        <v/>
      </c>
      <c r="M367" s="13" t="str">
        <f aca="true">IF(C367="","",IF(G367="Concluída","Concluída",IF(AND(F367&lt;&gt;"",F367&lt;TODAY()),"Atrasada","No prazo")))</f>
        <v/>
      </c>
    </row>
    <row r="368" customFormat="false" ht="15" hidden="false" customHeight="false" outlineLevel="0" collapsed="false">
      <c r="A368" s="18"/>
      <c r="B368" s="18"/>
      <c r="C368" s="18"/>
      <c r="D368" s="18"/>
      <c r="E368" s="25"/>
      <c r="F368" s="25"/>
      <c r="G368" s="18"/>
      <c r="H368" s="26"/>
      <c r="I368" s="18"/>
      <c r="J368" s="18"/>
      <c r="K368" s="18"/>
      <c r="L368" s="27" t="str">
        <f aca="false">IF(C368="","",IF(G368="Concluída",1,N(H368)))</f>
        <v/>
      </c>
      <c r="M368" s="13" t="str">
        <f aca="true">IF(C368="","",IF(G368="Concluída","Concluída",IF(AND(F368&lt;&gt;"",F368&lt;TODAY()),"Atrasada","No prazo")))</f>
        <v/>
      </c>
    </row>
    <row r="369" customFormat="false" ht="15" hidden="false" customHeight="false" outlineLevel="0" collapsed="false">
      <c r="A369" s="18"/>
      <c r="B369" s="18"/>
      <c r="C369" s="18"/>
      <c r="D369" s="18"/>
      <c r="E369" s="25"/>
      <c r="F369" s="25"/>
      <c r="G369" s="18"/>
      <c r="H369" s="26"/>
      <c r="I369" s="18"/>
      <c r="J369" s="18"/>
      <c r="K369" s="18"/>
      <c r="L369" s="27" t="str">
        <f aca="false">IF(C369="","",IF(G369="Concluída",1,N(H369)))</f>
        <v/>
      </c>
      <c r="M369" s="13" t="str">
        <f aca="true">IF(C369="","",IF(G369="Concluída","Concluída",IF(AND(F369&lt;&gt;"",F369&lt;TODAY()),"Atrasada","No prazo")))</f>
        <v/>
      </c>
    </row>
    <row r="370" customFormat="false" ht="15" hidden="false" customHeight="false" outlineLevel="0" collapsed="false">
      <c r="A370" s="18"/>
      <c r="B370" s="18"/>
      <c r="C370" s="18"/>
      <c r="D370" s="18"/>
      <c r="E370" s="25"/>
      <c r="F370" s="25"/>
      <c r="G370" s="18"/>
      <c r="H370" s="26"/>
      <c r="I370" s="18"/>
      <c r="J370" s="18"/>
      <c r="K370" s="18"/>
      <c r="L370" s="27" t="str">
        <f aca="false">IF(C370="","",IF(G370="Concluída",1,N(H370)))</f>
        <v/>
      </c>
      <c r="M370" s="13" t="str">
        <f aca="true">IF(C370="","",IF(G370="Concluída","Concluída",IF(AND(F370&lt;&gt;"",F370&lt;TODAY()),"Atrasada","No prazo")))</f>
        <v/>
      </c>
    </row>
    <row r="371" customFormat="false" ht="15" hidden="false" customHeight="false" outlineLevel="0" collapsed="false">
      <c r="A371" s="18"/>
      <c r="B371" s="18"/>
      <c r="C371" s="18"/>
      <c r="D371" s="18"/>
      <c r="E371" s="25"/>
      <c r="F371" s="25"/>
      <c r="G371" s="18"/>
      <c r="H371" s="26"/>
      <c r="I371" s="18"/>
      <c r="J371" s="18"/>
      <c r="K371" s="18"/>
      <c r="L371" s="27" t="str">
        <f aca="false">IF(C371="","",IF(G371="Concluída",1,N(H371)))</f>
        <v/>
      </c>
      <c r="M371" s="13" t="str">
        <f aca="true">IF(C371="","",IF(G371="Concluída","Concluída",IF(AND(F371&lt;&gt;"",F371&lt;TODAY()),"Atrasada","No prazo")))</f>
        <v/>
      </c>
    </row>
    <row r="372" customFormat="false" ht="15" hidden="false" customHeight="false" outlineLevel="0" collapsed="false">
      <c r="A372" s="18"/>
      <c r="B372" s="18"/>
      <c r="C372" s="18"/>
      <c r="D372" s="18"/>
      <c r="E372" s="25"/>
      <c r="F372" s="25"/>
      <c r="G372" s="18"/>
      <c r="H372" s="26"/>
      <c r="I372" s="18"/>
      <c r="J372" s="18"/>
      <c r="K372" s="18"/>
      <c r="L372" s="27" t="str">
        <f aca="false">IF(C372="","",IF(G372="Concluída",1,N(H372)))</f>
        <v/>
      </c>
      <c r="M372" s="13" t="str">
        <f aca="true">IF(C372="","",IF(G372="Concluída","Concluída",IF(AND(F372&lt;&gt;"",F372&lt;TODAY()),"Atrasada","No prazo")))</f>
        <v/>
      </c>
    </row>
    <row r="373" customFormat="false" ht="15" hidden="false" customHeight="false" outlineLevel="0" collapsed="false">
      <c r="A373" s="18"/>
      <c r="B373" s="18"/>
      <c r="C373" s="18"/>
      <c r="D373" s="18"/>
      <c r="E373" s="25"/>
      <c r="F373" s="25"/>
      <c r="G373" s="18"/>
      <c r="H373" s="26"/>
      <c r="I373" s="18"/>
      <c r="J373" s="18"/>
      <c r="K373" s="18"/>
      <c r="L373" s="27" t="str">
        <f aca="false">IF(C373="","",IF(G373="Concluída",1,N(H373)))</f>
        <v/>
      </c>
      <c r="M373" s="13" t="str">
        <f aca="true">IF(C373="","",IF(G373="Concluída","Concluída",IF(AND(F373&lt;&gt;"",F373&lt;TODAY()),"Atrasada","No prazo")))</f>
        <v/>
      </c>
    </row>
    <row r="374" customFormat="false" ht="15" hidden="false" customHeight="false" outlineLevel="0" collapsed="false">
      <c r="A374" s="18"/>
      <c r="B374" s="18"/>
      <c r="C374" s="18"/>
      <c r="D374" s="18"/>
      <c r="E374" s="25"/>
      <c r="F374" s="25"/>
      <c r="G374" s="18"/>
      <c r="H374" s="26"/>
      <c r="I374" s="18"/>
      <c r="J374" s="18"/>
      <c r="K374" s="18"/>
      <c r="L374" s="27" t="str">
        <f aca="false">IF(C374="","",IF(G374="Concluída",1,N(H374)))</f>
        <v/>
      </c>
      <c r="M374" s="13" t="str">
        <f aca="true">IF(C374="","",IF(G374="Concluída","Concluída",IF(AND(F374&lt;&gt;"",F374&lt;TODAY()),"Atrasada","No prazo")))</f>
        <v/>
      </c>
    </row>
    <row r="375" customFormat="false" ht="15" hidden="false" customHeight="false" outlineLevel="0" collapsed="false">
      <c r="A375" s="18"/>
      <c r="B375" s="18"/>
      <c r="C375" s="18"/>
      <c r="D375" s="18"/>
      <c r="E375" s="25"/>
      <c r="F375" s="25"/>
      <c r="G375" s="18"/>
      <c r="H375" s="26"/>
      <c r="I375" s="18"/>
      <c r="J375" s="18"/>
      <c r="K375" s="18"/>
      <c r="L375" s="27" t="str">
        <f aca="false">IF(C375="","",IF(G375="Concluída",1,N(H375)))</f>
        <v/>
      </c>
      <c r="M375" s="13" t="str">
        <f aca="true">IF(C375="","",IF(G375="Concluída","Concluída",IF(AND(F375&lt;&gt;"",F375&lt;TODAY()),"Atrasada","No prazo")))</f>
        <v/>
      </c>
    </row>
    <row r="376" customFormat="false" ht="15" hidden="false" customHeight="false" outlineLevel="0" collapsed="false">
      <c r="A376" s="18"/>
      <c r="B376" s="18"/>
      <c r="C376" s="18"/>
      <c r="D376" s="18"/>
      <c r="E376" s="25"/>
      <c r="F376" s="25"/>
      <c r="G376" s="18"/>
      <c r="H376" s="26"/>
      <c r="I376" s="18"/>
      <c r="J376" s="18"/>
      <c r="K376" s="18"/>
      <c r="L376" s="27" t="str">
        <f aca="false">IF(C376="","",IF(G376="Concluída",1,N(H376)))</f>
        <v/>
      </c>
      <c r="M376" s="13" t="str">
        <f aca="true">IF(C376="","",IF(G376="Concluída","Concluída",IF(AND(F376&lt;&gt;"",F376&lt;TODAY()),"Atrasada","No prazo")))</f>
        <v/>
      </c>
    </row>
    <row r="377" customFormat="false" ht="15" hidden="false" customHeight="false" outlineLevel="0" collapsed="false">
      <c r="A377" s="18"/>
      <c r="B377" s="18"/>
      <c r="C377" s="18"/>
      <c r="D377" s="18"/>
      <c r="E377" s="25"/>
      <c r="F377" s="25"/>
      <c r="G377" s="18"/>
      <c r="H377" s="26"/>
      <c r="I377" s="18"/>
      <c r="J377" s="18"/>
      <c r="K377" s="18"/>
      <c r="L377" s="27" t="str">
        <f aca="false">IF(C377="","",IF(G377="Concluída",1,N(H377)))</f>
        <v/>
      </c>
      <c r="M377" s="13" t="str">
        <f aca="true">IF(C377="","",IF(G377="Concluída","Concluída",IF(AND(F377&lt;&gt;"",F377&lt;TODAY()),"Atrasada","No prazo")))</f>
        <v/>
      </c>
    </row>
    <row r="378" customFormat="false" ht="15" hidden="false" customHeight="false" outlineLevel="0" collapsed="false">
      <c r="A378" s="18"/>
      <c r="B378" s="18"/>
      <c r="C378" s="18"/>
      <c r="D378" s="18"/>
      <c r="E378" s="25"/>
      <c r="F378" s="25"/>
      <c r="G378" s="18"/>
      <c r="H378" s="26"/>
      <c r="I378" s="18"/>
      <c r="J378" s="18"/>
      <c r="K378" s="18"/>
      <c r="L378" s="27" t="str">
        <f aca="false">IF(C378="","",IF(G378="Concluída",1,N(H378)))</f>
        <v/>
      </c>
      <c r="M378" s="13" t="str">
        <f aca="true">IF(C378="","",IF(G378="Concluída","Concluída",IF(AND(F378&lt;&gt;"",F378&lt;TODAY()),"Atrasada","No prazo")))</f>
        <v/>
      </c>
    </row>
    <row r="379" customFormat="false" ht="15" hidden="false" customHeight="false" outlineLevel="0" collapsed="false">
      <c r="A379" s="18"/>
      <c r="B379" s="18"/>
      <c r="C379" s="18"/>
      <c r="D379" s="18"/>
      <c r="E379" s="25"/>
      <c r="F379" s="25"/>
      <c r="G379" s="18"/>
      <c r="H379" s="26"/>
      <c r="I379" s="18"/>
      <c r="J379" s="18"/>
      <c r="K379" s="18"/>
      <c r="L379" s="27" t="str">
        <f aca="false">IF(C379="","",IF(G379="Concluída",1,N(H379)))</f>
        <v/>
      </c>
      <c r="M379" s="13" t="str">
        <f aca="true">IF(C379="","",IF(G379="Concluída","Concluída",IF(AND(F379&lt;&gt;"",F379&lt;TODAY()),"Atrasada","No prazo")))</f>
        <v/>
      </c>
    </row>
    <row r="380" customFormat="false" ht="15" hidden="false" customHeight="false" outlineLevel="0" collapsed="false">
      <c r="A380" s="18"/>
      <c r="B380" s="18"/>
      <c r="C380" s="18"/>
      <c r="D380" s="18"/>
      <c r="E380" s="25"/>
      <c r="F380" s="25"/>
      <c r="G380" s="18"/>
      <c r="H380" s="26"/>
      <c r="I380" s="18"/>
      <c r="J380" s="18"/>
      <c r="K380" s="18"/>
      <c r="L380" s="27" t="str">
        <f aca="false">IF(C380="","",IF(G380="Concluída",1,N(H380)))</f>
        <v/>
      </c>
      <c r="M380" s="13" t="str">
        <f aca="true">IF(C380="","",IF(G380="Concluída","Concluída",IF(AND(F380&lt;&gt;"",F380&lt;TODAY()),"Atrasada","No prazo")))</f>
        <v/>
      </c>
    </row>
    <row r="381" customFormat="false" ht="15" hidden="false" customHeight="false" outlineLevel="0" collapsed="false">
      <c r="A381" s="18"/>
      <c r="B381" s="18"/>
      <c r="C381" s="18"/>
      <c r="D381" s="18"/>
      <c r="E381" s="25"/>
      <c r="F381" s="25"/>
      <c r="G381" s="18"/>
      <c r="H381" s="26"/>
      <c r="I381" s="18"/>
      <c r="J381" s="18"/>
      <c r="K381" s="18"/>
      <c r="L381" s="27" t="str">
        <f aca="false">IF(C381="","",IF(G381="Concluída",1,N(H381)))</f>
        <v/>
      </c>
      <c r="M381" s="13" t="str">
        <f aca="true">IF(C381="","",IF(G381="Concluída","Concluída",IF(AND(F381&lt;&gt;"",F381&lt;TODAY()),"Atrasada","No prazo")))</f>
        <v/>
      </c>
    </row>
    <row r="382" customFormat="false" ht="15" hidden="false" customHeight="false" outlineLevel="0" collapsed="false">
      <c r="A382" s="18"/>
      <c r="B382" s="18"/>
      <c r="C382" s="18"/>
      <c r="D382" s="18"/>
      <c r="E382" s="25"/>
      <c r="F382" s="25"/>
      <c r="G382" s="18"/>
      <c r="H382" s="26"/>
      <c r="I382" s="18"/>
      <c r="J382" s="18"/>
      <c r="K382" s="18"/>
      <c r="L382" s="27" t="str">
        <f aca="false">IF(C382="","",IF(G382="Concluída",1,N(H382)))</f>
        <v/>
      </c>
      <c r="M382" s="13" t="str">
        <f aca="true">IF(C382="","",IF(G382="Concluída","Concluída",IF(AND(F382&lt;&gt;"",F382&lt;TODAY()),"Atrasada","No prazo")))</f>
        <v/>
      </c>
    </row>
    <row r="383" customFormat="false" ht="15" hidden="false" customHeight="false" outlineLevel="0" collapsed="false">
      <c r="A383" s="18"/>
      <c r="B383" s="18"/>
      <c r="C383" s="18"/>
      <c r="D383" s="18"/>
      <c r="E383" s="25"/>
      <c r="F383" s="25"/>
      <c r="G383" s="18"/>
      <c r="H383" s="26"/>
      <c r="I383" s="18"/>
      <c r="J383" s="18"/>
      <c r="K383" s="18"/>
      <c r="L383" s="27" t="str">
        <f aca="false">IF(C383="","",IF(G383="Concluída",1,N(H383)))</f>
        <v/>
      </c>
      <c r="M383" s="13" t="str">
        <f aca="true">IF(C383="","",IF(G383="Concluída","Concluída",IF(AND(F383&lt;&gt;"",F383&lt;TODAY()),"Atrasada","No prazo")))</f>
        <v/>
      </c>
    </row>
    <row r="384" customFormat="false" ht="15" hidden="false" customHeight="false" outlineLevel="0" collapsed="false">
      <c r="A384" s="18"/>
      <c r="B384" s="18"/>
      <c r="C384" s="18"/>
      <c r="D384" s="18"/>
      <c r="E384" s="25"/>
      <c r="F384" s="25"/>
      <c r="G384" s="18"/>
      <c r="H384" s="26"/>
      <c r="I384" s="18"/>
      <c r="J384" s="18"/>
      <c r="K384" s="18"/>
      <c r="L384" s="27" t="str">
        <f aca="false">IF(C384="","",IF(G384="Concluída",1,N(H384)))</f>
        <v/>
      </c>
      <c r="M384" s="13" t="str">
        <f aca="true">IF(C384="","",IF(G384="Concluída","Concluída",IF(AND(F384&lt;&gt;"",F384&lt;TODAY()),"Atrasada","No prazo")))</f>
        <v/>
      </c>
    </row>
    <row r="385" customFormat="false" ht="15" hidden="false" customHeight="false" outlineLevel="0" collapsed="false">
      <c r="A385" s="18"/>
      <c r="B385" s="18"/>
      <c r="C385" s="18"/>
      <c r="D385" s="18"/>
      <c r="E385" s="25"/>
      <c r="F385" s="25"/>
      <c r="G385" s="18"/>
      <c r="H385" s="26"/>
      <c r="I385" s="18"/>
      <c r="J385" s="18"/>
      <c r="K385" s="18"/>
      <c r="L385" s="27" t="str">
        <f aca="false">IF(C385="","",IF(G385="Concluída",1,N(H385)))</f>
        <v/>
      </c>
      <c r="M385" s="13" t="str">
        <f aca="true">IF(C385="","",IF(G385="Concluída","Concluída",IF(AND(F385&lt;&gt;"",F385&lt;TODAY()),"Atrasada","No prazo")))</f>
        <v/>
      </c>
    </row>
    <row r="386" customFormat="false" ht="15" hidden="false" customHeight="false" outlineLevel="0" collapsed="false">
      <c r="A386" s="18"/>
      <c r="B386" s="18"/>
      <c r="C386" s="18"/>
      <c r="D386" s="18"/>
      <c r="E386" s="25"/>
      <c r="F386" s="25"/>
      <c r="G386" s="18"/>
      <c r="H386" s="26"/>
      <c r="I386" s="18"/>
      <c r="J386" s="18"/>
      <c r="K386" s="18"/>
      <c r="L386" s="27" t="str">
        <f aca="false">IF(C386="","",IF(G386="Concluída",1,N(H386)))</f>
        <v/>
      </c>
      <c r="M386" s="13" t="str">
        <f aca="true">IF(C386="","",IF(G386="Concluída","Concluída",IF(AND(F386&lt;&gt;"",F386&lt;TODAY()),"Atrasada","No prazo")))</f>
        <v/>
      </c>
    </row>
    <row r="387" customFormat="false" ht="15" hidden="false" customHeight="false" outlineLevel="0" collapsed="false">
      <c r="A387" s="18"/>
      <c r="B387" s="18"/>
      <c r="C387" s="18"/>
      <c r="D387" s="18"/>
      <c r="E387" s="25"/>
      <c r="F387" s="25"/>
      <c r="G387" s="18"/>
      <c r="H387" s="26"/>
      <c r="I387" s="18"/>
      <c r="J387" s="18"/>
      <c r="K387" s="18"/>
      <c r="L387" s="27" t="str">
        <f aca="false">IF(C387="","",IF(G387="Concluída",1,N(H387)))</f>
        <v/>
      </c>
      <c r="M387" s="13" t="str">
        <f aca="true">IF(C387="","",IF(G387="Concluída","Concluída",IF(AND(F387&lt;&gt;"",F387&lt;TODAY()),"Atrasada","No prazo")))</f>
        <v/>
      </c>
    </row>
    <row r="388" customFormat="false" ht="15" hidden="false" customHeight="false" outlineLevel="0" collapsed="false">
      <c r="A388" s="18"/>
      <c r="B388" s="18"/>
      <c r="C388" s="18"/>
      <c r="D388" s="18"/>
      <c r="E388" s="25"/>
      <c r="F388" s="25"/>
      <c r="G388" s="18"/>
      <c r="H388" s="26"/>
      <c r="I388" s="18"/>
      <c r="J388" s="18"/>
      <c r="K388" s="18"/>
      <c r="L388" s="27" t="str">
        <f aca="false">IF(C388="","",IF(G388="Concluída",1,N(H388)))</f>
        <v/>
      </c>
      <c r="M388" s="13" t="str">
        <f aca="true">IF(C388="","",IF(G388="Concluída","Concluída",IF(AND(F388&lt;&gt;"",F388&lt;TODAY()),"Atrasada","No prazo")))</f>
        <v/>
      </c>
    </row>
    <row r="389" customFormat="false" ht="15" hidden="false" customHeight="false" outlineLevel="0" collapsed="false">
      <c r="A389" s="18"/>
      <c r="B389" s="18"/>
      <c r="C389" s="18"/>
      <c r="D389" s="18"/>
      <c r="E389" s="25"/>
      <c r="F389" s="25"/>
      <c r="G389" s="18"/>
      <c r="H389" s="26"/>
      <c r="I389" s="18"/>
      <c r="J389" s="18"/>
      <c r="K389" s="18"/>
      <c r="L389" s="27" t="str">
        <f aca="false">IF(C389="","",IF(G389="Concluída",1,N(H389)))</f>
        <v/>
      </c>
      <c r="M389" s="13" t="str">
        <f aca="true">IF(C389="","",IF(G389="Concluída","Concluída",IF(AND(F389&lt;&gt;"",F389&lt;TODAY()),"Atrasada","No prazo")))</f>
        <v/>
      </c>
    </row>
    <row r="390" customFormat="false" ht="15" hidden="false" customHeight="false" outlineLevel="0" collapsed="false">
      <c r="A390" s="18"/>
      <c r="B390" s="18"/>
      <c r="C390" s="18"/>
      <c r="D390" s="18"/>
      <c r="E390" s="25"/>
      <c r="F390" s="25"/>
      <c r="G390" s="18"/>
      <c r="H390" s="26"/>
      <c r="I390" s="18"/>
      <c r="J390" s="18"/>
      <c r="K390" s="18"/>
      <c r="L390" s="27" t="str">
        <f aca="false">IF(C390="","",IF(G390="Concluída",1,N(H390)))</f>
        <v/>
      </c>
      <c r="M390" s="13" t="str">
        <f aca="true">IF(C390="","",IF(G390="Concluída","Concluída",IF(AND(F390&lt;&gt;"",F390&lt;TODAY()),"Atrasada","No prazo")))</f>
        <v/>
      </c>
    </row>
    <row r="391" customFormat="false" ht="15" hidden="false" customHeight="false" outlineLevel="0" collapsed="false">
      <c r="A391" s="18"/>
      <c r="B391" s="18"/>
      <c r="C391" s="18"/>
      <c r="D391" s="18"/>
      <c r="E391" s="25"/>
      <c r="F391" s="25"/>
      <c r="G391" s="18"/>
      <c r="H391" s="26"/>
      <c r="I391" s="18"/>
      <c r="J391" s="18"/>
      <c r="K391" s="18"/>
      <c r="L391" s="27" t="str">
        <f aca="false">IF(C391="","",IF(G391="Concluída",1,N(H391)))</f>
        <v/>
      </c>
      <c r="M391" s="13" t="str">
        <f aca="true">IF(C391="","",IF(G391="Concluída","Concluída",IF(AND(F391&lt;&gt;"",F391&lt;TODAY()),"Atrasada","No prazo")))</f>
        <v/>
      </c>
    </row>
    <row r="392" customFormat="false" ht="15" hidden="false" customHeight="false" outlineLevel="0" collapsed="false">
      <c r="A392" s="18"/>
      <c r="B392" s="18"/>
      <c r="C392" s="18"/>
      <c r="D392" s="18"/>
      <c r="E392" s="25"/>
      <c r="F392" s="25"/>
      <c r="G392" s="18"/>
      <c r="H392" s="26"/>
      <c r="I392" s="18"/>
      <c r="J392" s="18"/>
      <c r="K392" s="18"/>
      <c r="L392" s="27" t="str">
        <f aca="false">IF(C392="","",IF(G392="Concluída",1,N(H392)))</f>
        <v/>
      </c>
      <c r="M392" s="13" t="str">
        <f aca="true">IF(C392="","",IF(G392="Concluída","Concluída",IF(AND(F392&lt;&gt;"",F392&lt;TODAY()),"Atrasada","No prazo")))</f>
        <v/>
      </c>
    </row>
    <row r="393" customFormat="false" ht="15" hidden="false" customHeight="false" outlineLevel="0" collapsed="false">
      <c r="A393" s="18"/>
      <c r="B393" s="18"/>
      <c r="C393" s="18"/>
      <c r="D393" s="18"/>
      <c r="E393" s="25"/>
      <c r="F393" s="25"/>
      <c r="G393" s="18"/>
      <c r="H393" s="26"/>
      <c r="I393" s="18"/>
      <c r="J393" s="18"/>
      <c r="K393" s="18"/>
      <c r="L393" s="27" t="str">
        <f aca="false">IF(C393="","",IF(G393="Concluída",1,N(H393)))</f>
        <v/>
      </c>
      <c r="M393" s="13" t="str">
        <f aca="true">IF(C393="","",IF(G393="Concluída","Concluída",IF(AND(F393&lt;&gt;"",F393&lt;TODAY()),"Atrasada","No prazo")))</f>
        <v/>
      </c>
    </row>
    <row r="394" customFormat="false" ht="15" hidden="false" customHeight="false" outlineLevel="0" collapsed="false">
      <c r="A394" s="18"/>
      <c r="B394" s="18"/>
      <c r="C394" s="18"/>
      <c r="D394" s="18"/>
      <c r="E394" s="25"/>
      <c r="F394" s="25"/>
      <c r="G394" s="18"/>
      <c r="H394" s="26"/>
      <c r="I394" s="18"/>
      <c r="J394" s="18"/>
      <c r="K394" s="18"/>
      <c r="L394" s="27" t="str">
        <f aca="false">IF(C394="","",IF(G394="Concluída",1,N(H394)))</f>
        <v/>
      </c>
      <c r="M394" s="13" t="str">
        <f aca="true">IF(C394="","",IF(G394="Concluída","Concluída",IF(AND(F394&lt;&gt;"",F394&lt;TODAY()),"Atrasada","No prazo")))</f>
        <v/>
      </c>
    </row>
    <row r="395" customFormat="false" ht="15" hidden="false" customHeight="false" outlineLevel="0" collapsed="false">
      <c r="A395" s="18"/>
      <c r="B395" s="18"/>
      <c r="C395" s="18"/>
      <c r="D395" s="18"/>
      <c r="E395" s="25"/>
      <c r="F395" s="25"/>
      <c r="G395" s="18"/>
      <c r="H395" s="26"/>
      <c r="I395" s="18"/>
      <c r="J395" s="18"/>
      <c r="K395" s="18"/>
      <c r="L395" s="27" t="str">
        <f aca="false">IF(C395="","",IF(G395="Concluída",1,N(H395)))</f>
        <v/>
      </c>
      <c r="M395" s="13" t="str">
        <f aca="true">IF(C395="","",IF(G395="Concluída","Concluída",IF(AND(F395&lt;&gt;"",F395&lt;TODAY()),"Atrasada","No prazo")))</f>
        <v/>
      </c>
    </row>
    <row r="396" customFormat="false" ht="15" hidden="false" customHeight="false" outlineLevel="0" collapsed="false">
      <c r="A396" s="18"/>
      <c r="B396" s="18"/>
      <c r="C396" s="18"/>
      <c r="D396" s="18"/>
      <c r="E396" s="25"/>
      <c r="F396" s="25"/>
      <c r="G396" s="18"/>
      <c r="H396" s="26"/>
      <c r="I396" s="18"/>
      <c r="J396" s="18"/>
      <c r="K396" s="18"/>
      <c r="L396" s="27" t="str">
        <f aca="false">IF(C396="","",IF(G396="Concluída",1,N(H396)))</f>
        <v/>
      </c>
      <c r="M396" s="13" t="str">
        <f aca="true">IF(C396="","",IF(G396="Concluída","Concluída",IF(AND(F396&lt;&gt;"",F396&lt;TODAY()),"Atrasada","No prazo")))</f>
        <v/>
      </c>
    </row>
    <row r="397" customFormat="false" ht="15" hidden="false" customHeight="false" outlineLevel="0" collapsed="false">
      <c r="A397" s="18"/>
      <c r="B397" s="18"/>
      <c r="C397" s="18"/>
      <c r="D397" s="18"/>
      <c r="E397" s="25"/>
      <c r="F397" s="25"/>
      <c r="G397" s="18"/>
      <c r="H397" s="26"/>
      <c r="I397" s="18"/>
      <c r="J397" s="18"/>
      <c r="K397" s="18"/>
      <c r="L397" s="27" t="str">
        <f aca="false">IF(C397="","",IF(G397="Concluída",1,N(H397)))</f>
        <v/>
      </c>
      <c r="M397" s="13" t="str">
        <f aca="true">IF(C397="","",IF(G397="Concluída","Concluída",IF(AND(F397&lt;&gt;"",F397&lt;TODAY()),"Atrasada","No prazo")))</f>
        <v/>
      </c>
    </row>
    <row r="398" customFormat="false" ht="15" hidden="false" customHeight="false" outlineLevel="0" collapsed="false">
      <c r="A398" s="18"/>
      <c r="B398" s="18"/>
      <c r="C398" s="18"/>
      <c r="D398" s="18"/>
      <c r="E398" s="25"/>
      <c r="F398" s="25"/>
      <c r="G398" s="18"/>
      <c r="H398" s="26"/>
      <c r="I398" s="18"/>
      <c r="J398" s="18"/>
      <c r="K398" s="18"/>
      <c r="L398" s="27" t="str">
        <f aca="false">IF(C398="","",IF(G398="Concluída",1,N(H398)))</f>
        <v/>
      </c>
      <c r="M398" s="13" t="str">
        <f aca="true">IF(C398="","",IF(G398="Concluída","Concluída",IF(AND(F398&lt;&gt;"",F398&lt;TODAY()),"Atrasada","No prazo")))</f>
        <v/>
      </c>
    </row>
    <row r="399" customFormat="false" ht="15" hidden="false" customHeight="false" outlineLevel="0" collapsed="false">
      <c r="A399" s="18"/>
      <c r="B399" s="18"/>
      <c r="C399" s="18"/>
      <c r="D399" s="18"/>
      <c r="E399" s="25"/>
      <c r="F399" s="25"/>
      <c r="G399" s="18"/>
      <c r="H399" s="26"/>
      <c r="I399" s="18"/>
      <c r="J399" s="18"/>
      <c r="K399" s="18"/>
      <c r="L399" s="27" t="str">
        <f aca="false">IF(C399="","",IF(G399="Concluída",1,N(H399)))</f>
        <v/>
      </c>
      <c r="M399" s="13" t="str">
        <f aca="true">IF(C399="","",IF(G399="Concluída","Concluída",IF(AND(F399&lt;&gt;"",F399&lt;TODAY()),"Atrasada","No prazo")))</f>
        <v/>
      </c>
    </row>
    <row r="400" customFormat="false" ht="15" hidden="false" customHeight="false" outlineLevel="0" collapsed="false">
      <c r="A400" s="18"/>
      <c r="B400" s="18"/>
      <c r="C400" s="18"/>
      <c r="D400" s="18"/>
      <c r="E400" s="25"/>
      <c r="F400" s="25"/>
      <c r="G400" s="18"/>
      <c r="H400" s="26"/>
      <c r="I400" s="18"/>
      <c r="J400" s="18"/>
      <c r="K400" s="18"/>
      <c r="L400" s="27" t="str">
        <f aca="false">IF(C400="","",IF(G400="Concluída",1,N(H400)))</f>
        <v/>
      </c>
      <c r="M400" s="13" t="str">
        <f aca="true">IF(C400="","",IF(G400="Concluída","Concluída",IF(AND(F400&lt;&gt;"",F400&lt;TODAY()),"Atrasada","No prazo")))</f>
        <v/>
      </c>
    </row>
    <row r="401" customFormat="false" ht="15" hidden="false" customHeight="false" outlineLevel="0" collapsed="false">
      <c r="A401" s="18"/>
      <c r="B401" s="18"/>
      <c r="C401" s="18"/>
      <c r="D401" s="18"/>
      <c r="E401" s="25"/>
      <c r="F401" s="25"/>
      <c r="G401" s="18"/>
      <c r="H401" s="26"/>
      <c r="I401" s="18"/>
      <c r="J401" s="18"/>
      <c r="K401" s="18"/>
      <c r="L401" s="27" t="str">
        <f aca="false">IF(C401="","",IF(G401="Concluída",1,N(H401)))</f>
        <v/>
      </c>
      <c r="M401" s="13" t="str">
        <f aca="true">IF(C401="","",IF(G401="Concluída","Concluída",IF(AND(F401&lt;&gt;"",F401&lt;TODAY()),"Atrasada","No prazo")))</f>
        <v/>
      </c>
    </row>
    <row r="402" customFormat="false" ht="15" hidden="false" customHeight="false" outlineLevel="0" collapsed="false">
      <c r="A402" s="18"/>
      <c r="B402" s="18"/>
      <c r="C402" s="18"/>
      <c r="D402" s="18"/>
      <c r="E402" s="25"/>
      <c r="F402" s="25"/>
      <c r="G402" s="18"/>
      <c r="H402" s="26"/>
      <c r="I402" s="18"/>
      <c r="J402" s="18"/>
      <c r="K402" s="18"/>
      <c r="L402" s="27" t="str">
        <f aca="false">IF(C402="","",IF(G402="Concluída",1,N(H402)))</f>
        <v/>
      </c>
      <c r="M402" s="13" t="str">
        <f aca="true">IF(C402="","",IF(G402="Concluída","Concluída",IF(AND(F402&lt;&gt;"",F402&lt;TODAY()),"Atrasada","No prazo")))</f>
        <v/>
      </c>
    </row>
    <row r="403" customFormat="false" ht="15" hidden="false" customHeight="false" outlineLevel="0" collapsed="false">
      <c r="A403" s="18"/>
      <c r="B403" s="18"/>
      <c r="C403" s="18"/>
      <c r="D403" s="18"/>
      <c r="E403" s="25"/>
      <c r="F403" s="25"/>
      <c r="G403" s="18"/>
      <c r="H403" s="26"/>
      <c r="I403" s="18"/>
      <c r="J403" s="18"/>
      <c r="K403" s="18"/>
      <c r="L403" s="27" t="str">
        <f aca="false">IF(C403="","",IF(G403="Concluída",1,N(H403)))</f>
        <v/>
      </c>
      <c r="M403" s="13" t="str">
        <f aca="true">IF(C403="","",IF(G403="Concluída","Concluída",IF(AND(F403&lt;&gt;"",F403&lt;TODAY()),"Atrasada","No prazo")))</f>
        <v/>
      </c>
    </row>
    <row r="404" customFormat="false" ht="15" hidden="false" customHeight="false" outlineLevel="0" collapsed="false">
      <c r="A404" s="18"/>
      <c r="B404" s="18"/>
      <c r="C404" s="18"/>
      <c r="D404" s="18"/>
      <c r="E404" s="25"/>
      <c r="F404" s="25"/>
      <c r="G404" s="18"/>
      <c r="H404" s="26"/>
      <c r="I404" s="18"/>
      <c r="J404" s="18"/>
      <c r="K404" s="18"/>
      <c r="L404" s="27" t="str">
        <f aca="false">IF(C404="","",IF(G404="Concluída",1,N(H404)))</f>
        <v/>
      </c>
      <c r="M404" s="13" t="str">
        <f aca="true">IF(C404="","",IF(G404="Concluída","Concluída",IF(AND(F404&lt;&gt;"",F404&lt;TODAY()),"Atrasada","No prazo")))</f>
        <v/>
      </c>
    </row>
    <row r="405" customFormat="false" ht="15" hidden="false" customHeight="false" outlineLevel="0" collapsed="false">
      <c r="A405" s="18"/>
      <c r="B405" s="18"/>
      <c r="C405" s="18"/>
      <c r="D405" s="18"/>
      <c r="E405" s="25"/>
      <c r="F405" s="25"/>
      <c r="G405" s="18"/>
      <c r="H405" s="26"/>
      <c r="I405" s="18"/>
      <c r="J405" s="18"/>
      <c r="K405" s="18"/>
      <c r="L405" s="27" t="str">
        <f aca="false">IF(C405="","",IF(G405="Concluída",1,N(H405)))</f>
        <v/>
      </c>
      <c r="M405" s="13" t="str">
        <f aca="true">IF(C405="","",IF(G405="Concluída","Concluída",IF(AND(F405&lt;&gt;"",F405&lt;TODAY()),"Atrasada","No prazo")))</f>
        <v/>
      </c>
    </row>
    <row r="406" customFormat="false" ht="15" hidden="false" customHeight="false" outlineLevel="0" collapsed="false">
      <c r="A406" s="18"/>
      <c r="B406" s="18"/>
      <c r="C406" s="18"/>
      <c r="D406" s="18"/>
      <c r="E406" s="25"/>
      <c r="F406" s="25"/>
      <c r="G406" s="18"/>
      <c r="H406" s="26"/>
      <c r="I406" s="18"/>
      <c r="J406" s="18"/>
      <c r="K406" s="18"/>
      <c r="L406" s="27" t="str">
        <f aca="false">IF(C406="","",IF(G406="Concluída",1,N(H406)))</f>
        <v/>
      </c>
      <c r="M406" s="13" t="str">
        <f aca="true">IF(C406="","",IF(G406="Concluída","Concluída",IF(AND(F406&lt;&gt;"",F406&lt;TODAY()),"Atrasada","No prazo")))</f>
        <v/>
      </c>
    </row>
    <row r="407" customFormat="false" ht="15" hidden="false" customHeight="false" outlineLevel="0" collapsed="false">
      <c r="A407" s="18"/>
      <c r="B407" s="18"/>
      <c r="C407" s="18"/>
      <c r="D407" s="18"/>
      <c r="E407" s="25"/>
      <c r="F407" s="25"/>
      <c r="G407" s="18"/>
      <c r="H407" s="26"/>
      <c r="I407" s="18"/>
      <c r="J407" s="18"/>
      <c r="K407" s="18"/>
      <c r="L407" s="27" t="str">
        <f aca="false">IF(C407="","",IF(G407="Concluída",1,N(H407)))</f>
        <v/>
      </c>
      <c r="M407" s="13" t="str">
        <f aca="true">IF(C407="","",IF(G407="Concluída","Concluída",IF(AND(F407&lt;&gt;"",F407&lt;TODAY()),"Atrasada","No prazo")))</f>
        <v/>
      </c>
    </row>
    <row r="408" customFormat="false" ht="15" hidden="false" customHeight="false" outlineLevel="0" collapsed="false">
      <c r="A408" s="18"/>
      <c r="B408" s="18"/>
      <c r="C408" s="18"/>
      <c r="D408" s="18"/>
      <c r="E408" s="25"/>
      <c r="F408" s="25"/>
      <c r="G408" s="18"/>
      <c r="H408" s="26"/>
      <c r="I408" s="18"/>
      <c r="J408" s="18"/>
      <c r="K408" s="18"/>
      <c r="L408" s="27" t="str">
        <f aca="false">IF(C408="","",IF(G408="Concluída",1,N(H408)))</f>
        <v/>
      </c>
      <c r="M408" s="13" t="str">
        <f aca="true">IF(C408="","",IF(G408="Concluída","Concluída",IF(AND(F408&lt;&gt;"",F408&lt;TODAY()),"Atrasada","No prazo")))</f>
        <v/>
      </c>
    </row>
    <row r="409" customFormat="false" ht="15" hidden="false" customHeight="false" outlineLevel="0" collapsed="false">
      <c r="A409" s="18"/>
      <c r="B409" s="18"/>
      <c r="C409" s="18"/>
      <c r="D409" s="18"/>
      <c r="E409" s="25"/>
      <c r="F409" s="25"/>
      <c r="G409" s="18"/>
      <c r="H409" s="26"/>
      <c r="I409" s="18"/>
      <c r="J409" s="18"/>
      <c r="K409" s="18"/>
      <c r="L409" s="27" t="str">
        <f aca="false">IF(C409="","",IF(G409="Concluída",1,N(H409)))</f>
        <v/>
      </c>
      <c r="M409" s="13" t="str">
        <f aca="true">IF(C409="","",IF(G409="Concluída","Concluída",IF(AND(F409&lt;&gt;"",F409&lt;TODAY()),"Atrasada","No prazo")))</f>
        <v/>
      </c>
    </row>
    <row r="410" customFormat="false" ht="15" hidden="false" customHeight="false" outlineLevel="0" collapsed="false">
      <c r="A410" s="18"/>
      <c r="B410" s="18"/>
      <c r="C410" s="18"/>
      <c r="D410" s="18"/>
      <c r="E410" s="25"/>
      <c r="F410" s="25"/>
      <c r="G410" s="18"/>
      <c r="H410" s="26"/>
      <c r="I410" s="18"/>
      <c r="J410" s="18"/>
      <c r="K410" s="18"/>
      <c r="L410" s="27" t="str">
        <f aca="false">IF(C410="","",IF(G410="Concluída",1,N(H410)))</f>
        <v/>
      </c>
      <c r="M410" s="13" t="str">
        <f aca="true">IF(C410="","",IF(G410="Concluída","Concluída",IF(AND(F410&lt;&gt;"",F410&lt;TODAY()),"Atrasada","No prazo")))</f>
        <v/>
      </c>
    </row>
    <row r="411" customFormat="false" ht="15" hidden="false" customHeight="false" outlineLevel="0" collapsed="false">
      <c r="A411" s="18"/>
      <c r="B411" s="18"/>
      <c r="C411" s="18"/>
      <c r="D411" s="18"/>
      <c r="E411" s="25"/>
      <c r="F411" s="25"/>
      <c r="G411" s="18"/>
      <c r="H411" s="26"/>
      <c r="I411" s="18"/>
      <c r="J411" s="18"/>
      <c r="K411" s="18"/>
      <c r="L411" s="27" t="str">
        <f aca="false">IF(C411="","",IF(G411="Concluída",1,N(H411)))</f>
        <v/>
      </c>
      <c r="M411" s="13" t="str">
        <f aca="true">IF(C411="","",IF(G411="Concluída","Concluída",IF(AND(F411&lt;&gt;"",F411&lt;TODAY()),"Atrasada","No prazo")))</f>
        <v/>
      </c>
    </row>
    <row r="412" customFormat="false" ht="15" hidden="false" customHeight="false" outlineLevel="0" collapsed="false">
      <c r="A412" s="18"/>
      <c r="B412" s="18"/>
      <c r="C412" s="18"/>
      <c r="D412" s="18"/>
      <c r="E412" s="25"/>
      <c r="F412" s="25"/>
      <c r="G412" s="18"/>
      <c r="H412" s="26"/>
      <c r="I412" s="18"/>
      <c r="J412" s="18"/>
      <c r="K412" s="18"/>
      <c r="L412" s="27" t="str">
        <f aca="false">IF(C412="","",IF(G412="Concluída",1,N(H412)))</f>
        <v/>
      </c>
      <c r="M412" s="13" t="str">
        <f aca="true">IF(C412="","",IF(G412="Concluída","Concluída",IF(AND(F412&lt;&gt;"",F412&lt;TODAY()),"Atrasada","No prazo")))</f>
        <v/>
      </c>
    </row>
    <row r="413" customFormat="false" ht="15" hidden="false" customHeight="false" outlineLevel="0" collapsed="false">
      <c r="A413" s="18"/>
      <c r="B413" s="18"/>
      <c r="C413" s="18"/>
      <c r="D413" s="18"/>
      <c r="E413" s="25"/>
      <c r="F413" s="25"/>
      <c r="G413" s="18"/>
      <c r="H413" s="26"/>
      <c r="I413" s="18"/>
      <c r="J413" s="18"/>
      <c r="K413" s="18"/>
      <c r="L413" s="27" t="str">
        <f aca="false">IF(C413="","",IF(G413="Concluída",1,N(H413)))</f>
        <v/>
      </c>
      <c r="M413" s="13" t="str">
        <f aca="true">IF(C413="","",IF(G413="Concluída","Concluída",IF(AND(F413&lt;&gt;"",F413&lt;TODAY()),"Atrasada","No prazo")))</f>
        <v/>
      </c>
    </row>
    <row r="414" customFormat="false" ht="15" hidden="false" customHeight="false" outlineLevel="0" collapsed="false">
      <c r="A414" s="18"/>
      <c r="B414" s="18"/>
      <c r="C414" s="18"/>
      <c r="D414" s="18"/>
      <c r="E414" s="25"/>
      <c r="F414" s="25"/>
      <c r="G414" s="18"/>
      <c r="H414" s="26"/>
      <c r="I414" s="18"/>
      <c r="J414" s="18"/>
      <c r="K414" s="18"/>
      <c r="L414" s="27" t="str">
        <f aca="false">IF(C414="","",IF(G414="Concluída",1,N(H414)))</f>
        <v/>
      </c>
      <c r="M414" s="13" t="str">
        <f aca="true">IF(C414="","",IF(G414="Concluída","Concluída",IF(AND(F414&lt;&gt;"",F414&lt;TODAY()),"Atrasada","No prazo")))</f>
        <v/>
      </c>
    </row>
    <row r="415" customFormat="false" ht="15" hidden="false" customHeight="false" outlineLevel="0" collapsed="false">
      <c r="A415" s="18"/>
      <c r="B415" s="18"/>
      <c r="C415" s="18"/>
      <c r="D415" s="18"/>
      <c r="E415" s="25"/>
      <c r="F415" s="25"/>
      <c r="G415" s="18"/>
      <c r="H415" s="26"/>
      <c r="I415" s="18"/>
      <c r="J415" s="18"/>
      <c r="K415" s="18"/>
      <c r="L415" s="27" t="str">
        <f aca="false">IF(C415="","",IF(G415="Concluída",1,N(H415)))</f>
        <v/>
      </c>
      <c r="M415" s="13" t="str">
        <f aca="true">IF(C415="","",IF(G415="Concluída","Concluída",IF(AND(F415&lt;&gt;"",F415&lt;TODAY()),"Atrasada","No prazo")))</f>
        <v/>
      </c>
    </row>
    <row r="416" customFormat="false" ht="15" hidden="false" customHeight="false" outlineLevel="0" collapsed="false">
      <c r="A416" s="18"/>
      <c r="B416" s="18"/>
      <c r="C416" s="18"/>
      <c r="D416" s="18"/>
      <c r="E416" s="25"/>
      <c r="F416" s="25"/>
      <c r="G416" s="18"/>
      <c r="H416" s="26"/>
      <c r="I416" s="18"/>
      <c r="J416" s="18"/>
      <c r="K416" s="18"/>
      <c r="L416" s="27" t="str">
        <f aca="false">IF(C416="","",IF(G416="Concluída",1,N(H416)))</f>
        <v/>
      </c>
      <c r="M416" s="13" t="str">
        <f aca="true">IF(C416="","",IF(G416="Concluída","Concluída",IF(AND(F416&lt;&gt;"",F416&lt;TODAY()),"Atrasada","No prazo")))</f>
        <v/>
      </c>
    </row>
    <row r="417" customFormat="false" ht="15" hidden="false" customHeight="false" outlineLevel="0" collapsed="false">
      <c r="A417" s="18"/>
      <c r="B417" s="18"/>
      <c r="C417" s="18"/>
      <c r="D417" s="18"/>
      <c r="E417" s="25"/>
      <c r="F417" s="25"/>
      <c r="G417" s="18"/>
      <c r="H417" s="26"/>
      <c r="I417" s="18"/>
      <c r="J417" s="18"/>
      <c r="K417" s="18"/>
      <c r="L417" s="27" t="str">
        <f aca="false">IF(C417="","",IF(G417="Concluída",1,N(H417)))</f>
        <v/>
      </c>
      <c r="M417" s="13" t="str">
        <f aca="true">IF(C417="","",IF(G417="Concluída","Concluída",IF(AND(F417&lt;&gt;"",F417&lt;TODAY()),"Atrasada","No prazo")))</f>
        <v/>
      </c>
    </row>
    <row r="418" customFormat="false" ht="15" hidden="false" customHeight="false" outlineLevel="0" collapsed="false">
      <c r="A418" s="18"/>
      <c r="B418" s="18"/>
      <c r="C418" s="18"/>
      <c r="D418" s="18"/>
      <c r="E418" s="25"/>
      <c r="F418" s="25"/>
      <c r="G418" s="18"/>
      <c r="H418" s="26"/>
      <c r="I418" s="18"/>
      <c r="J418" s="18"/>
      <c r="K418" s="18"/>
      <c r="L418" s="27" t="str">
        <f aca="false">IF(C418="","",IF(G418="Concluída",1,N(H418)))</f>
        <v/>
      </c>
      <c r="M418" s="13" t="str">
        <f aca="true">IF(C418="","",IF(G418="Concluída","Concluída",IF(AND(F418&lt;&gt;"",F418&lt;TODAY()),"Atrasada","No prazo")))</f>
        <v/>
      </c>
    </row>
    <row r="419" customFormat="false" ht="15" hidden="false" customHeight="false" outlineLevel="0" collapsed="false">
      <c r="A419" s="18"/>
      <c r="B419" s="18"/>
      <c r="C419" s="18"/>
      <c r="D419" s="18"/>
      <c r="E419" s="25"/>
      <c r="F419" s="25"/>
      <c r="G419" s="18"/>
      <c r="H419" s="26"/>
      <c r="I419" s="18"/>
      <c r="J419" s="18"/>
      <c r="K419" s="18"/>
      <c r="L419" s="27" t="str">
        <f aca="false">IF(C419="","",IF(G419="Concluída",1,N(H419)))</f>
        <v/>
      </c>
      <c r="M419" s="13" t="str">
        <f aca="true">IF(C419="","",IF(G419="Concluída","Concluída",IF(AND(F419&lt;&gt;"",F419&lt;TODAY()),"Atrasada","No prazo")))</f>
        <v/>
      </c>
    </row>
    <row r="420" customFormat="false" ht="15" hidden="false" customHeight="false" outlineLevel="0" collapsed="false">
      <c r="A420" s="18"/>
      <c r="B420" s="18"/>
      <c r="C420" s="18"/>
      <c r="D420" s="18"/>
      <c r="E420" s="25"/>
      <c r="F420" s="25"/>
      <c r="G420" s="18"/>
      <c r="H420" s="26"/>
      <c r="I420" s="18"/>
      <c r="J420" s="18"/>
      <c r="K420" s="18"/>
      <c r="L420" s="27" t="str">
        <f aca="false">IF(C420="","",IF(G420="Concluída",1,N(H420)))</f>
        <v/>
      </c>
      <c r="M420" s="13" t="str">
        <f aca="true">IF(C420="","",IF(G420="Concluída","Concluída",IF(AND(F420&lt;&gt;"",F420&lt;TODAY()),"Atrasada","No prazo")))</f>
        <v/>
      </c>
    </row>
    <row r="421" customFormat="false" ht="15" hidden="false" customHeight="false" outlineLevel="0" collapsed="false">
      <c r="A421" s="18"/>
      <c r="B421" s="18"/>
      <c r="C421" s="18"/>
      <c r="D421" s="18"/>
      <c r="E421" s="25"/>
      <c r="F421" s="25"/>
      <c r="G421" s="18"/>
      <c r="H421" s="26"/>
      <c r="I421" s="18"/>
      <c r="J421" s="18"/>
      <c r="K421" s="18"/>
      <c r="L421" s="27" t="str">
        <f aca="false">IF(C421="","",IF(G421="Concluída",1,N(H421)))</f>
        <v/>
      </c>
      <c r="M421" s="13" t="str">
        <f aca="true">IF(C421="","",IF(G421="Concluída","Concluída",IF(AND(F421&lt;&gt;"",F421&lt;TODAY()),"Atrasada","No prazo")))</f>
        <v/>
      </c>
    </row>
    <row r="422" customFormat="false" ht="15" hidden="false" customHeight="false" outlineLevel="0" collapsed="false">
      <c r="A422" s="18"/>
      <c r="B422" s="18"/>
      <c r="C422" s="18"/>
      <c r="D422" s="18"/>
      <c r="E422" s="25"/>
      <c r="F422" s="25"/>
      <c r="G422" s="18"/>
      <c r="H422" s="26"/>
      <c r="I422" s="18"/>
      <c r="J422" s="18"/>
      <c r="K422" s="18"/>
      <c r="L422" s="27" t="str">
        <f aca="false">IF(C422="","",IF(G422="Concluída",1,N(H422)))</f>
        <v/>
      </c>
      <c r="M422" s="13" t="str">
        <f aca="true">IF(C422="","",IF(G422="Concluída","Concluída",IF(AND(F422&lt;&gt;"",F422&lt;TODAY()),"Atrasada","No prazo")))</f>
        <v/>
      </c>
    </row>
    <row r="423" customFormat="false" ht="15" hidden="false" customHeight="false" outlineLevel="0" collapsed="false">
      <c r="A423" s="18"/>
      <c r="B423" s="18"/>
      <c r="C423" s="18"/>
      <c r="D423" s="18"/>
      <c r="E423" s="25"/>
      <c r="F423" s="25"/>
      <c r="G423" s="18"/>
      <c r="H423" s="26"/>
      <c r="I423" s="18"/>
      <c r="J423" s="18"/>
      <c r="K423" s="18"/>
      <c r="L423" s="27" t="str">
        <f aca="false">IF(C423="","",IF(G423="Concluída",1,N(H423)))</f>
        <v/>
      </c>
      <c r="M423" s="13" t="str">
        <f aca="true">IF(C423="","",IF(G423="Concluída","Concluída",IF(AND(F423&lt;&gt;"",F423&lt;TODAY()),"Atrasada","No prazo")))</f>
        <v/>
      </c>
    </row>
    <row r="424" customFormat="false" ht="15" hidden="false" customHeight="false" outlineLevel="0" collapsed="false">
      <c r="A424" s="18"/>
      <c r="B424" s="18"/>
      <c r="C424" s="18"/>
      <c r="D424" s="18"/>
      <c r="E424" s="25"/>
      <c r="F424" s="25"/>
      <c r="G424" s="18"/>
      <c r="H424" s="26"/>
      <c r="I424" s="18"/>
      <c r="J424" s="18"/>
      <c r="K424" s="18"/>
      <c r="L424" s="27" t="str">
        <f aca="false">IF(C424="","",IF(G424="Concluída",1,N(H424)))</f>
        <v/>
      </c>
      <c r="M424" s="13" t="str">
        <f aca="true">IF(C424="","",IF(G424="Concluída","Concluída",IF(AND(F424&lt;&gt;"",F424&lt;TODAY()),"Atrasada","No prazo")))</f>
        <v/>
      </c>
    </row>
    <row r="425" customFormat="false" ht="15" hidden="false" customHeight="false" outlineLevel="0" collapsed="false">
      <c r="A425" s="18"/>
      <c r="B425" s="18"/>
      <c r="C425" s="18"/>
      <c r="D425" s="18"/>
      <c r="E425" s="25"/>
      <c r="F425" s="25"/>
      <c r="G425" s="18"/>
      <c r="H425" s="26"/>
      <c r="I425" s="18"/>
      <c r="J425" s="18"/>
      <c r="K425" s="18"/>
      <c r="L425" s="27" t="str">
        <f aca="false">IF(C425="","",IF(G425="Concluída",1,N(H425)))</f>
        <v/>
      </c>
      <c r="M425" s="13" t="str">
        <f aca="true">IF(C425="","",IF(G425="Concluída","Concluída",IF(AND(F425&lt;&gt;"",F425&lt;TODAY()),"Atrasada","No prazo")))</f>
        <v/>
      </c>
    </row>
    <row r="426" customFormat="false" ht="15" hidden="false" customHeight="false" outlineLevel="0" collapsed="false">
      <c r="A426" s="18"/>
      <c r="B426" s="18"/>
      <c r="C426" s="18"/>
      <c r="D426" s="18"/>
      <c r="E426" s="25"/>
      <c r="F426" s="25"/>
      <c r="G426" s="18"/>
      <c r="H426" s="26"/>
      <c r="I426" s="18"/>
      <c r="J426" s="18"/>
      <c r="K426" s="18"/>
      <c r="L426" s="27" t="str">
        <f aca="false">IF(C426="","",IF(G426="Concluída",1,N(H426)))</f>
        <v/>
      </c>
      <c r="M426" s="13" t="str">
        <f aca="true">IF(C426="","",IF(G426="Concluída","Concluída",IF(AND(F426&lt;&gt;"",F426&lt;TODAY()),"Atrasada","No prazo")))</f>
        <v/>
      </c>
    </row>
    <row r="427" customFormat="false" ht="15" hidden="false" customHeight="false" outlineLevel="0" collapsed="false">
      <c r="A427" s="18"/>
      <c r="B427" s="18"/>
      <c r="C427" s="18"/>
      <c r="D427" s="18"/>
      <c r="E427" s="25"/>
      <c r="F427" s="25"/>
      <c r="G427" s="18"/>
      <c r="H427" s="26"/>
      <c r="I427" s="18"/>
      <c r="J427" s="18"/>
      <c r="K427" s="18"/>
      <c r="L427" s="27" t="str">
        <f aca="false">IF(C427="","",IF(G427="Concluída",1,N(H427)))</f>
        <v/>
      </c>
      <c r="M427" s="13" t="str">
        <f aca="true">IF(C427="","",IF(G427="Concluída","Concluída",IF(AND(F427&lt;&gt;"",F427&lt;TODAY()),"Atrasada","No prazo")))</f>
        <v/>
      </c>
    </row>
    <row r="428" customFormat="false" ht="15" hidden="false" customHeight="false" outlineLevel="0" collapsed="false">
      <c r="A428" s="18"/>
      <c r="B428" s="18"/>
      <c r="C428" s="18"/>
      <c r="D428" s="18"/>
      <c r="E428" s="25"/>
      <c r="F428" s="25"/>
      <c r="G428" s="18"/>
      <c r="H428" s="26"/>
      <c r="I428" s="18"/>
      <c r="J428" s="18"/>
      <c r="K428" s="18"/>
      <c r="L428" s="27" t="str">
        <f aca="false">IF(C428="","",IF(G428="Concluída",1,N(H428)))</f>
        <v/>
      </c>
      <c r="M428" s="13" t="str">
        <f aca="true">IF(C428="","",IF(G428="Concluída","Concluída",IF(AND(F428&lt;&gt;"",F428&lt;TODAY()),"Atrasada","No prazo")))</f>
        <v/>
      </c>
    </row>
    <row r="429" customFormat="false" ht="15" hidden="false" customHeight="false" outlineLevel="0" collapsed="false">
      <c r="A429" s="18"/>
      <c r="B429" s="18"/>
      <c r="C429" s="18"/>
      <c r="D429" s="18"/>
      <c r="E429" s="25"/>
      <c r="F429" s="25"/>
      <c r="G429" s="18"/>
      <c r="H429" s="26"/>
      <c r="I429" s="18"/>
      <c r="J429" s="18"/>
      <c r="K429" s="18"/>
      <c r="L429" s="27" t="str">
        <f aca="false">IF(C429="","",IF(G429="Concluída",1,N(H429)))</f>
        <v/>
      </c>
      <c r="M429" s="13" t="str">
        <f aca="true">IF(C429="","",IF(G429="Concluída","Concluída",IF(AND(F429&lt;&gt;"",F429&lt;TODAY()),"Atrasada","No prazo")))</f>
        <v/>
      </c>
    </row>
    <row r="430" customFormat="false" ht="15" hidden="false" customHeight="false" outlineLevel="0" collapsed="false">
      <c r="A430" s="18"/>
      <c r="B430" s="18"/>
      <c r="C430" s="18"/>
      <c r="D430" s="18"/>
      <c r="E430" s="25"/>
      <c r="F430" s="25"/>
      <c r="G430" s="18"/>
      <c r="H430" s="26"/>
      <c r="I430" s="18"/>
      <c r="J430" s="18"/>
      <c r="K430" s="18"/>
      <c r="L430" s="27" t="str">
        <f aca="false">IF(C430="","",IF(G430="Concluída",1,N(H430)))</f>
        <v/>
      </c>
      <c r="M430" s="13" t="str">
        <f aca="true">IF(C430="","",IF(G430="Concluída","Concluída",IF(AND(F430&lt;&gt;"",F430&lt;TODAY()),"Atrasada","No prazo")))</f>
        <v/>
      </c>
    </row>
    <row r="431" customFormat="false" ht="15" hidden="false" customHeight="false" outlineLevel="0" collapsed="false">
      <c r="A431" s="18"/>
      <c r="B431" s="18"/>
      <c r="C431" s="18"/>
      <c r="D431" s="18"/>
      <c r="E431" s="25"/>
      <c r="F431" s="25"/>
      <c r="G431" s="18"/>
      <c r="H431" s="26"/>
      <c r="I431" s="18"/>
      <c r="J431" s="18"/>
      <c r="K431" s="18"/>
      <c r="L431" s="27" t="str">
        <f aca="false">IF(C431="","",IF(G431="Concluída",1,N(H431)))</f>
        <v/>
      </c>
      <c r="M431" s="13" t="str">
        <f aca="true">IF(C431="","",IF(G431="Concluída","Concluída",IF(AND(F431&lt;&gt;"",F431&lt;TODAY()),"Atrasada","No prazo")))</f>
        <v/>
      </c>
    </row>
    <row r="432" customFormat="false" ht="15" hidden="false" customHeight="false" outlineLevel="0" collapsed="false">
      <c r="A432" s="18"/>
      <c r="B432" s="18"/>
      <c r="C432" s="18"/>
      <c r="D432" s="18"/>
      <c r="E432" s="25"/>
      <c r="F432" s="25"/>
      <c r="G432" s="18"/>
      <c r="H432" s="26"/>
      <c r="I432" s="18"/>
      <c r="J432" s="18"/>
      <c r="K432" s="18"/>
      <c r="L432" s="27" t="str">
        <f aca="false">IF(C432="","",IF(G432="Concluída",1,N(H432)))</f>
        <v/>
      </c>
      <c r="M432" s="13" t="str">
        <f aca="true">IF(C432="","",IF(G432="Concluída","Concluída",IF(AND(F432&lt;&gt;"",F432&lt;TODAY()),"Atrasada","No prazo")))</f>
        <v/>
      </c>
    </row>
    <row r="433" customFormat="false" ht="15" hidden="false" customHeight="false" outlineLevel="0" collapsed="false">
      <c r="A433" s="18"/>
      <c r="B433" s="18"/>
      <c r="C433" s="18"/>
      <c r="D433" s="18"/>
      <c r="E433" s="25"/>
      <c r="F433" s="25"/>
      <c r="G433" s="18"/>
      <c r="H433" s="26"/>
      <c r="I433" s="18"/>
      <c r="J433" s="18"/>
      <c r="K433" s="18"/>
      <c r="L433" s="27" t="str">
        <f aca="false">IF(C433="","",IF(G433="Concluída",1,N(H433)))</f>
        <v/>
      </c>
      <c r="M433" s="13" t="str">
        <f aca="true">IF(C433="","",IF(G433="Concluída","Concluída",IF(AND(F433&lt;&gt;"",F433&lt;TODAY()),"Atrasada","No prazo")))</f>
        <v/>
      </c>
    </row>
    <row r="434" customFormat="false" ht="15" hidden="false" customHeight="false" outlineLevel="0" collapsed="false">
      <c r="A434" s="18"/>
      <c r="B434" s="18"/>
      <c r="C434" s="18"/>
      <c r="D434" s="18"/>
      <c r="E434" s="25"/>
      <c r="F434" s="25"/>
      <c r="G434" s="18"/>
      <c r="H434" s="26"/>
      <c r="I434" s="18"/>
      <c r="J434" s="18"/>
      <c r="K434" s="18"/>
      <c r="L434" s="27" t="str">
        <f aca="false">IF(C434="","",IF(G434="Concluída",1,N(H434)))</f>
        <v/>
      </c>
      <c r="M434" s="13" t="str">
        <f aca="true">IF(C434="","",IF(G434="Concluída","Concluída",IF(AND(F434&lt;&gt;"",F434&lt;TODAY()),"Atrasada","No prazo")))</f>
        <v/>
      </c>
    </row>
    <row r="435" customFormat="false" ht="15" hidden="false" customHeight="false" outlineLevel="0" collapsed="false">
      <c r="A435" s="18"/>
      <c r="B435" s="18"/>
      <c r="C435" s="18"/>
      <c r="D435" s="18"/>
      <c r="E435" s="25"/>
      <c r="F435" s="25"/>
      <c r="G435" s="18"/>
      <c r="H435" s="26"/>
      <c r="I435" s="18"/>
      <c r="J435" s="18"/>
      <c r="K435" s="18"/>
      <c r="L435" s="27" t="str">
        <f aca="false">IF(C435="","",IF(G435="Concluída",1,N(H435)))</f>
        <v/>
      </c>
      <c r="M435" s="13" t="str">
        <f aca="true">IF(C435="","",IF(G435="Concluída","Concluída",IF(AND(F435&lt;&gt;"",F435&lt;TODAY()),"Atrasada","No prazo")))</f>
        <v/>
      </c>
    </row>
    <row r="436" customFormat="false" ht="15" hidden="false" customHeight="false" outlineLevel="0" collapsed="false">
      <c r="A436" s="18"/>
      <c r="B436" s="18"/>
      <c r="C436" s="18"/>
      <c r="D436" s="18"/>
      <c r="E436" s="25"/>
      <c r="F436" s="25"/>
      <c r="G436" s="18"/>
      <c r="H436" s="26"/>
      <c r="I436" s="18"/>
      <c r="J436" s="18"/>
      <c r="K436" s="18"/>
      <c r="L436" s="27" t="str">
        <f aca="false">IF(C436="","",IF(G436="Concluída",1,N(H436)))</f>
        <v/>
      </c>
      <c r="M436" s="13" t="str">
        <f aca="true">IF(C436="","",IF(G436="Concluída","Concluída",IF(AND(F436&lt;&gt;"",F436&lt;TODAY()),"Atrasada","No prazo")))</f>
        <v/>
      </c>
    </row>
    <row r="437" customFormat="false" ht="15" hidden="false" customHeight="false" outlineLevel="0" collapsed="false">
      <c r="A437" s="18"/>
      <c r="B437" s="18"/>
      <c r="C437" s="18"/>
      <c r="D437" s="18"/>
      <c r="E437" s="25"/>
      <c r="F437" s="25"/>
      <c r="G437" s="18"/>
      <c r="H437" s="26"/>
      <c r="I437" s="18"/>
      <c r="J437" s="18"/>
      <c r="K437" s="18"/>
      <c r="L437" s="27" t="str">
        <f aca="false">IF(C437="","",IF(G437="Concluída",1,N(H437)))</f>
        <v/>
      </c>
      <c r="M437" s="13" t="str">
        <f aca="true">IF(C437="","",IF(G437="Concluída","Concluída",IF(AND(F437&lt;&gt;"",F437&lt;TODAY()),"Atrasada","No prazo")))</f>
        <v/>
      </c>
    </row>
    <row r="438" customFormat="false" ht="15" hidden="false" customHeight="false" outlineLevel="0" collapsed="false">
      <c r="A438" s="18"/>
      <c r="B438" s="18"/>
      <c r="C438" s="18"/>
      <c r="D438" s="18"/>
      <c r="E438" s="25"/>
      <c r="F438" s="25"/>
      <c r="G438" s="18"/>
      <c r="H438" s="26"/>
      <c r="I438" s="18"/>
      <c r="J438" s="18"/>
      <c r="K438" s="18"/>
      <c r="L438" s="27" t="str">
        <f aca="false">IF(C438="","",IF(G438="Concluída",1,N(H438)))</f>
        <v/>
      </c>
      <c r="M438" s="13" t="str">
        <f aca="true">IF(C438="","",IF(G438="Concluída","Concluída",IF(AND(F438&lt;&gt;"",F438&lt;TODAY()),"Atrasada","No prazo")))</f>
        <v/>
      </c>
    </row>
    <row r="439" customFormat="false" ht="15" hidden="false" customHeight="false" outlineLevel="0" collapsed="false">
      <c r="A439" s="18"/>
      <c r="B439" s="18"/>
      <c r="C439" s="18"/>
      <c r="D439" s="18"/>
      <c r="E439" s="25"/>
      <c r="F439" s="25"/>
      <c r="G439" s="18"/>
      <c r="H439" s="26"/>
      <c r="I439" s="18"/>
      <c r="J439" s="18"/>
      <c r="K439" s="18"/>
      <c r="L439" s="27" t="str">
        <f aca="false">IF(C439="","",IF(G439="Concluída",1,N(H439)))</f>
        <v/>
      </c>
      <c r="M439" s="13" t="str">
        <f aca="true">IF(C439="","",IF(G439="Concluída","Concluída",IF(AND(F439&lt;&gt;"",F439&lt;TODAY()),"Atrasada","No prazo")))</f>
        <v/>
      </c>
    </row>
    <row r="440" customFormat="false" ht="15" hidden="false" customHeight="false" outlineLevel="0" collapsed="false">
      <c r="A440" s="18"/>
      <c r="B440" s="18"/>
      <c r="C440" s="18"/>
      <c r="D440" s="18"/>
      <c r="E440" s="25"/>
      <c r="F440" s="25"/>
      <c r="G440" s="18"/>
      <c r="H440" s="26"/>
      <c r="I440" s="18"/>
      <c r="J440" s="18"/>
      <c r="K440" s="18"/>
      <c r="L440" s="27" t="str">
        <f aca="false">IF(C440="","",IF(G440="Concluída",1,N(H440)))</f>
        <v/>
      </c>
      <c r="M440" s="13" t="str">
        <f aca="true">IF(C440="","",IF(G440="Concluída","Concluída",IF(AND(F440&lt;&gt;"",F440&lt;TODAY()),"Atrasada","No prazo")))</f>
        <v/>
      </c>
    </row>
    <row r="441" customFormat="false" ht="15" hidden="false" customHeight="false" outlineLevel="0" collapsed="false">
      <c r="A441" s="18"/>
      <c r="B441" s="18"/>
      <c r="C441" s="18"/>
      <c r="D441" s="18"/>
      <c r="E441" s="25"/>
      <c r="F441" s="25"/>
      <c r="G441" s="18"/>
      <c r="H441" s="26"/>
      <c r="I441" s="18"/>
      <c r="J441" s="18"/>
      <c r="K441" s="18"/>
      <c r="L441" s="27" t="str">
        <f aca="false">IF(C441="","",IF(G441="Concluída",1,N(H441)))</f>
        <v/>
      </c>
      <c r="M441" s="13" t="str">
        <f aca="true">IF(C441="","",IF(G441="Concluída","Concluída",IF(AND(F441&lt;&gt;"",F441&lt;TODAY()),"Atrasada","No prazo")))</f>
        <v/>
      </c>
    </row>
    <row r="442" customFormat="false" ht="15" hidden="false" customHeight="false" outlineLevel="0" collapsed="false">
      <c r="A442" s="18"/>
      <c r="B442" s="18"/>
      <c r="C442" s="18"/>
      <c r="D442" s="18"/>
      <c r="E442" s="25"/>
      <c r="F442" s="25"/>
      <c r="G442" s="18"/>
      <c r="H442" s="26"/>
      <c r="I442" s="18"/>
      <c r="J442" s="18"/>
      <c r="K442" s="18"/>
      <c r="L442" s="27" t="str">
        <f aca="false">IF(C442="","",IF(G442="Concluída",1,N(H442)))</f>
        <v/>
      </c>
      <c r="M442" s="13" t="str">
        <f aca="true">IF(C442="","",IF(G442="Concluída","Concluída",IF(AND(F442&lt;&gt;"",F442&lt;TODAY()),"Atrasada","No prazo")))</f>
        <v/>
      </c>
    </row>
    <row r="443" customFormat="false" ht="15" hidden="false" customHeight="false" outlineLevel="0" collapsed="false">
      <c r="A443" s="18"/>
      <c r="B443" s="18"/>
      <c r="C443" s="18"/>
      <c r="D443" s="18"/>
      <c r="E443" s="25"/>
      <c r="F443" s="25"/>
      <c r="G443" s="18"/>
      <c r="H443" s="26"/>
      <c r="I443" s="18"/>
      <c r="J443" s="18"/>
      <c r="K443" s="18"/>
      <c r="L443" s="27" t="str">
        <f aca="false">IF(C443="","",IF(G443="Concluída",1,N(H443)))</f>
        <v/>
      </c>
      <c r="M443" s="13" t="str">
        <f aca="true">IF(C443="","",IF(G443="Concluída","Concluída",IF(AND(F443&lt;&gt;"",F443&lt;TODAY()),"Atrasada","No prazo")))</f>
        <v/>
      </c>
    </row>
    <row r="444" customFormat="false" ht="15" hidden="false" customHeight="false" outlineLevel="0" collapsed="false">
      <c r="A444" s="18"/>
      <c r="B444" s="18"/>
      <c r="C444" s="18"/>
      <c r="D444" s="18"/>
      <c r="E444" s="25"/>
      <c r="F444" s="25"/>
      <c r="G444" s="18"/>
      <c r="H444" s="26"/>
      <c r="I444" s="18"/>
      <c r="J444" s="18"/>
      <c r="K444" s="18"/>
      <c r="L444" s="27" t="str">
        <f aca="false">IF(C444="","",IF(G444="Concluída",1,N(H444)))</f>
        <v/>
      </c>
      <c r="M444" s="13" t="str">
        <f aca="true">IF(C444="","",IF(G444="Concluída","Concluída",IF(AND(F444&lt;&gt;"",F444&lt;TODAY()),"Atrasada","No prazo")))</f>
        <v/>
      </c>
    </row>
    <row r="445" customFormat="false" ht="15" hidden="false" customHeight="false" outlineLevel="0" collapsed="false">
      <c r="A445" s="18"/>
      <c r="B445" s="18"/>
      <c r="C445" s="18"/>
      <c r="D445" s="18"/>
      <c r="E445" s="25"/>
      <c r="F445" s="25"/>
      <c r="G445" s="18"/>
      <c r="H445" s="26"/>
      <c r="I445" s="18"/>
      <c r="J445" s="18"/>
      <c r="K445" s="18"/>
      <c r="L445" s="27" t="str">
        <f aca="false">IF(C445="","",IF(G445="Concluída",1,N(H445)))</f>
        <v/>
      </c>
      <c r="M445" s="13" t="str">
        <f aca="true">IF(C445="","",IF(G445="Concluída","Concluída",IF(AND(F445&lt;&gt;"",F445&lt;TODAY()),"Atrasada","No prazo")))</f>
        <v/>
      </c>
    </row>
    <row r="446" customFormat="false" ht="15" hidden="false" customHeight="false" outlineLevel="0" collapsed="false">
      <c r="A446" s="18"/>
      <c r="B446" s="18"/>
      <c r="C446" s="18"/>
      <c r="D446" s="18"/>
      <c r="E446" s="25"/>
      <c r="F446" s="25"/>
      <c r="G446" s="18"/>
      <c r="H446" s="26"/>
      <c r="I446" s="18"/>
      <c r="J446" s="18"/>
      <c r="K446" s="18"/>
      <c r="L446" s="27" t="str">
        <f aca="false">IF(C446="","",IF(G446="Concluída",1,N(H446)))</f>
        <v/>
      </c>
      <c r="M446" s="13" t="str">
        <f aca="true">IF(C446="","",IF(G446="Concluída","Concluída",IF(AND(F446&lt;&gt;"",F446&lt;TODAY()),"Atrasada","No prazo")))</f>
        <v/>
      </c>
    </row>
    <row r="447" customFormat="false" ht="15" hidden="false" customHeight="false" outlineLevel="0" collapsed="false">
      <c r="A447" s="18"/>
      <c r="B447" s="18"/>
      <c r="C447" s="18"/>
      <c r="D447" s="18"/>
      <c r="E447" s="25"/>
      <c r="F447" s="25"/>
      <c r="G447" s="18"/>
      <c r="H447" s="26"/>
      <c r="I447" s="18"/>
      <c r="J447" s="18"/>
      <c r="K447" s="18"/>
      <c r="L447" s="27" t="str">
        <f aca="false">IF(C447="","",IF(G447="Concluída",1,N(H447)))</f>
        <v/>
      </c>
      <c r="M447" s="13" t="str">
        <f aca="true">IF(C447="","",IF(G447="Concluída","Concluída",IF(AND(F447&lt;&gt;"",F447&lt;TODAY()),"Atrasada","No prazo")))</f>
        <v/>
      </c>
    </row>
    <row r="448" customFormat="false" ht="15" hidden="false" customHeight="false" outlineLevel="0" collapsed="false">
      <c r="A448" s="18"/>
      <c r="B448" s="18"/>
      <c r="C448" s="18"/>
      <c r="D448" s="18"/>
      <c r="E448" s="25"/>
      <c r="F448" s="25"/>
      <c r="G448" s="18"/>
      <c r="H448" s="26"/>
      <c r="I448" s="18"/>
      <c r="J448" s="18"/>
      <c r="K448" s="18"/>
      <c r="L448" s="27" t="str">
        <f aca="false">IF(C448="","",IF(G448="Concluída",1,N(H448)))</f>
        <v/>
      </c>
      <c r="M448" s="13" t="str">
        <f aca="true">IF(C448="","",IF(G448="Concluída","Concluída",IF(AND(F448&lt;&gt;"",F448&lt;TODAY()),"Atrasada","No prazo")))</f>
        <v/>
      </c>
    </row>
    <row r="449" customFormat="false" ht="15" hidden="false" customHeight="false" outlineLevel="0" collapsed="false">
      <c r="A449" s="18"/>
      <c r="B449" s="18"/>
      <c r="C449" s="18"/>
      <c r="D449" s="18"/>
      <c r="E449" s="25"/>
      <c r="F449" s="25"/>
      <c r="G449" s="18"/>
      <c r="H449" s="26"/>
      <c r="I449" s="18"/>
      <c r="J449" s="18"/>
      <c r="K449" s="18"/>
      <c r="L449" s="27" t="str">
        <f aca="false">IF(C449="","",IF(G449="Concluída",1,N(H449)))</f>
        <v/>
      </c>
      <c r="M449" s="13" t="str">
        <f aca="true">IF(C449="","",IF(G449="Concluída","Concluída",IF(AND(F449&lt;&gt;"",F449&lt;TODAY()),"Atrasada","No prazo")))</f>
        <v/>
      </c>
    </row>
    <row r="450" customFormat="false" ht="15" hidden="false" customHeight="false" outlineLevel="0" collapsed="false">
      <c r="A450" s="18"/>
      <c r="B450" s="18"/>
      <c r="C450" s="18"/>
      <c r="D450" s="18"/>
      <c r="E450" s="25"/>
      <c r="F450" s="25"/>
      <c r="G450" s="18"/>
      <c r="H450" s="26"/>
      <c r="I450" s="18"/>
      <c r="J450" s="18"/>
      <c r="K450" s="18"/>
      <c r="L450" s="27" t="str">
        <f aca="false">IF(C450="","",IF(G450="Concluída",1,N(H450)))</f>
        <v/>
      </c>
      <c r="M450" s="13" t="str">
        <f aca="true">IF(C450="","",IF(G450="Concluída","Concluída",IF(AND(F450&lt;&gt;"",F450&lt;TODAY()),"Atrasada","No prazo")))</f>
        <v/>
      </c>
    </row>
    <row r="451" customFormat="false" ht="15" hidden="false" customHeight="false" outlineLevel="0" collapsed="false">
      <c r="A451" s="18"/>
      <c r="B451" s="18"/>
      <c r="C451" s="18"/>
      <c r="D451" s="18"/>
      <c r="E451" s="25"/>
      <c r="F451" s="25"/>
      <c r="G451" s="18"/>
      <c r="H451" s="26"/>
      <c r="I451" s="18"/>
      <c r="J451" s="18"/>
      <c r="K451" s="18"/>
      <c r="L451" s="27" t="str">
        <f aca="false">IF(C451="","",IF(G451="Concluída",1,N(H451)))</f>
        <v/>
      </c>
      <c r="M451" s="13" t="str">
        <f aca="true">IF(C451="","",IF(G451="Concluída","Concluída",IF(AND(F451&lt;&gt;"",F451&lt;TODAY()),"Atrasada","No prazo")))</f>
        <v/>
      </c>
    </row>
    <row r="452" customFormat="false" ht="15" hidden="false" customHeight="false" outlineLevel="0" collapsed="false">
      <c r="A452" s="18"/>
      <c r="B452" s="18"/>
      <c r="C452" s="18"/>
      <c r="D452" s="18"/>
      <c r="E452" s="25"/>
      <c r="F452" s="25"/>
      <c r="G452" s="18"/>
      <c r="H452" s="26"/>
      <c r="I452" s="18"/>
      <c r="J452" s="18"/>
      <c r="K452" s="18"/>
      <c r="L452" s="27" t="str">
        <f aca="false">IF(C452="","",IF(G452="Concluída",1,N(H452)))</f>
        <v/>
      </c>
      <c r="M452" s="13" t="str">
        <f aca="true">IF(C452="","",IF(G452="Concluída","Concluída",IF(AND(F452&lt;&gt;"",F452&lt;TODAY()),"Atrasada","No prazo")))</f>
        <v/>
      </c>
    </row>
    <row r="453" customFormat="false" ht="15" hidden="false" customHeight="false" outlineLevel="0" collapsed="false">
      <c r="A453" s="18"/>
      <c r="B453" s="18"/>
      <c r="C453" s="18"/>
      <c r="D453" s="18"/>
      <c r="E453" s="25"/>
      <c r="F453" s="25"/>
      <c r="G453" s="18"/>
      <c r="H453" s="26"/>
      <c r="I453" s="18"/>
      <c r="J453" s="18"/>
      <c r="K453" s="18"/>
      <c r="L453" s="27" t="str">
        <f aca="false">IF(C453="","",IF(G453="Concluída",1,N(H453)))</f>
        <v/>
      </c>
      <c r="M453" s="13" t="str">
        <f aca="true">IF(C453="","",IF(G453="Concluída","Concluída",IF(AND(F453&lt;&gt;"",F453&lt;TODAY()),"Atrasada","No prazo")))</f>
        <v/>
      </c>
    </row>
    <row r="454" customFormat="false" ht="15" hidden="false" customHeight="false" outlineLevel="0" collapsed="false">
      <c r="A454" s="18"/>
      <c r="B454" s="18"/>
      <c r="C454" s="18"/>
      <c r="D454" s="18"/>
      <c r="E454" s="25"/>
      <c r="F454" s="25"/>
      <c r="G454" s="18"/>
      <c r="H454" s="26"/>
      <c r="I454" s="18"/>
      <c r="J454" s="18"/>
      <c r="K454" s="18"/>
      <c r="L454" s="27" t="str">
        <f aca="false">IF(C454="","",IF(G454="Concluída",1,N(H454)))</f>
        <v/>
      </c>
      <c r="M454" s="13" t="str">
        <f aca="true">IF(C454="","",IF(G454="Concluída","Concluída",IF(AND(F454&lt;&gt;"",F454&lt;TODAY()),"Atrasada","No prazo")))</f>
        <v/>
      </c>
    </row>
    <row r="455" customFormat="false" ht="15" hidden="false" customHeight="false" outlineLevel="0" collapsed="false">
      <c r="A455" s="18"/>
      <c r="B455" s="18"/>
      <c r="C455" s="18"/>
      <c r="D455" s="18"/>
      <c r="E455" s="25"/>
      <c r="F455" s="25"/>
      <c r="G455" s="18"/>
      <c r="H455" s="26"/>
      <c r="I455" s="18"/>
      <c r="J455" s="18"/>
      <c r="K455" s="18"/>
      <c r="L455" s="27" t="str">
        <f aca="false">IF(C455="","",IF(G455="Concluída",1,N(H455)))</f>
        <v/>
      </c>
      <c r="M455" s="13" t="str">
        <f aca="true">IF(C455="","",IF(G455="Concluída","Concluída",IF(AND(F455&lt;&gt;"",F455&lt;TODAY()),"Atrasada","No prazo")))</f>
        <v/>
      </c>
    </row>
    <row r="456" customFormat="false" ht="15" hidden="false" customHeight="false" outlineLevel="0" collapsed="false">
      <c r="A456" s="18"/>
      <c r="B456" s="18"/>
      <c r="C456" s="18"/>
      <c r="D456" s="18"/>
      <c r="E456" s="25"/>
      <c r="F456" s="25"/>
      <c r="G456" s="18"/>
      <c r="H456" s="26"/>
      <c r="I456" s="18"/>
      <c r="J456" s="18"/>
      <c r="K456" s="18"/>
      <c r="L456" s="27" t="str">
        <f aca="false">IF(C456="","",IF(G456="Concluída",1,N(H456)))</f>
        <v/>
      </c>
      <c r="M456" s="13" t="str">
        <f aca="true">IF(C456="","",IF(G456="Concluída","Concluída",IF(AND(F456&lt;&gt;"",F456&lt;TODAY()),"Atrasada","No prazo")))</f>
        <v/>
      </c>
    </row>
    <row r="457" customFormat="false" ht="15" hidden="false" customHeight="false" outlineLevel="0" collapsed="false">
      <c r="A457" s="18"/>
      <c r="B457" s="18"/>
      <c r="C457" s="18"/>
      <c r="D457" s="18"/>
      <c r="E457" s="25"/>
      <c r="F457" s="25"/>
      <c r="G457" s="18"/>
      <c r="H457" s="26"/>
      <c r="I457" s="18"/>
      <c r="J457" s="18"/>
      <c r="K457" s="18"/>
      <c r="L457" s="27" t="str">
        <f aca="false">IF(C457="","",IF(G457="Concluída",1,N(H457)))</f>
        <v/>
      </c>
      <c r="M457" s="13" t="str">
        <f aca="true">IF(C457="","",IF(G457="Concluída","Concluída",IF(AND(F457&lt;&gt;"",F457&lt;TODAY()),"Atrasada","No prazo")))</f>
        <v/>
      </c>
    </row>
    <row r="458" customFormat="false" ht="15" hidden="false" customHeight="false" outlineLevel="0" collapsed="false">
      <c r="A458" s="18"/>
      <c r="B458" s="18"/>
      <c r="C458" s="18"/>
      <c r="D458" s="18"/>
      <c r="E458" s="25"/>
      <c r="F458" s="25"/>
      <c r="G458" s="18"/>
      <c r="H458" s="26"/>
      <c r="I458" s="18"/>
      <c r="J458" s="18"/>
      <c r="K458" s="18"/>
      <c r="L458" s="27" t="str">
        <f aca="false">IF(C458="","",IF(G458="Concluída",1,N(H458)))</f>
        <v/>
      </c>
      <c r="M458" s="13" t="str">
        <f aca="true">IF(C458="","",IF(G458="Concluída","Concluída",IF(AND(F458&lt;&gt;"",F458&lt;TODAY()),"Atrasada","No prazo")))</f>
        <v/>
      </c>
    </row>
    <row r="459" customFormat="false" ht="15" hidden="false" customHeight="false" outlineLevel="0" collapsed="false">
      <c r="A459" s="18"/>
      <c r="B459" s="18"/>
      <c r="C459" s="18"/>
      <c r="D459" s="18"/>
      <c r="E459" s="25"/>
      <c r="F459" s="25"/>
      <c r="G459" s="18"/>
      <c r="H459" s="26"/>
      <c r="I459" s="18"/>
      <c r="J459" s="18"/>
      <c r="K459" s="18"/>
      <c r="L459" s="27" t="str">
        <f aca="false">IF(C459="","",IF(G459="Concluída",1,N(H459)))</f>
        <v/>
      </c>
      <c r="M459" s="13" t="str">
        <f aca="true">IF(C459="","",IF(G459="Concluída","Concluída",IF(AND(F459&lt;&gt;"",F459&lt;TODAY()),"Atrasada","No prazo")))</f>
        <v/>
      </c>
    </row>
    <row r="460" customFormat="false" ht="15" hidden="false" customHeight="false" outlineLevel="0" collapsed="false">
      <c r="A460" s="18"/>
      <c r="B460" s="18"/>
      <c r="C460" s="18"/>
      <c r="D460" s="18"/>
      <c r="E460" s="25"/>
      <c r="F460" s="25"/>
      <c r="G460" s="18"/>
      <c r="H460" s="26"/>
      <c r="I460" s="18"/>
      <c r="J460" s="18"/>
      <c r="K460" s="18"/>
      <c r="L460" s="27" t="str">
        <f aca="false">IF(C460="","",IF(G460="Concluída",1,N(H460)))</f>
        <v/>
      </c>
      <c r="M460" s="13" t="str">
        <f aca="true">IF(C460="","",IF(G460="Concluída","Concluída",IF(AND(F460&lt;&gt;"",F460&lt;TODAY()),"Atrasada","No prazo")))</f>
        <v/>
      </c>
    </row>
    <row r="461" customFormat="false" ht="15" hidden="false" customHeight="false" outlineLevel="0" collapsed="false">
      <c r="A461" s="18"/>
      <c r="B461" s="18"/>
      <c r="C461" s="18"/>
      <c r="D461" s="18"/>
      <c r="E461" s="25"/>
      <c r="F461" s="25"/>
      <c r="G461" s="18"/>
      <c r="H461" s="26"/>
      <c r="I461" s="18"/>
      <c r="J461" s="18"/>
      <c r="K461" s="18"/>
      <c r="L461" s="27" t="str">
        <f aca="false">IF(C461="","",IF(G461="Concluída",1,N(H461)))</f>
        <v/>
      </c>
      <c r="M461" s="13" t="str">
        <f aca="true">IF(C461="","",IF(G461="Concluída","Concluída",IF(AND(F461&lt;&gt;"",F461&lt;TODAY()),"Atrasada","No prazo")))</f>
        <v/>
      </c>
    </row>
    <row r="462" customFormat="false" ht="15" hidden="false" customHeight="false" outlineLevel="0" collapsed="false">
      <c r="A462" s="18"/>
      <c r="B462" s="18"/>
      <c r="C462" s="18"/>
      <c r="D462" s="18"/>
      <c r="E462" s="25"/>
      <c r="F462" s="25"/>
      <c r="G462" s="18"/>
      <c r="H462" s="26"/>
      <c r="I462" s="18"/>
      <c r="J462" s="18"/>
      <c r="K462" s="18"/>
      <c r="L462" s="27" t="str">
        <f aca="false">IF(C462="","",IF(G462="Concluída",1,N(H462)))</f>
        <v/>
      </c>
      <c r="M462" s="13" t="str">
        <f aca="true">IF(C462="","",IF(G462="Concluída","Concluída",IF(AND(F462&lt;&gt;"",F462&lt;TODAY()),"Atrasada","No prazo")))</f>
        <v/>
      </c>
    </row>
    <row r="463" customFormat="false" ht="15" hidden="false" customHeight="false" outlineLevel="0" collapsed="false">
      <c r="A463" s="18"/>
      <c r="B463" s="18"/>
      <c r="C463" s="18"/>
      <c r="D463" s="18"/>
      <c r="E463" s="25"/>
      <c r="F463" s="25"/>
      <c r="G463" s="18"/>
      <c r="H463" s="26"/>
      <c r="I463" s="18"/>
      <c r="J463" s="18"/>
      <c r="K463" s="18"/>
      <c r="L463" s="27" t="str">
        <f aca="false">IF(C463="","",IF(G463="Concluída",1,N(H463)))</f>
        <v/>
      </c>
      <c r="M463" s="13" t="str">
        <f aca="true">IF(C463="","",IF(G463="Concluída","Concluída",IF(AND(F463&lt;&gt;"",F463&lt;TODAY()),"Atrasada","No prazo")))</f>
        <v/>
      </c>
    </row>
    <row r="464" customFormat="false" ht="15" hidden="false" customHeight="false" outlineLevel="0" collapsed="false">
      <c r="A464" s="18"/>
      <c r="B464" s="18"/>
      <c r="C464" s="18"/>
      <c r="D464" s="18"/>
      <c r="E464" s="25"/>
      <c r="F464" s="25"/>
      <c r="G464" s="18"/>
      <c r="H464" s="26"/>
      <c r="I464" s="18"/>
      <c r="J464" s="18"/>
      <c r="K464" s="18"/>
      <c r="L464" s="27" t="str">
        <f aca="false">IF(C464="","",IF(G464="Concluída",1,N(H464)))</f>
        <v/>
      </c>
      <c r="M464" s="13" t="str">
        <f aca="true">IF(C464="","",IF(G464="Concluída","Concluída",IF(AND(F464&lt;&gt;"",F464&lt;TODAY()),"Atrasada","No prazo")))</f>
        <v/>
      </c>
    </row>
    <row r="465" customFormat="false" ht="15" hidden="false" customHeight="false" outlineLevel="0" collapsed="false">
      <c r="A465" s="18"/>
      <c r="B465" s="18"/>
      <c r="C465" s="18"/>
      <c r="D465" s="18"/>
      <c r="E465" s="25"/>
      <c r="F465" s="25"/>
      <c r="G465" s="18"/>
      <c r="H465" s="26"/>
      <c r="I465" s="18"/>
      <c r="J465" s="18"/>
      <c r="K465" s="18"/>
      <c r="L465" s="27" t="str">
        <f aca="false">IF(C465="","",IF(G465="Concluída",1,N(H465)))</f>
        <v/>
      </c>
      <c r="M465" s="13" t="str">
        <f aca="true">IF(C465="","",IF(G465="Concluída","Concluída",IF(AND(F465&lt;&gt;"",F465&lt;TODAY()),"Atrasada","No prazo")))</f>
        <v/>
      </c>
    </row>
    <row r="466" customFormat="false" ht="15" hidden="false" customHeight="false" outlineLevel="0" collapsed="false">
      <c r="A466" s="18"/>
      <c r="B466" s="18"/>
      <c r="C466" s="18"/>
      <c r="D466" s="18"/>
      <c r="E466" s="25"/>
      <c r="F466" s="25"/>
      <c r="G466" s="18"/>
      <c r="H466" s="26"/>
      <c r="I466" s="18"/>
      <c r="J466" s="18"/>
      <c r="K466" s="18"/>
      <c r="L466" s="27" t="str">
        <f aca="false">IF(C466="","",IF(G466="Concluída",1,N(H466)))</f>
        <v/>
      </c>
      <c r="M466" s="13" t="str">
        <f aca="true">IF(C466="","",IF(G466="Concluída","Concluída",IF(AND(F466&lt;&gt;"",F466&lt;TODAY()),"Atrasada","No prazo")))</f>
        <v/>
      </c>
    </row>
    <row r="467" customFormat="false" ht="15" hidden="false" customHeight="false" outlineLevel="0" collapsed="false">
      <c r="A467" s="18"/>
      <c r="B467" s="18"/>
      <c r="C467" s="18"/>
      <c r="D467" s="18"/>
      <c r="E467" s="25"/>
      <c r="F467" s="25"/>
      <c r="G467" s="18"/>
      <c r="H467" s="26"/>
      <c r="I467" s="18"/>
      <c r="J467" s="18"/>
      <c r="K467" s="18"/>
      <c r="L467" s="27" t="str">
        <f aca="false">IF(C467="","",IF(G467="Concluída",1,N(H467)))</f>
        <v/>
      </c>
      <c r="M467" s="13" t="str">
        <f aca="true">IF(C467="","",IF(G467="Concluída","Concluída",IF(AND(F467&lt;&gt;"",F467&lt;TODAY()),"Atrasada","No prazo")))</f>
        <v/>
      </c>
    </row>
    <row r="468" customFormat="false" ht="15" hidden="false" customHeight="false" outlineLevel="0" collapsed="false">
      <c r="A468" s="18"/>
      <c r="B468" s="18"/>
      <c r="C468" s="18"/>
      <c r="D468" s="18"/>
      <c r="E468" s="25"/>
      <c r="F468" s="25"/>
      <c r="G468" s="18"/>
      <c r="H468" s="26"/>
      <c r="I468" s="18"/>
      <c r="J468" s="18"/>
      <c r="K468" s="18"/>
      <c r="L468" s="27" t="str">
        <f aca="false">IF(C468="","",IF(G468="Concluída",1,N(H468)))</f>
        <v/>
      </c>
      <c r="M468" s="13" t="str">
        <f aca="true">IF(C468="","",IF(G468="Concluída","Concluída",IF(AND(F468&lt;&gt;"",F468&lt;TODAY()),"Atrasada","No prazo")))</f>
        <v/>
      </c>
    </row>
    <row r="469" customFormat="false" ht="15" hidden="false" customHeight="false" outlineLevel="0" collapsed="false">
      <c r="A469" s="18"/>
      <c r="B469" s="18"/>
      <c r="C469" s="18"/>
      <c r="D469" s="18"/>
      <c r="E469" s="25"/>
      <c r="F469" s="25"/>
      <c r="G469" s="18"/>
      <c r="H469" s="26"/>
      <c r="I469" s="18"/>
      <c r="J469" s="18"/>
      <c r="K469" s="18"/>
      <c r="L469" s="27" t="str">
        <f aca="false">IF(C469="","",IF(G469="Concluída",1,N(H469)))</f>
        <v/>
      </c>
      <c r="M469" s="13" t="str">
        <f aca="true">IF(C469="","",IF(G469="Concluída","Concluída",IF(AND(F469&lt;&gt;"",F469&lt;TODAY()),"Atrasada","No prazo")))</f>
        <v/>
      </c>
    </row>
    <row r="470" customFormat="false" ht="15" hidden="false" customHeight="false" outlineLevel="0" collapsed="false">
      <c r="A470" s="18"/>
      <c r="B470" s="18"/>
      <c r="C470" s="18"/>
      <c r="D470" s="18"/>
      <c r="E470" s="25"/>
      <c r="F470" s="25"/>
      <c r="G470" s="18"/>
      <c r="H470" s="26"/>
      <c r="I470" s="18"/>
      <c r="J470" s="18"/>
      <c r="K470" s="18"/>
      <c r="L470" s="27" t="str">
        <f aca="false">IF(C470="","",IF(G470="Concluída",1,N(H470)))</f>
        <v/>
      </c>
      <c r="M470" s="13" t="str">
        <f aca="true">IF(C470="","",IF(G470="Concluída","Concluída",IF(AND(F470&lt;&gt;"",F470&lt;TODAY()),"Atrasada","No prazo")))</f>
        <v/>
      </c>
    </row>
    <row r="471" customFormat="false" ht="15" hidden="false" customHeight="false" outlineLevel="0" collapsed="false">
      <c r="A471" s="18"/>
      <c r="B471" s="18"/>
      <c r="C471" s="18"/>
      <c r="D471" s="18"/>
      <c r="E471" s="25"/>
      <c r="F471" s="25"/>
      <c r="G471" s="18"/>
      <c r="H471" s="26"/>
      <c r="I471" s="18"/>
      <c r="J471" s="18"/>
      <c r="K471" s="18"/>
      <c r="L471" s="27" t="str">
        <f aca="false">IF(C471="","",IF(G471="Concluída",1,N(H471)))</f>
        <v/>
      </c>
      <c r="M471" s="13" t="str">
        <f aca="true">IF(C471="","",IF(G471="Concluída","Concluída",IF(AND(F471&lt;&gt;"",F471&lt;TODAY()),"Atrasada","No prazo")))</f>
        <v/>
      </c>
    </row>
    <row r="472" customFormat="false" ht="15" hidden="false" customHeight="false" outlineLevel="0" collapsed="false">
      <c r="A472" s="18"/>
      <c r="B472" s="18"/>
      <c r="C472" s="18"/>
      <c r="D472" s="18"/>
      <c r="E472" s="25"/>
      <c r="F472" s="25"/>
      <c r="G472" s="18"/>
      <c r="H472" s="26"/>
      <c r="I472" s="18"/>
      <c r="J472" s="18"/>
      <c r="K472" s="18"/>
      <c r="L472" s="27" t="str">
        <f aca="false">IF(C472="","",IF(G472="Concluída",1,N(H472)))</f>
        <v/>
      </c>
      <c r="M472" s="13" t="str">
        <f aca="true">IF(C472="","",IF(G472="Concluída","Concluída",IF(AND(F472&lt;&gt;"",F472&lt;TODAY()),"Atrasada","No prazo")))</f>
        <v/>
      </c>
    </row>
    <row r="473" customFormat="false" ht="15" hidden="false" customHeight="false" outlineLevel="0" collapsed="false">
      <c r="A473" s="18"/>
      <c r="B473" s="18"/>
      <c r="C473" s="18"/>
      <c r="D473" s="18"/>
      <c r="E473" s="25"/>
      <c r="F473" s="25"/>
      <c r="G473" s="18"/>
      <c r="H473" s="26"/>
      <c r="I473" s="18"/>
      <c r="J473" s="18"/>
      <c r="K473" s="18"/>
      <c r="L473" s="27" t="str">
        <f aca="false">IF(C473="","",IF(G473="Concluída",1,N(H473)))</f>
        <v/>
      </c>
      <c r="M473" s="13" t="str">
        <f aca="true">IF(C473="","",IF(G473="Concluída","Concluída",IF(AND(F473&lt;&gt;"",F473&lt;TODAY()),"Atrasada","No prazo")))</f>
        <v/>
      </c>
    </row>
    <row r="474" customFormat="false" ht="15" hidden="false" customHeight="false" outlineLevel="0" collapsed="false">
      <c r="A474" s="18"/>
      <c r="B474" s="18"/>
      <c r="C474" s="18"/>
      <c r="D474" s="18"/>
      <c r="E474" s="25"/>
      <c r="F474" s="25"/>
      <c r="G474" s="18"/>
      <c r="H474" s="26"/>
      <c r="I474" s="18"/>
      <c r="J474" s="18"/>
      <c r="K474" s="18"/>
      <c r="L474" s="27" t="str">
        <f aca="false">IF(C474="","",IF(G474="Concluída",1,N(H474)))</f>
        <v/>
      </c>
      <c r="M474" s="13" t="str">
        <f aca="true">IF(C474="","",IF(G474="Concluída","Concluída",IF(AND(F474&lt;&gt;"",F474&lt;TODAY()),"Atrasada","No prazo")))</f>
        <v/>
      </c>
    </row>
    <row r="475" customFormat="false" ht="15" hidden="false" customHeight="false" outlineLevel="0" collapsed="false">
      <c r="A475" s="18"/>
      <c r="B475" s="18"/>
      <c r="C475" s="18"/>
      <c r="D475" s="18"/>
      <c r="E475" s="25"/>
      <c r="F475" s="25"/>
      <c r="G475" s="18"/>
      <c r="H475" s="26"/>
      <c r="I475" s="18"/>
      <c r="J475" s="18"/>
      <c r="K475" s="18"/>
      <c r="L475" s="27" t="str">
        <f aca="false">IF(C475="","",IF(G475="Concluída",1,N(H475)))</f>
        <v/>
      </c>
      <c r="M475" s="13" t="str">
        <f aca="true">IF(C475="","",IF(G475="Concluída","Concluída",IF(AND(F475&lt;&gt;"",F475&lt;TODAY()),"Atrasada","No prazo")))</f>
        <v/>
      </c>
    </row>
    <row r="476" customFormat="false" ht="15" hidden="false" customHeight="false" outlineLevel="0" collapsed="false">
      <c r="A476" s="18"/>
      <c r="B476" s="18"/>
      <c r="C476" s="18"/>
      <c r="D476" s="18"/>
      <c r="E476" s="25"/>
      <c r="F476" s="25"/>
      <c r="G476" s="18"/>
      <c r="H476" s="26"/>
      <c r="I476" s="18"/>
      <c r="J476" s="18"/>
      <c r="K476" s="18"/>
      <c r="L476" s="27" t="str">
        <f aca="false">IF(C476="","",IF(G476="Concluída",1,N(H476)))</f>
        <v/>
      </c>
      <c r="M476" s="13" t="str">
        <f aca="true">IF(C476="","",IF(G476="Concluída","Concluída",IF(AND(F476&lt;&gt;"",F476&lt;TODAY()),"Atrasada","No prazo")))</f>
        <v/>
      </c>
    </row>
    <row r="477" customFormat="false" ht="15" hidden="false" customHeight="false" outlineLevel="0" collapsed="false">
      <c r="A477" s="18"/>
      <c r="B477" s="18"/>
      <c r="C477" s="18"/>
      <c r="D477" s="18"/>
      <c r="E477" s="25"/>
      <c r="F477" s="25"/>
      <c r="G477" s="18"/>
      <c r="H477" s="26"/>
      <c r="I477" s="18"/>
      <c r="J477" s="18"/>
      <c r="K477" s="18"/>
      <c r="L477" s="27" t="str">
        <f aca="false">IF(C477="","",IF(G477="Concluída",1,N(H477)))</f>
        <v/>
      </c>
      <c r="M477" s="13" t="str">
        <f aca="true">IF(C477="","",IF(G477="Concluída","Concluída",IF(AND(F477&lt;&gt;"",F477&lt;TODAY()),"Atrasada","No prazo")))</f>
        <v/>
      </c>
    </row>
    <row r="478" customFormat="false" ht="15" hidden="false" customHeight="false" outlineLevel="0" collapsed="false">
      <c r="A478" s="18"/>
      <c r="B478" s="18"/>
      <c r="C478" s="18"/>
      <c r="D478" s="18"/>
      <c r="E478" s="25"/>
      <c r="F478" s="25"/>
      <c r="G478" s="18"/>
      <c r="H478" s="26"/>
      <c r="I478" s="18"/>
      <c r="J478" s="18"/>
      <c r="K478" s="18"/>
      <c r="L478" s="27" t="str">
        <f aca="false">IF(C478="","",IF(G478="Concluída",1,N(H478)))</f>
        <v/>
      </c>
      <c r="M478" s="13" t="str">
        <f aca="true">IF(C478="","",IF(G478="Concluída","Concluída",IF(AND(F478&lt;&gt;"",F478&lt;TODAY()),"Atrasada","No prazo")))</f>
        <v/>
      </c>
    </row>
    <row r="479" customFormat="false" ht="15" hidden="false" customHeight="false" outlineLevel="0" collapsed="false">
      <c r="A479" s="18"/>
      <c r="B479" s="18"/>
      <c r="C479" s="18"/>
      <c r="D479" s="18"/>
      <c r="E479" s="25"/>
      <c r="F479" s="25"/>
      <c r="G479" s="18"/>
      <c r="H479" s="26"/>
      <c r="I479" s="18"/>
      <c r="J479" s="18"/>
      <c r="K479" s="18"/>
      <c r="L479" s="27" t="str">
        <f aca="false">IF(C479="","",IF(G479="Concluída",1,N(H479)))</f>
        <v/>
      </c>
      <c r="M479" s="13" t="str">
        <f aca="true">IF(C479="","",IF(G479="Concluída","Concluída",IF(AND(F479&lt;&gt;"",F479&lt;TODAY()),"Atrasada","No prazo")))</f>
        <v/>
      </c>
    </row>
    <row r="480" customFormat="false" ht="15" hidden="false" customHeight="false" outlineLevel="0" collapsed="false">
      <c r="A480" s="18"/>
      <c r="B480" s="18"/>
      <c r="C480" s="18"/>
      <c r="D480" s="18"/>
      <c r="E480" s="25"/>
      <c r="F480" s="25"/>
      <c r="G480" s="18"/>
      <c r="H480" s="26"/>
      <c r="I480" s="18"/>
      <c r="J480" s="18"/>
      <c r="K480" s="18"/>
      <c r="L480" s="27" t="str">
        <f aca="false">IF(C480="","",IF(G480="Concluída",1,N(H480)))</f>
        <v/>
      </c>
      <c r="M480" s="13" t="str">
        <f aca="true">IF(C480="","",IF(G480="Concluída","Concluída",IF(AND(F480&lt;&gt;"",F480&lt;TODAY()),"Atrasada","No prazo")))</f>
        <v/>
      </c>
    </row>
    <row r="481" customFormat="false" ht="15" hidden="false" customHeight="false" outlineLevel="0" collapsed="false">
      <c r="A481" s="18"/>
      <c r="B481" s="18"/>
      <c r="C481" s="18"/>
      <c r="D481" s="18"/>
      <c r="E481" s="25"/>
      <c r="F481" s="25"/>
      <c r="G481" s="18"/>
      <c r="H481" s="26"/>
      <c r="I481" s="18"/>
      <c r="J481" s="18"/>
      <c r="K481" s="18"/>
      <c r="L481" s="27" t="str">
        <f aca="false">IF(C481="","",IF(G481="Concluída",1,N(H481)))</f>
        <v/>
      </c>
      <c r="M481" s="13" t="str">
        <f aca="true">IF(C481="","",IF(G481="Concluída","Concluída",IF(AND(F481&lt;&gt;"",F481&lt;TODAY()),"Atrasada","No prazo")))</f>
        <v/>
      </c>
    </row>
    <row r="482" customFormat="false" ht="15" hidden="false" customHeight="false" outlineLevel="0" collapsed="false">
      <c r="A482" s="18"/>
      <c r="B482" s="18"/>
      <c r="C482" s="18"/>
      <c r="D482" s="18"/>
      <c r="E482" s="25"/>
      <c r="F482" s="25"/>
      <c r="G482" s="18"/>
      <c r="H482" s="26"/>
      <c r="I482" s="18"/>
      <c r="J482" s="18"/>
      <c r="K482" s="18"/>
      <c r="L482" s="27" t="str">
        <f aca="false">IF(C482="","",IF(G482="Concluída",1,N(H482)))</f>
        <v/>
      </c>
      <c r="M482" s="13" t="str">
        <f aca="true">IF(C482="","",IF(G482="Concluída","Concluída",IF(AND(F482&lt;&gt;"",F482&lt;TODAY()),"Atrasada","No prazo")))</f>
        <v/>
      </c>
    </row>
    <row r="483" customFormat="false" ht="15" hidden="false" customHeight="false" outlineLevel="0" collapsed="false">
      <c r="A483" s="18"/>
      <c r="B483" s="18"/>
      <c r="C483" s="18"/>
      <c r="D483" s="18"/>
      <c r="E483" s="25"/>
      <c r="F483" s="25"/>
      <c r="G483" s="18"/>
      <c r="H483" s="26"/>
      <c r="I483" s="18"/>
      <c r="J483" s="18"/>
      <c r="K483" s="18"/>
      <c r="L483" s="27" t="str">
        <f aca="false">IF(C483="","",IF(G483="Concluída",1,N(H483)))</f>
        <v/>
      </c>
      <c r="M483" s="13" t="str">
        <f aca="true">IF(C483="","",IF(G483="Concluída","Concluída",IF(AND(F483&lt;&gt;"",F483&lt;TODAY()),"Atrasada","No prazo")))</f>
        <v/>
      </c>
    </row>
    <row r="484" customFormat="false" ht="15" hidden="false" customHeight="false" outlineLevel="0" collapsed="false">
      <c r="A484" s="18"/>
      <c r="B484" s="18"/>
      <c r="C484" s="18"/>
      <c r="D484" s="18"/>
      <c r="E484" s="25"/>
      <c r="F484" s="25"/>
      <c r="G484" s="18"/>
      <c r="H484" s="26"/>
      <c r="I484" s="18"/>
      <c r="J484" s="18"/>
      <c r="K484" s="18"/>
      <c r="L484" s="27" t="str">
        <f aca="false">IF(C484="","",IF(G484="Concluída",1,N(H484)))</f>
        <v/>
      </c>
      <c r="M484" s="13" t="str">
        <f aca="true">IF(C484="","",IF(G484="Concluída","Concluída",IF(AND(F484&lt;&gt;"",F484&lt;TODAY()),"Atrasada","No prazo")))</f>
        <v/>
      </c>
    </row>
    <row r="485" customFormat="false" ht="15" hidden="false" customHeight="false" outlineLevel="0" collapsed="false">
      <c r="A485" s="18"/>
      <c r="B485" s="18"/>
      <c r="C485" s="18"/>
      <c r="D485" s="18"/>
      <c r="E485" s="25"/>
      <c r="F485" s="25"/>
      <c r="G485" s="18"/>
      <c r="H485" s="26"/>
      <c r="I485" s="18"/>
      <c r="J485" s="18"/>
      <c r="K485" s="18"/>
      <c r="L485" s="27" t="str">
        <f aca="false">IF(C485="","",IF(G485="Concluída",1,N(H485)))</f>
        <v/>
      </c>
      <c r="M485" s="13" t="str">
        <f aca="true">IF(C485="","",IF(G485="Concluída","Concluída",IF(AND(F485&lt;&gt;"",F485&lt;TODAY()),"Atrasada","No prazo")))</f>
        <v/>
      </c>
    </row>
    <row r="486" customFormat="false" ht="15" hidden="false" customHeight="false" outlineLevel="0" collapsed="false">
      <c r="A486" s="18"/>
      <c r="B486" s="18"/>
      <c r="C486" s="18"/>
      <c r="D486" s="18"/>
      <c r="E486" s="25"/>
      <c r="F486" s="25"/>
      <c r="G486" s="18"/>
      <c r="H486" s="26"/>
      <c r="I486" s="18"/>
      <c r="J486" s="18"/>
      <c r="K486" s="18"/>
      <c r="L486" s="27" t="str">
        <f aca="false">IF(C486="","",IF(G486="Concluída",1,N(H486)))</f>
        <v/>
      </c>
      <c r="M486" s="13" t="str">
        <f aca="true">IF(C486="","",IF(G486="Concluída","Concluída",IF(AND(F486&lt;&gt;"",F486&lt;TODAY()),"Atrasada","No prazo")))</f>
        <v/>
      </c>
    </row>
    <row r="487" customFormat="false" ht="15" hidden="false" customHeight="false" outlineLevel="0" collapsed="false">
      <c r="A487" s="18"/>
      <c r="B487" s="18"/>
      <c r="C487" s="18"/>
      <c r="D487" s="18"/>
      <c r="E487" s="25"/>
      <c r="F487" s="25"/>
      <c r="G487" s="18"/>
      <c r="H487" s="26"/>
      <c r="I487" s="18"/>
      <c r="J487" s="18"/>
      <c r="K487" s="18"/>
      <c r="L487" s="27" t="str">
        <f aca="false">IF(C487="","",IF(G487="Concluída",1,N(H487)))</f>
        <v/>
      </c>
      <c r="M487" s="13" t="str">
        <f aca="true">IF(C487="","",IF(G487="Concluída","Concluída",IF(AND(F487&lt;&gt;"",F487&lt;TODAY()),"Atrasada","No prazo")))</f>
        <v/>
      </c>
    </row>
    <row r="488" customFormat="false" ht="15" hidden="false" customHeight="false" outlineLevel="0" collapsed="false">
      <c r="A488" s="18"/>
      <c r="B488" s="18"/>
      <c r="C488" s="18"/>
      <c r="D488" s="18"/>
      <c r="E488" s="25"/>
      <c r="F488" s="25"/>
      <c r="G488" s="18"/>
      <c r="H488" s="26"/>
      <c r="I488" s="18"/>
      <c r="J488" s="18"/>
      <c r="K488" s="18"/>
      <c r="L488" s="27" t="str">
        <f aca="false">IF(C488="","",IF(G488="Concluída",1,N(H488)))</f>
        <v/>
      </c>
      <c r="M488" s="13" t="str">
        <f aca="true">IF(C488="","",IF(G488="Concluída","Concluída",IF(AND(F488&lt;&gt;"",F488&lt;TODAY()),"Atrasada","No prazo")))</f>
        <v/>
      </c>
    </row>
    <row r="489" customFormat="false" ht="15" hidden="false" customHeight="false" outlineLevel="0" collapsed="false">
      <c r="A489" s="18"/>
      <c r="B489" s="18"/>
      <c r="C489" s="18"/>
      <c r="D489" s="18"/>
      <c r="E489" s="25"/>
      <c r="F489" s="25"/>
      <c r="G489" s="18"/>
      <c r="H489" s="26"/>
      <c r="I489" s="18"/>
      <c r="J489" s="18"/>
      <c r="K489" s="18"/>
      <c r="L489" s="27" t="str">
        <f aca="false">IF(C489="","",IF(G489="Concluída",1,N(H489)))</f>
        <v/>
      </c>
      <c r="M489" s="13" t="str">
        <f aca="true">IF(C489="","",IF(G489="Concluída","Concluída",IF(AND(F489&lt;&gt;"",F489&lt;TODAY()),"Atrasada","No prazo")))</f>
        <v/>
      </c>
    </row>
    <row r="490" customFormat="false" ht="15" hidden="false" customHeight="false" outlineLevel="0" collapsed="false">
      <c r="A490" s="18"/>
      <c r="B490" s="18"/>
      <c r="C490" s="18"/>
      <c r="D490" s="18"/>
      <c r="E490" s="25"/>
      <c r="F490" s="25"/>
      <c r="G490" s="18"/>
      <c r="H490" s="26"/>
      <c r="I490" s="18"/>
      <c r="J490" s="18"/>
      <c r="K490" s="18"/>
      <c r="L490" s="27" t="str">
        <f aca="false">IF(C490="","",IF(G490="Concluída",1,N(H490)))</f>
        <v/>
      </c>
      <c r="M490" s="13" t="str">
        <f aca="true">IF(C490="","",IF(G490="Concluída","Concluída",IF(AND(F490&lt;&gt;"",F490&lt;TODAY()),"Atrasada","No prazo")))</f>
        <v/>
      </c>
    </row>
    <row r="491" customFormat="false" ht="15" hidden="false" customHeight="false" outlineLevel="0" collapsed="false">
      <c r="A491" s="18"/>
      <c r="B491" s="18"/>
      <c r="C491" s="18"/>
      <c r="D491" s="18"/>
      <c r="E491" s="25"/>
      <c r="F491" s="25"/>
      <c r="G491" s="18"/>
      <c r="H491" s="26"/>
      <c r="I491" s="18"/>
      <c r="J491" s="18"/>
      <c r="K491" s="18"/>
      <c r="L491" s="27" t="str">
        <f aca="false">IF(C491="","",IF(G491="Concluída",1,N(H491)))</f>
        <v/>
      </c>
      <c r="M491" s="13" t="str">
        <f aca="true">IF(C491="","",IF(G491="Concluída","Concluída",IF(AND(F491&lt;&gt;"",F491&lt;TODAY()),"Atrasada","No prazo")))</f>
        <v/>
      </c>
    </row>
    <row r="492" customFormat="false" ht="15" hidden="false" customHeight="false" outlineLevel="0" collapsed="false">
      <c r="A492" s="18"/>
      <c r="B492" s="18"/>
      <c r="C492" s="18"/>
      <c r="D492" s="18"/>
      <c r="E492" s="25"/>
      <c r="F492" s="25"/>
      <c r="G492" s="18"/>
      <c r="H492" s="26"/>
      <c r="I492" s="18"/>
      <c r="J492" s="18"/>
      <c r="K492" s="18"/>
      <c r="L492" s="27" t="str">
        <f aca="false">IF(C492="","",IF(G492="Concluída",1,N(H492)))</f>
        <v/>
      </c>
      <c r="M492" s="13" t="str">
        <f aca="true">IF(C492="","",IF(G492="Concluída","Concluída",IF(AND(F492&lt;&gt;"",F492&lt;TODAY()),"Atrasada","No prazo")))</f>
        <v/>
      </c>
    </row>
    <row r="493" customFormat="false" ht="15" hidden="false" customHeight="false" outlineLevel="0" collapsed="false">
      <c r="A493" s="18"/>
      <c r="B493" s="18"/>
      <c r="C493" s="18"/>
      <c r="D493" s="18"/>
      <c r="E493" s="25"/>
      <c r="F493" s="25"/>
      <c r="G493" s="18"/>
      <c r="H493" s="26"/>
      <c r="I493" s="18"/>
      <c r="J493" s="18"/>
      <c r="K493" s="18"/>
      <c r="L493" s="27" t="str">
        <f aca="false">IF(C493="","",IF(G493="Concluída",1,N(H493)))</f>
        <v/>
      </c>
      <c r="M493" s="13" t="str">
        <f aca="true">IF(C493="","",IF(G493="Concluída","Concluída",IF(AND(F493&lt;&gt;"",F493&lt;TODAY()),"Atrasada","No prazo")))</f>
        <v/>
      </c>
    </row>
    <row r="494" customFormat="false" ht="15" hidden="false" customHeight="false" outlineLevel="0" collapsed="false">
      <c r="A494" s="18"/>
      <c r="B494" s="18"/>
      <c r="C494" s="18"/>
      <c r="D494" s="18"/>
      <c r="E494" s="25"/>
      <c r="F494" s="25"/>
      <c r="G494" s="18"/>
      <c r="H494" s="26"/>
      <c r="I494" s="18"/>
      <c r="J494" s="18"/>
      <c r="K494" s="18"/>
      <c r="L494" s="27" t="str">
        <f aca="false">IF(C494="","",IF(G494="Concluída",1,N(H494)))</f>
        <v/>
      </c>
      <c r="M494" s="13" t="str">
        <f aca="true">IF(C494="","",IF(G494="Concluída","Concluída",IF(AND(F494&lt;&gt;"",F494&lt;TODAY()),"Atrasada","No prazo")))</f>
        <v/>
      </c>
    </row>
    <row r="495" customFormat="false" ht="15" hidden="false" customHeight="false" outlineLevel="0" collapsed="false">
      <c r="A495" s="18"/>
      <c r="B495" s="18"/>
      <c r="C495" s="18"/>
      <c r="D495" s="18"/>
      <c r="E495" s="25"/>
      <c r="F495" s="25"/>
      <c r="G495" s="18"/>
      <c r="H495" s="26"/>
      <c r="I495" s="18"/>
      <c r="J495" s="18"/>
      <c r="K495" s="18"/>
      <c r="L495" s="27" t="str">
        <f aca="false">IF(C495="","",IF(G495="Concluída",1,N(H495)))</f>
        <v/>
      </c>
      <c r="M495" s="13" t="str">
        <f aca="true">IF(C495="","",IF(G495="Concluída","Concluída",IF(AND(F495&lt;&gt;"",F495&lt;TODAY()),"Atrasada","No prazo")))</f>
        <v/>
      </c>
    </row>
    <row r="496" customFormat="false" ht="15" hidden="false" customHeight="false" outlineLevel="0" collapsed="false">
      <c r="A496" s="18"/>
      <c r="B496" s="18"/>
      <c r="C496" s="18"/>
      <c r="D496" s="18"/>
      <c r="E496" s="25"/>
      <c r="F496" s="25"/>
      <c r="G496" s="18"/>
      <c r="H496" s="26"/>
      <c r="I496" s="18"/>
      <c r="J496" s="18"/>
      <c r="K496" s="18"/>
      <c r="L496" s="27" t="str">
        <f aca="false">IF(C496="","",IF(G496="Concluída",1,N(H496)))</f>
        <v/>
      </c>
      <c r="M496" s="13" t="str">
        <f aca="true">IF(C496="","",IF(G496="Concluída","Concluída",IF(AND(F496&lt;&gt;"",F496&lt;TODAY()),"Atrasada","No prazo")))</f>
        <v/>
      </c>
    </row>
    <row r="497" customFormat="false" ht="15" hidden="false" customHeight="false" outlineLevel="0" collapsed="false">
      <c r="A497" s="18"/>
      <c r="B497" s="18"/>
      <c r="C497" s="18"/>
      <c r="D497" s="18"/>
      <c r="E497" s="25"/>
      <c r="F497" s="25"/>
      <c r="G497" s="18"/>
      <c r="H497" s="26"/>
      <c r="I497" s="18"/>
      <c r="J497" s="18"/>
      <c r="K497" s="18"/>
      <c r="L497" s="27" t="str">
        <f aca="false">IF(C497="","",IF(G497="Concluída",1,N(H497)))</f>
        <v/>
      </c>
      <c r="M497" s="13" t="str">
        <f aca="true">IF(C497="","",IF(G497="Concluída","Concluída",IF(AND(F497&lt;&gt;"",F497&lt;TODAY()),"Atrasada","No prazo")))</f>
        <v/>
      </c>
    </row>
    <row r="498" customFormat="false" ht="15" hidden="false" customHeight="false" outlineLevel="0" collapsed="false">
      <c r="A498" s="18"/>
      <c r="B498" s="18"/>
      <c r="C498" s="18"/>
      <c r="D498" s="18"/>
      <c r="E498" s="25"/>
      <c r="F498" s="25"/>
      <c r="G498" s="18"/>
      <c r="H498" s="26"/>
      <c r="I498" s="18"/>
      <c r="J498" s="18"/>
      <c r="K498" s="18"/>
      <c r="L498" s="27" t="str">
        <f aca="false">IF(C498="","",IF(G498="Concluída",1,N(H498)))</f>
        <v/>
      </c>
      <c r="M498" s="13" t="str">
        <f aca="true">IF(C498="","",IF(G498="Concluída","Concluída",IF(AND(F498&lt;&gt;"",F498&lt;TODAY()),"Atrasada","No prazo")))</f>
        <v/>
      </c>
    </row>
    <row r="499" customFormat="false" ht="15" hidden="false" customHeight="false" outlineLevel="0" collapsed="false">
      <c r="A499" s="18"/>
      <c r="B499" s="18"/>
      <c r="C499" s="18"/>
      <c r="D499" s="18"/>
      <c r="E499" s="25"/>
      <c r="F499" s="25"/>
      <c r="G499" s="18"/>
      <c r="H499" s="26"/>
      <c r="I499" s="18"/>
      <c r="J499" s="18"/>
      <c r="K499" s="18"/>
      <c r="L499" s="27" t="str">
        <f aca="false">IF(C499="","",IF(G499="Concluída",1,N(H499)))</f>
        <v/>
      </c>
      <c r="M499" s="13" t="str">
        <f aca="true">IF(C499="","",IF(G499="Concluída","Concluída",IF(AND(F499&lt;&gt;"",F499&lt;TODAY()),"Atrasada","No prazo")))</f>
        <v/>
      </c>
    </row>
    <row r="500" customFormat="false" ht="15" hidden="false" customHeight="false" outlineLevel="0" collapsed="false">
      <c r="A500" s="18"/>
      <c r="B500" s="18"/>
      <c r="C500" s="18"/>
      <c r="D500" s="18"/>
      <c r="E500" s="25"/>
      <c r="F500" s="25"/>
      <c r="G500" s="18"/>
      <c r="H500" s="26"/>
      <c r="I500" s="18"/>
      <c r="J500" s="18"/>
      <c r="K500" s="18"/>
      <c r="L500" s="27" t="str">
        <f aca="false">IF(C500="","",IF(G500="Concluída",1,N(H500)))</f>
        <v/>
      </c>
      <c r="M500" s="13" t="str">
        <f aca="true">IF(C500="","",IF(G500="Concluída","Concluída",IF(AND(F500&lt;&gt;"",F500&lt;TODAY()),"Atrasada","No prazo")))</f>
        <v/>
      </c>
    </row>
    <row r="501" customFormat="false" ht="15" hidden="false" customHeight="false" outlineLevel="0" collapsed="false">
      <c r="A501" s="18"/>
      <c r="B501" s="18"/>
      <c r="C501" s="18"/>
      <c r="D501" s="18"/>
      <c r="E501" s="25"/>
      <c r="F501" s="25"/>
      <c r="G501" s="18"/>
      <c r="H501" s="26"/>
      <c r="I501" s="18"/>
      <c r="J501" s="18"/>
      <c r="K501" s="18"/>
      <c r="L501" s="27" t="str">
        <f aca="false">IF(C501="","",IF(G501="Concluída",1,N(H501)))</f>
        <v/>
      </c>
      <c r="M501" s="13" t="str">
        <f aca="true">IF(C501="","",IF(G501="Concluída","Concluída",IF(AND(F501&lt;&gt;"",F501&lt;TODAY()),"Atrasada","No prazo")))</f>
        <v/>
      </c>
    </row>
    <row r="502" customFormat="false" ht="15" hidden="false" customHeight="false" outlineLevel="0" collapsed="false">
      <c r="A502" s="18"/>
      <c r="B502" s="18"/>
      <c r="C502" s="18"/>
      <c r="D502" s="18"/>
      <c r="E502" s="25"/>
      <c r="F502" s="25"/>
      <c r="G502" s="18"/>
      <c r="H502" s="26"/>
      <c r="I502" s="18"/>
      <c r="J502" s="18"/>
      <c r="K502" s="18"/>
      <c r="L502" s="27" t="str">
        <f aca="false">IF(C502="","",IF(G502="Concluída",1,N(H502)))</f>
        <v/>
      </c>
      <c r="M502" s="13" t="str">
        <f aca="true">IF(C502="","",IF(G502="Concluída","Concluída",IF(AND(F502&lt;&gt;"",F502&lt;TODAY()),"Atrasada","No prazo")))</f>
        <v/>
      </c>
    </row>
    <row r="503" customFormat="false" ht="15" hidden="false" customHeight="false" outlineLevel="0" collapsed="false">
      <c r="A503" s="18"/>
      <c r="B503" s="18"/>
      <c r="C503" s="18"/>
      <c r="D503" s="18"/>
      <c r="E503" s="25"/>
      <c r="F503" s="25"/>
      <c r="G503" s="18"/>
      <c r="H503" s="26"/>
      <c r="I503" s="18"/>
      <c r="J503" s="18"/>
      <c r="K503" s="18"/>
      <c r="L503" s="27" t="str">
        <f aca="false">IF(C503="","",IF(G503="Concluída",1,N(H503)))</f>
        <v/>
      </c>
      <c r="M503" s="13" t="str">
        <f aca="true">IF(C503="","",IF(G503="Concluída","Concluída",IF(AND(F503&lt;&gt;"",F503&lt;TODAY()),"Atrasada","No prazo")))</f>
        <v/>
      </c>
    </row>
    <row r="504" customFormat="false" ht="15" hidden="false" customHeight="false" outlineLevel="0" collapsed="false">
      <c r="A504" s="18"/>
      <c r="B504" s="18"/>
      <c r="C504" s="18"/>
      <c r="D504" s="18"/>
      <c r="E504" s="25"/>
      <c r="F504" s="25"/>
      <c r="G504" s="18"/>
      <c r="H504" s="26"/>
      <c r="I504" s="18"/>
      <c r="J504" s="18"/>
      <c r="K504" s="18"/>
      <c r="L504" s="27" t="str">
        <f aca="false">IF(C504="","",IF(G504="Concluída",1,N(H504)))</f>
        <v/>
      </c>
      <c r="M504" s="13" t="str">
        <f aca="true">IF(C504="","",IF(G504="Concluída","Concluída",IF(AND(F504&lt;&gt;"",F504&lt;TODAY()),"Atrasada","No prazo")))</f>
        <v/>
      </c>
    </row>
    <row r="505" customFormat="false" ht="15" hidden="false" customHeight="false" outlineLevel="0" collapsed="false">
      <c r="A505" s="18"/>
      <c r="B505" s="18"/>
      <c r="C505" s="18"/>
      <c r="D505" s="18"/>
      <c r="E505" s="25"/>
      <c r="F505" s="25"/>
      <c r="G505" s="18"/>
      <c r="H505" s="26"/>
      <c r="I505" s="18"/>
      <c r="J505" s="18"/>
      <c r="K505" s="18"/>
      <c r="L505" s="27" t="str">
        <f aca="false">IF(C505="","",IF(G505="Concluída",1,N(H505)))</f>
        <v/>
      </c>
      <c r="M505" s="13" t="str">
        <f aca="true">IF(C505="","",IF(G505="Concluída","Concluída",IF(AND(F505&lt;&gt;"",F505&lt;TODAY()),"Atrasada","No prazo")))</f>
        <v/>
      </c>
    </row>
    <row r="506" customFormat="false" ht="15" hidden="false" customHeight="false" outlineLevel="0" collapsed="false">
      <c r="A506" s="18"/>
      <c r="B506" s="18"/>
      <c r="C506" s="18"/>
      <c r="D506" s="18"/>
      <c r="E506" s="25"/>
      <c r="F506" s="25"/>
      <c r="G506" s="18"/>
      <c r="H506" s="26"/>
      <c r="I506" s="18"/>
      <c r="J506" s="18"/>
      <c r="K506" s="18"/>
      <c r="L506" s="27" t="str">
        <f aca="false">IF(C506="","",IF(G506="Concluída",1,N(H506)))</f>
        <v/>
      </c>
      <c r="M506" s="13" t="str">
        <f aca="true">IF(C506="","",IF(G506="Concluída","Concluída",IF(AND(F506&lt;&gt;"",F506&lt;TODAY()),"Atrasada","No prazo")))</f>
        <v/>
      </c>
    </row>
    <row r="507" customFormat="false" ht="15" hidden="false" customHeight="false" outlineLevel="0" collapsed="false">
      <c r="A507" s="18"/>
      <c r="B507" s="18"/>
      <c r="C507" s="18"/>
      <c r="D507" s="18"/>
      <c r="E507" s="25"/>
      <c r="F507" s="25"/>
      <c r="G507" s="18"/>
      <c r="H507" s="26"/>
      <c r="I507" s="18"/>
      <c r="J507" s="18"/>
      <c r="K507" s="18"/>
      <c r="L507" s="27" t="str">
        <f aca="false">IF(C507="","",IF(G507="Concluída",1,N(H507)))</f>
        <v/>
      </c>
      <c r="M507" s="13" t="str">
        <f aca="true">IF(C507="","",IF(G507="Concluída","Concluída",IF(AND(F507&lt;&gt;"",F507&lt;TODAY()),"Atrasada","No prazo")))</f>
        <v/>
      </c>
    </row>
    <row r="508" customFormat="false" ht="15" hidden="false" customHeight="false" outlineLevel="0" collapsed="false">
      <c r="A508" s="18"/>
      <c r="B508" s="18"/>
      <c r="C508" s="18"/>
      <c r="D508" s="18"/>
      <c r="E508" s="25"/>
      <c r="F508" s="25"/>
      <c r="G508" s="18"/>
      <c r="H508" s="26"/>
      <c r="I508" s="18"/>
      <c r="J508" s="18"/>
      <c r="K508" s="18"/>
      <c r="L508" s="27" t="str">
        <f aca="false">IF(C508="","",IF(G508="Concluída",1,N(H508)))</f>
        <v/>
      </c>
      <c r="M508" s="13" t="str">
        <f aca="true">IF(C508="","",IF(G508="Concluída","Concluída",IF(AND(F508&lt;&gt;"",F508&lt;TODAY()),"Atrasada","No prazo")))</f>
        <v/>
      </c>
    </row>
    <row r="509" customFormat="false" ht="15" hidden="false" customHeight="false" outlineLevel="0" collapsed="false">
      <c r="A509" s="18"/>
      <c r="B509" s="18"/>
      <c r="C509" s="18"/>
      <c r="D509" s="18"/>
      <c r="E509" s="25"/>
      <c r="F509" s="25"/>
      <c r="G509" s="18"/>
      <c r="H509" s="26"/>
      <c r="I509" s="18"/>
      <c r="J509" s="18"/>
      <c r="K509" s="18"/>
      <c r="L509" s="27" t="str">
        <f aca="false">IF(C509="","",IF(G509="Concluída",1,N(H509)))</f>
        <v/>
      </c>
      <c r="M509" s="13" t="str">
        <f aca="true">IF(C509="","",IF(G509="Concluída","Concluída",IF(AND(F509&lt;&gt;"",F509&lt;TODAY()),"Atrasada","No prazo")))</f>
        <v/>
      </c>
    </row>
    <row r="510" customFormat="false" ht="15" hidden="false" customHeight="false" outlineLevel="0" collapsed="false">
      <c r="A510" s="18"/>
      <c r="B510" s="18"/>
      <c r="C510" s="18"/>
      <c r="D510" s="18"/>
      <c r="E510" s="25"/>
      <c r="F510" s="25"/>
      <c r="G510" s="18"/>
      <c r="H510" s="26"/>
      <c r="I510" s="18"/>
      <c r="J510" s="18"/>
      <c r="K510" s="18"/>
      <c r="L510" s="27" t="str">
        <f aca="false">IF(C510="","",IF(G510="Concluída",1,N(H510)))</f>
        <v/>
      </c>
      <c r="M510" s="13" t="str">
        <f aca="true">IF(C510="","",IF(G510="Concluída","Concluída",IF(AND(F510&lt;&gt;"",F510&lt;TODAY()),"Atrasada","No prazo")))</f>
        <v/>
      </c>
    </row>
    <row r="511" customFormat="false" ht="15" hidden="false" customHeight="false" outlineLevel="0" collapsed="false">
      <c r="A511" s="18"/>
      <c r="B511" s="18"/>
      <c r="C511" s="18"/>
      <c r="D511" s="18"/>
      <c r="E511" s="25"/>
      <c r="F511" s="25"/>
      <c r="G511" s="18"/>
      <c r="H511" s="26"/>
      <c r="I511" s="18"/>
      <c r="J511" s="18"/>
      <c r="K511" s="18"/>
      <c r="L511" s="27" t="str">
        <f aca="false">IF(C511="","",IF(G511="Concluída",1,N(H511)))</f>
        <v/>
      </c>
      <c r="M511" s="13" t="str">
        <f aca="true">IF(C511="","",IF(G511="Concluída","Concluída",IF(AND(F511&lt;&gt;"",F511&lt;TODAY()),"Atrasada","No prazo")))</f>
        <v/>
      </c>
    </row>
    <row r="512" customFormat="false" ht="15" hidden="false" customHeight="false" outlineLevel="0" collapsed="false">
      <c r="A512" s="18"/>
      <c r="B512" s="18"/>
      <c r="C512" s="18"/>
      <c r="D512" s="18"/>
      <c r="E512" s="25"/>
      <c r="F512" s="25"/>
      <c r="G512" s="18"/>
      <c r="H512" s="26"/>
      <c r="I512" s="18"/>
      <c r="J512" s="18"/>
      <c r="K512" s="18"/>
      <c r="L512" s="27" t="str">
        <f aca="false">IF(C512="","",IF(G512="Concluída",1,N(H512)))</f>
        <v/>
      </c>
      <c r="M512" s="13" t="str">
        <f aca="true">IF(C512="","",IF(G512="Concluída","Concluída",IF(AND(F512&lt;&gt;"",F512&lt;TODAY()),"Atrasada","No prazo")))</f>
        <v/>
      </c>
    </row>
    <row r="513" customFormat="false" ht="15" hidden="false" customHeight="false" outlineLevel="0" collapsed="false">
      <c r="A513" s="18"/>
      <c r="B513" s="18"/>
      <c r="C513" s="18"/>
      <c r="D513" s="18"/>
      <c r="E513" s="25"/>
      <c r="F513" s="25"/>
      <c r="G513" s="18"/>
      <c r="H513" s="26"/>
      <c r="I513" s="18"/>
      <c r="J513" s="18"/>
      <c r="K513" s="18"/>
      <c r="L513" s="27" t="str">
        <f aca="false">IF(C513="","",IF(G513="Concluída",1,N(H513)))</f>
        <v/>
      </c>
      <c r="M513" s="13" t="str">
        <f aca="true">IF(C513="","",IF(G513="Concluída","Concluída",IF(AND(F513&lt;&gt;"",F513&lt;TODAY()),"Atrasada","No prazo")))</f>
        <v/>
      </c>
    </row>
    <row r="514" customFormat="false" ht="15" hidden="false" customHeight="false" outlineLevel="0" collapsed="false">
      <c r="A514" s="18"/>
      <c r="B514" s="18"/>
      <c r="C514" s="18"/>
      <c r="D514" s="18"/>
      <c r="E514" s="25"/>
      <c r="F514" s="25"/>
      <c r="G514" s="18"/>
      <c r="H514" s="26"/>
      <c r="I514" s="18"/>
      <c r="J514" s="18"/>
      <c r="K514" s="18"/>
      <c r="L514" s="27" t="str">
        <f aca="false">IF(C514="","",IF(G514="Concluída",1,N(H514)))</f>
        <v/>
      </c>
      <c r="M514" s="13" t="str">
        <f aca="true">IF(C514="","",IF(G514="Concluída","Concluída",IF(AND(F514&lt;&gt;"",F514&lt;TODAY()),"Atrasada","No prazo")))</f>
        <v/>
      </c>
    </row>
    <row r="515" customFormat="false" ht="15" hidden="false" customHeight="false" outlineLevel="0" collapsed="false">
      <c r="A515" s="18"/>
      <c r="B515" s="18"/>
      <c r="C515" s="18"/>
      <c r="D515" s="18"/>
      <c r="E515" s="25"/>
      <c r="F515" s="25"/>
      <c r="G515" s="18"/>
      <c r="H515" s="26"/>
      <c r="I515" s="18"/>
      <c r="J515" s="18"/>
      <c r="K515" s="18"/>
      <c r="L515" s="27" t="str">
        <f aca="false">IF(C515="","",IF(G515="Concluída",1,N(H515)))</f>
        <v/>
      </c>
      <c r="M515" s="13" t="str">
        <f aca="true">IF(C515="","",IF(G515="Concluída","Concluída",IF(AND(F515&lt;&gt;"",F515&lt;TODAY()),"Atrasada","No prazo")))</f>
        <v/>
      </c>
    </row>
    <row r="516" customFormat="false" ht="15" hidden="false" customHeight="false" outlineLevel="0" collapsed="false">
      <c r="A516" s="18"/>
      <c r="B516" s="18"/>
      <c r="C516" s="18"/>
      <c r="D516" s="18"/>
      <c r="E516" s="25"/>
      <c r="F516" s="25"/>
      <c r="G516" s="18"/>
      <c r="H516" s="26"/>
      <c r="I516" s="18"/>
      <c r="J516" s="18"/>
      <c r="K516" s="18"/>
      <c r="L516" s="27" t="str">
        <f aca="false">IF(C516="","",IF(G516="Concluída",1,N(H516)))</f>
        <v/>
      </c>
      <c r="M516" s="13" t="str">
        <f aca="true">IF(C516="","",IF(G516="Concluída","Concluída",IF(AND(F516&lt;&gt;"",F516&lt;TODAY()),"Atrasada","No prazo")))</f>
        <v/>
      </c>
    </row>
    <row r="517" customFormat="false" ht="15" hidden="false" customHeight="false" outlineLevel="0" collapsed="false">
      <c r="A517" s="18"/>
      <c r="B517" s="18"/>
      <c r="C517" s="18"/>
      <c r="D517" s="18"/>
      <c r="E517" s="25"/>
      <c r="F517" s="25"/>
      <c r="G517" s="18"/>
      <c r="H517" s="26"/>
      <c r="I517" s="18"/>
      <c r="J517" s="18"/>
      <c r="K517" s="18"/>
      <c r="L517" s="27" t="str">
        <f aca="false">IF(C517="","",IF(G517="Concluída",1,N(H517)))</f>
        <v/>
      </c>
      <c r="M517" s="13" t="str">
        <f aca="true">IF(C517="","",IF(G517="Concluída","Concluída",IF(AND(F517&lt;&gt;"",F517&lt;TODAY()),"Atrasada","No prazo")))</f>
        <v/>
      </c>
    </row>
    <row r="518" customFormat="false" ht="15" hidden="false" customHeight="false" outlineLevel="0" collapsed="false">
      <c r="A518" s="18"/>
      <c r="B518" s="18"/>
      <c r="C518" s="18"/>
      <c r="D518" s="18"/>
      <c r="E518" s="25"/>
      <c r="F518" s="25"/>
      <c r="G518" s="18"/>
      <c r="H518" s="26"/>
      <c r="I518" s="18"/>
      <c r="J518" s="18"/>
      <c r="K518" s="18"/>
      <c r="L518" s="27" t="str">
        <f aca="false">IF(C518="","",IF(G518="Concluída",1,N(H518)))</f>
        <v/>
      </c>
      <c r="M518" s="13" t="str">
        <f aca="true">IF(C518="","",IF(G518="Concluída","Concluída",IF(AND(F518&lt;&gt;"",F518&lt;TODAY()),"Atrasada","No prazo")))</f>
        <v/>
      </c>
    </row>
    <row r="519" customFormat="false" ht="15" hidden="false" customHeight="false" outlineLevel="0" collapsed="false">
      <c r="A519" s="18"/>
      <c r="B519" s="18"/>
      <c r="C519" s="18"/>
      <c r="D519" s="18"/>
      <c r="E519" s="25"/>
      <c r="F519" s="25"/>
      <c r="G519" s="18"/>
      <c r="H519" s="26"/>
      <c r="I519" s="18"/>
      <c r="J519" s="18"/>
      <c r="K519" s="18"/>
      <c r="L519" s="27" t="str">
        <f aca="false">IF(C519="","",IF(G519="Concluída",1,N(H519)))</f>
        <v/>
      </c>
      <c r="M519" s="13" t="str">
        <f aca="true">IF(C519="","",IF(G519="Concluída","Concluída",IF(AND(F519&lt;&gt;"",F519&lt;TODAY()),"Atrasada","No prazo")))</f>
        <v/>
      </c>
    </row>
    <row r="520" customFormat="false" ht="15" hidden="false" customHeight="false" outlineLevel="0" collapsed="false">
      <c r="A520" s="18"/>
      <c r="B520" s="18"/>
      <c r="C520" s="18"/>
      <c r="D520" s="18"/>
      <c r="E520" s="25"/>
      <c r="F520" s="25"/>
      <c r="G520" s="18"/>
      <c r="H520" s="26"/>
      <c r="I520" s="18"/>
      <c r="J520" s="18"/>
      <c r="K520" s="18"/>
      <c r="L520" s="27" t="str">
        <f aca="false">IF(C520="","",IF(G520="Concluída",1,N(H520)))</f>
        <v/>
      </c>
      <c r="M520" s="13" t="str">
        <f aca="true">IF(C520="","",IF(G520="Concluída","Concluída",IF(AND(F520&lt;&gt;"",F520&lt;TODAY()),"Atrasada","No prazo")))</f>
        <v/>
      </c>
    </row>
    <row r="521" customFormat="false" ht="15" hidden="false" customHeight="false" outlineLevel="0" collapsed="false">
      <c r="A521" s="18"/>
      <c r="B521" s="18"/>
      <c r="C521" s="18"/>
      <c r="D521" s="18"/>
      <c r="E521" s="25"/>
      <c r="F521" s="25"/>
      <c r="G521" s="18"/>
      <c r="H521" s="26"/>
      <c r="I521" s="18"/>
      <c r="J521" s="18"/>
      <c r="K521" s="18"/>
      <c r="L521" s="27" t="str">
        <f aca="false">IF(C521="","",IF(G521="Concluída",1,N(H521)))</f>
        <v/>
      </c>
      <c r="M521" s="13" t="str">
        <f aca="true">IF(C521="","",IF(G521="Concluída","Concluída",IF(AND(F521&lt;&gt;"",F521&lt;TODAY()),"Atrasada","No prazo")))</f>
        <v/>
      </c>
    </row>
    <row r="522" customFormat="false" ht="15" hidden="false" customHeight="false" outlineLevel="0" collapsed="false">
      <c r="A522" s="18"/>
      <c r="B522" s="18"/>
      <c r="C522" s="18"/>
      <c r="D522" s="18"/>
      <c r="E522" s="25"/>
      <c r="F522" s="25"/>
      <c r="G522" s="18"/>
      <c r="H522" s="26"/>
      <c r="I522" s="18"/>
      <c r="J522" s="18"/>
      <c r="K522" s="18"/>
      <c r="L522" s="27" t="str">
        <f aca="false">IF(C522="","",IF(G522="Concluída",1,N(H522)))</f>
        <v/>
      </c>
      <c r="M522" s="13" t="str">
        <f aca="true">IF(C522="","",IF(G522="Concluída","Concluída",IF(AND(F522&lt;&gt;"",F522&lt;TODAY()),"Atrasada","No prazo")))</f>
        <v/>
      </c>
    </row>
    <row r="523" customFormat="false" ht="15" hidden="false" customHeight="false" outlineLevel="0" collapsed="false">
      <c r="A523" s="18"/>
      <c r="B523" s="18"/>
      <c r="C523" s="18"/>
      <c r="D523" s="18"/>
      <c r="E523" s="25"/>
      <c r="F523" s="25"/>
      <c r="G523" s="18"/>
      <c r="H523" s="26"/>
      <c r="I523" s="18"/>
      <c r="J523" s="18"/>
      <c r="K523" s="18"/>
      <c r="L523" s="27" t="str">
        <f aca="false">IF(C523="","",IF(G523="Concluída",1,N(H523)))</f>
        <v/>
      </c>
      <c r="M523" s="13" t="str">
        <f aca="true">IF(C523="","",IF(G523="Concluída","Concluída",IF(AND(F523&lt;&gt;"",F523&lt;TODAY()),"Atrasada","No prazo")))</f>
        <v/>
      </c>
    </row>
    <row r="524" customFormat="false" ht="15" hidden="false" customHeight="false" outlineLevel="0" collapsed="false">
      <c r="A524" s="18"/>
      <c r="B524" s="18"/>
      <c r="C524" s="18"/>
      <c r="D524" s="18"/>
      <c r="E524" s="25"/>
      <c r="F524" s="25"/>
      <c r="G524" s="18"/>
      <c r="H524" s="26"/>
      <c r="I524" s="18"/>
      <c r="J524" s="18"/>
      <c r="K524" s="18"/>
      <c r="L524" s="27" t="str">
        <f aca="false">IF(C524="","",IF(G524="Concluída",1,N(H524)))</f>
        <v/>
      </c>
      <c r="M524" s="13" t="str">
        <f aca="true">IF(C524="","",IF(G524="Concluída","Concluída",IF(AND(F524&lt;&gt;"",F524&lt;TODAY()),"Atrasada","No prazo")))</f>
        <v/>
      </c>
    </row>
    <row r="525" customFormat="false" ht="15" hidden="false" customHeight="false" outlineLevel="0" collapsed="false">
      <c r="A525" s="18"/>
      <c r="B525" s="18"/>
      <c r="C525" s="18"/>
      <c r="D525" s="18"/>
      <c r="E525" s="25"/>
      <c r="F525" s="25"/>
      <c r="G525" s="18"/>
      <c r="H525" s="26"/>
      <c r="I525" s="18"/>
      <c r="J525" s="18"/>
      <c r="K525" s="18"/>
      <c r="L525" s="27" t="str">
        <f aca="false">IF(C525="","",IF(G525="Concluída",1,N(H525)))</f>
        <v/>
      </c>
      <c r="M525" s="13" t="str">
        <f aca="true">IF(C525="","",IF(G525="Concluída","Concluída",IF(AND(F525&lt;&gt;"",F525&lt;TODAY()),"Atrasada","No prazo")))</f>
        <v/>
      </c>
    </row>
    <row r="526" customFormat="false" ht="15" hidden="false" customHeight="false" outlineLevel="0" collapsed="false">
      <c r="A526" s="18"/>
      <c r="B526" s="18"/>
      <c r="C526" s="18"/>
      <c r="D526" s="18"/>
      <c r="E526" s="25"/>
      <c r="F526" s="25"/>
      <c r="G526" s="18"/>
      <c r="H526" s="26"/>
      <c r="I526" s="18"/>
      <c r="J526" s="18"/>
      <c r="K526" s="18"/>
      <c r="L526" s="27" t="str">
        <f aca="false">IF(C526="","",IF(G526="Concluída",1,N(H526)))</f>
        <v/>
      </c>
      <c r="M526" s="13" t="str">
        <f aca="true">IF(C526="","",IF(G526="Concluída","Concluída",IF(AND(F526&lt;&gt;"",F526&lt;TODAY()),"Atrasada","No prazo")))</f>
        <v/>
      </c>
    </row>
    <row r="527" customFormat="false" ht="15" hidden="false" customHeight="false" outlineLevel="0" collapsed="false">
      <c r="A527" s="18"/>
      <c r="B527" s="18"/>
      <c r="C527" s="18"/>
      <c r="D527" s="18"/>
      <c r="E527" s="25"/>
      <c r="F527" s="25"/>
      <c r="G527" s="18"/>
      <c r="H527" s="26"/>
      <c r="I527" s="18"/>
      <c r="J527" s="18"/>
      <c r="K527" s="18"/>
      <c r="L527" s="27" t="str">
        <f aca="false">IF(C527="","",IF(G527="Concluída",1,N(H527)))</f>
        <v/>
      </c>
      <c r="M527" s="13" t="str">
        <f aca="true">IF(C527="","",IF(G527="Concluída","Concluída",IF(AND(F527&lt;&gt;"",F527&lt;TODAY()),"Atrasada","No prazo")))</f>
        <v/>
      </c>
    </row>
    <row r="528" customFormat="false" ht="15" hidden="false" customHeight="false" outlineLevel="0" collapsed="false">
      <c r="A528" s="18"/>
      <c r="B528" s="18"/>
      <c r="C528" s="18"/>
      <c r="D528" s="18"/>
      <c r="E528" s="25"/>
      <c r="F528" s="25"/>
      <c r="G528" s="18"/>
      <c r="H528" s="26"/>
      <c r="I528" s="18"/>
      <c r="J528" s="18"/>
      <c r="K528" s="18"/>
      <c r="L528" s="27" t="str">
        <f aca="false">IF(C528="","",IF(G528="Concluída",1,N(H528)))</f>
        <v/>
      </c>
      <c r="M528" s="13" t="str">
        <f aca="true">IF(C528="","",IF(G528="Concluída","Concluída",IF(AND(F528&lt;&gt;"",F528&lt;TODAY()),"Atrasada","No prazo")))</f>
        <v/>
      </c>
    </row>
    <row r="529" customFormat="false" ht="15" hidden="false" customHeight="false" outlineLevel="0" collapsed="false">
      <c r="A529" s="18"/>
      <c r="B529" s="18"/>
      <c r="C529" s="18"/>
      <c r="D529" s="18"/>
      <c r="E529" s="25"/>
      <c r="F529" s="25"/>
      <c r="G529" s="18"/>
      <c r="H529" s="26"/>
      <c r="I529" s="18"/>
      <c r="J529" s="18"/>
      <c r="K529" s="18"/>
      <c r="L529" s="27" t="str">
        <f aca="false">IF(C529="","",IF(G529="Concluída",1,N(H529)))</f>
        <v/>
      </c>
      <c r="M529" s="13" t="str">
        <f aca="true">IF(C529="","",IF(G529="Concluída","Concluída",IF(AND(F529&lt;&gt;"",F529&lt;TODAY()),"Atrasada","No prazo")))</f>
        <v/>
      </c>
    </row>
    <row r="530" customFormat="false" ht="15" hidden="false" customHeight="false" outlineLevel="0" collapsed="false">
      <c r="A530" s="18"/>
      <c r="B530" s="18"/>
      <c r="C530" s="18"/>
      <c r="D530" s="18"/>
      <c r="E530" s="25"/>
      <c r="F530" s="25"/>
      <c r="G530" s="18"/>
      <c r="H530" s="26"/>
      <c r="I530" s="18"/>
      <c r="J530" s="18"/>
      <c r="K530" s="18"/>
      <c r="L530" s="27" t="str">
        <f aca="false">IF(C530="","",IF(G530="Concluída",1,N(H530)))</f>
        <v/>
      </c>
      <c r="M530" s="13" t="str">
        <f aca="true">IF(C530="","",IF(G530="Concluída","Concluída",IF(AND(F530&lt;&gt;"",F530&lt;TODAY()),"Atrasada","No prazo")))</f>
        <v/>
      </c>
    </row>
    <row r="531" customFormat="false" ht="15" hidden="false" customHeight="false" outlineLevel="0" collapsed="false">
      <c r="A531" s="18"/>
      <c r="B531" s="18"/>
      <c r="C531" s="18"/>
      <c r="D531" s="18"/>
      <c r="E531" s="25"/>
      <c r="F531" s="25"/>
      <c r="G531" s="18"/>
      <c r="H531" s="26"/>
      <c r="I531" s="18"/>
      <c r="J531" s="18"/>
      <c r="K531" s="18"/>
      <c r="L531" s="27" t="str">
        <f aca="false">IF(C531="","",IF(G531="Concluída",1,N(H531)))</f>
        <v/>
      </c>
      <c r="M531" s="13" t="str">
        <f aca="true">IF(C531="","",IF(G531="Concluída","Concluída",IF(AND(F531&lt;&gt;"",F531&lt;TODAY()),"Atrasada","No prazo")))</f>
        <v/>
      </c>
    </row>
    <row r="532" customFormat="false" ht="15" hidden="false" customHeight="false" outlineLevel="0" collapsed="false">
      <c r="A532" s="18"/>
      <c r="B532" s="18"/>
      <c r="C532" s="18"/>
      <c r="D532" s="18"/>
      <c r="E532" s="25"/>
      <c r="F532" s="25"/>
      <c r="G532" s="18"/>
      <c r="H532" s="26"/>
      <c r="I532" s="18"/>
      <c r="J532" s="18"/>
      <c r="K532" s="18"/>
      <c r="L532" s="27" t="str">
        <f aca="false">IF(C532="","",IF(G532="Concluída",1,N(H532)))</f>
        <v/>
      </c>
      <c r="M532" s="13" t="str">
        <f aca="true">IF(C532="","",IF(G532="Concluída","Concluída",IF(AND(F532&lt;&gt;"",F532&lt;TODAY()),"Atrasada","No prazo")))</f>
        <v/>
      </c>
    </row>
    <row r="533" customFormat="false" ht="15" hidden="false" customHeight="false" outlineLevel="0" collapsed="false">
      <c r="A533" s="18"/>
      <c r="B533" s="18"/>
      <c r="C533" s="18"/>
      <c r="D533" s="18"/>
      <c r="E533" s="25"/>
      <c r="F533" s="25"/>
      <c r="G533" s="18"/>
      <c r="H533" s="26"/>
      <c r="I533" s="18"/>
      <c r="J533" s="18"/>
      <c r="K533" s="18"/>
      <c r="L533" s="27" t="str">
        <f aca="false">IF(C533="","",IF(G533="Concluída",1,N(H533)))</f>
        <v/>
      </c>
      <c r="M533" s="13" t="str">
        <f aca="true">IF(C533="","",IF(G533="Concluída","Concluída",IF(AND(F533&lt;&gt;"",F533&lt;TODAY()),"Atrasada","No prazo")))</f>
        <v/>
      </c>
    </row>
    <row r="534" customFormat="false" ht="15" hidden="false" customHeight="false" outlineLevel="0" collapsed="false">
      <c r="A534" s="18"/>
      <c r="B534" s="18"/>
      <c r="C534" s="18"/>
      <c r="D534" s="18"/>
      <c r="E534" s="25"/>
      <c r="F534" s="25"/>
      <c r="G534" s="18"/>
      <c r="H534" s="26"/>
      <c r="I534" s="18"/>
      <c r="J534" s="18"/>
      <c r="K534" s="18"/>
      <c r="L534" s="27" t="str">
        <f aca="false">IF(C534="","",IF(G534="Concluída",1,N(H534)))</f>
        <v/>
      </c>
      <c r="M534" s="13" t="str">
        <f aca="true">IF(C534="","",IF(G534="Concluída","Concluída",IF(AND(F534&lt;&gt;"",F534&lt;TODAY()),"Atrasada","No prazo")))</f>
        <v/>
      </c>
    </row>
    <row r="535" customFormat="false" ht="15" hidden="false" customHeight="false" outlineLevel="0" collapsed="false">
      <c r="A535" s="18"/>
      <c r="B535" s="18"/>
      <c r="C535" s="18"/>
      <c r="D535" s="18"/>
      <c r="E535" s="25"/>
      <c r="F535" s="25"/>
      <c r="G535" s="18"/>
      <c r="H535" s="26"/>
      <c r="I535" s="18"/>
      <c r="J535" s="18"/>
      <c r="K535" s="18"/>
      <c r="L535" s="27" t="str">
        <f aca="false">IF(C535="","",IF(G535="Concluída",1,N(H535)))</f>
        <v/>
      </c>
      <c r="M535" s="13" t="str">
        <f aca="true">IF(C535="","",IF(G535="Concluída","Concluída",IF(AND(F535&lt;&gt;"",F535&lt;TODAY()),"Atrasada","No prazo")))</f>
        <v/>
      </c>
    </row>
    <row r="536" customFormat="false" ht="15" hidden="false" customHeight="false" outlineLevel="0" collapsed="false">
      <c r="A536" s="18"/>
      <c r="B536" s="18"/>
      <c r="C536" s="18"/>
      <c r="D536" s="18"/>
      <c r="E536" s="25"/>
      <c r="F536" s="25"/>
      <c r="G536" s="18"/>
      <c r="H536" s="26"/>
      <c r="I536" s="18"/>
      <c r="J536" s="18"/>
      <c r="K536" s="18"/>
      <c r="L536" s="27" t="str">
        <f aca="false">IF(C536="","",IF(G536="Concluída",1,N(H536)))</f>
        <v/>
      </c>
      <c r="M536" s="13" t="str">
        <f aca="true">IF(C536="","",IF(G536="Concluída","Concluída",IF(AND(F536&lt;&gt;"",F536&lt;TODAY()),"Atrasada","No prazo")))</f>
        <v/>
      </c>
    </row>
    <row r="537" customFormat="false" ht="15" hidden="false" customHeight="false" outlineLevel="0" collapsed="false">
      <c r="A537" s="18"/>
      <c r="B537" s="18"/>
      <c r="C537" s="18"/>
      <c r="D537" s="18"/>
      <c r="E537" s="25"/>
      <c r="F537" s="25"/>
      <c r="G537" s="18"/>
      <c r="H537" s="26"/>
      <c r="I537" s="18"/>
      <c r="J537" s="18"/>
      <c r="K537" s="18"/>
      <c r="L537" s="27" t="str">
        <f aca="false">IF(C537="","",IF(G537="Concluída",1,N(H537)))</f>
        <v/>
      </c>
      <c r="M537" s="13" t="str">
        <f aca="true">IF(C537="","",IF(G537="Concluída","Concluída",IF(AND(F537&lt;&gt;"",F537&lt;TODAY()),"Atrasada","No prazo")))</f>
        <v/>
      </c>
    </row>
    <row r="538" customFormat="false" ht="15" hidden="false" customHeight="false" outlineLevel="0" collapsed="false">
      <c r="A538" s="18"/>
      <c r="B538" s="18"/>
      <c r="C538" s="18"/>
      <c r="D538" s="18"/>
      <c r="E538" s="25"/>
      <c r="F538" s="25"/>
      <c r="G538" s="18"/>
      <c r="H538" s="26"/>
      <c r="I538" s="18"/>
      <c r="J538" s="18"/>
      <c r="K538" s="18"/>
      <c r="L538" s="27" t="str">
        <f aca="false">IF(C538="","",IF(G538="Concluída",1,N(H538)))</f>
        <v/>
      </c>
      <c r="M538" s="13" t="str">
        <f aca="true">IF(C538="","",IF(G538="Concluída","Concluída",IF(AND(F538&lt;&gt;"",F538&lt;TODAY()),"Atrasada","No prazo")))</f>
        <v/>
      </c>
    </row>
    <row r="539" customFormat="false" ht="15" hidden="false" customHeight="false" outlineLevel="0" collapsed="false">
      <c r="A539" s="18"/>
      <c r="B539" s="18"/>
      <c r="C539" s="18"/>
      <c r="D539" s="18"/>
      <c r="E539" s="25"/>
      <c r="F539" s="25"/>
      <c r="G539" s="18"/>
      <c r="H539" s="26"/>
      <c r="I539" s="18"/>
      <c r="J539" s="18"/>
      <c r="K539" s="18"/>
      <c r="L539" s="27" t="str">
        <f aca="false">IF(C539="","",IF(G539="Concluída",1,N(H539)))</f>
        <v/>
      </c>
      <c r="M539" s="13" t="str">
        <f aca="true">IF(C539="","",IF(G539="Concluída","Concluída",IF(AND(F539&lt;&gt;"",F539&lt;TODAY()),"Atrasada","No prazo")))</f>
        <v/>
      </c>
    </row>
    <row r="540" customFormat="false" ht="15" hidden="false" customHeight="false" outlineLevel="0" collapsed="false">
      <c r="A540" s="18"/>
      <c r="B540" s="18"/>
      <c r="C540" s="18"/>
      <c r="D540" s="18"/>
      <c r="E540" s="25"/>
      <c r="F540" s="25"/>
      <c r="G540" s="18"/>
      <c r="H540" s="26"/>
      <c r="I540" s="18"/>
      <c r="J540" s="18"/>
      <c r="K540" s="18"/>
      <c r="L540" s="27" t="str">
        <f aca="false">IF(C540="","",IF(G540="Concluída",1,N(H540)))</f>
        <v/>
      </c>
      <c r="M540" s="13" t="str">
        <f aca="true">IF(C540="","",IF(G540="Concluída","Concluída",IF(AND(F540&lt;&gt;"",F540&lt;TODAY()),"Atrasada","No prazo")))</f>
        <v/>
      </c>
    </row>
    <row r="541" customFormat="false" ht="15" hidden="false" customHeight="false" outlineLevel="0" collapsed="false">
      <c r="A541" s="18"/>
      <c r="B541" s="18"/>
      <c r="C541" s="18"/>
      <c r="D541" s="18"/>
      <c r="E541" s="25"/>
      <c r="F541" s="25"/>
      <c r="G541" s="18"/>
      <c r="H541" s="26"/>
      <c r="I541" s="18"/>
      <c r="J541" s="18"/>
      <c r="K541" s="18"/>
      <c r="L541" s="27" t="str">
        <f aca="false">IF(C541="","",IF(G541="Concluída",1,N(H541)))</f>
        <v/>
      </c>
      <c r="M541" s="13" t="str">
        <f aca="true">IF(C541="","",IF(G541="Concluída","Concluída",IF(AND(F541&lt;&gt;"",F541&lt;TODAY()),"Atrasada","No prazo")))</f>
        <v/>
      </c>
    </row>
    <row r="542" customFormat="false" ht="15" hidden="false" customHeight="false" outlineLevel="0" collapsed="false">
      <c r="A542" s="18"/>
      <c r="B542" s="18"/>
      <c r="C542" s="18"/>
      <c r="D542" s="18"/>
      <c r="E542" s="25"/>
      <c r="F542" s="25"/>
      <c r="G542" s="18"/>
      <c r="H542" s="26"/>
      <c r="I542" s="18"/>
      <c r="J542" s="18"/>
      <c r="K542" s="18"/>
      <c r="L542" s="27" t="str">
        <f aca="false">IF(C542="","",IF(G542="Concluída",1,N(H542)))</f>
        <v/>
      </c>
      <c r="M542" s="13" t="str">
        <f aca="true">IF(C542="","",IF(G542="Concluída","Concluída",IF(AND(F542&lt;&gt;"",F542&lt;TODAY()),"Atrasada","No prazo")))</f>
        <v/>
      </c>
    </row>
    <row r="543" customFormat="false" ht="15" hidden="false" customHeight="false" outlineLevel="0" collapsed="false">
      <c r="A543" s="18"/>
      <c r="B543" s="18"/>
      <c r="C543" s="18"/>
      <c r="D543" s="18"/>
      <c r="E543" s="25"/>
      <c r="F543" s="25"/>
      <c r="G543" s="18"/>
      <c r="H543" s="26"/>
      <c r="I543" s="18"/>
      <c r="J543" s="18"/>
      <c r="K543" s="18"/>
      <c r="L543" s="27" t="str">
        <f aca="false">IF(C543="","",IF(G543="Concluída",1,N(H543)))</f>
        <v/>
      </c>
      <c r="M543" s="13" t="str">
        <f aca="true">IF(C543="","",IF(G543="Concluída","Concluída",IF(AND(F543&lt;&gt;"",F543&lt;TODAY()),"Atrasada","No prazo")))</f>
        <v/>
      </c>
    </row>
    <row r="544" customFormat="false" ht="15" hidden="false" customHeight="false" outlineLevel="0" collapsed="false">
      <c r="A544" s="18"/>
      <c r="B544" s="18"/>
      <c r="C544" s="18"/>
      <c r="D544" s="18"/>
      <c r="E544" s="25"/>
      <c r="F544" s="25"/>
      <c r="G544" s="18"/>
      <c r="H544" s="26"/>
      <c r="I544" s="18"/>
      <c r="J544" s="18"/>
      <c r="K544" s="18"/>
      <c r="L544" s="27" t="str">
        <f aca="false">IF(C544="","",IF(G544="Concluída",1,N(H544)))</f>
        <v/>
      </c>
      <c r="M544" s="13" t="str">
        <f aca="true">IF(C544="","",IF(G544="Concluída","Concluída",IF(AND(F544&lt;&gt;"",F544&lt;TODAY()),"Atrasada","No prazo")))</f>
        <v/>
      </c>
    </row>
    <row r="545" customFormat="false" ht="15" hidden="false" customHeight="false" outlineLevel="0" collapsed="false">
      <c r="A545" s="18"/>
      <c r="B545" s="18"/>
      <c r="C545" s="18"/>
      <c r="D545" s="18"/>
      <c r="E545" s="25"/>
      <c r="F545" s="25"/>
      <c r="G545" s="18"/>
      <c r="H545" s="26"/>
      <c r="I545" s="18"/>
      <c r="J545" s="18"/>
      <c r="K545" s="18"/>
      <c r="L545" s="27" t="str">
        <f aca="false">IF(C545="","",IF(G545="Concluída",1,N(H545)))</f>
        <v/>
      </c>
      <c r="M545" s="13" t="str">
        <f aca="true">IF(C545="","",IF(G545="Concluída","Concluída",IF(AND(F545&lt;&gt;"",F545&lt;TODAY()),"Atrasada","No prazo")))</f>
        <v/>
      </c>
    </row>
    <row r="546" customFormat="false" ht="15" hidden="false" customHeight="false" outlineLevel="0" collapsed="false">
      <c r="A546" s="18"/>
      <c r="B546" s="18"/>
      <c r="C546" s="18"/>
      <c r="D546" s="18"/>
      <c r="E546" s="25"/>
      <c r="F546" s="25"/>
      <c r="G546" s="18"/>
      <c r="H546" s="26"/>
      <c r="I546" s="18"/>
      <c r="J546" s="18"/>
      <c r="K546" s="18"/>
      <c r="L546" s="27" t="str">
        <f aca="false">IF(C546="","",IF(G546="Concluída",1,N(H546)))</f>
        <v/>
      </c>
      <c r="M546" s="13" t="str">
        <f aca="true">IF(C546="","",IF(G546="Concluída","Concluída",IF(AND(F546&lt;&gt;"",F546&lt;TODAY()),"Atrasada","No prazo")))</f>
        <v/>
      </c>
    </row>
    <row r="547" customFormat="false" ht="15" hidden="false" customHeight="false" outlineLevel="0" collapsed="false">
      <c r="A547" s="18"/>
      <c r="B547" s="18"/>
      <c r="C547" s="18"/>
      <c r="D547" s="18"/>
      <c r="E547" s="25"/>
      <c r="F547" s="25"/>
      <c r="G547" s="18"/>
      <c r="H547" s="26"/>
      <c r="I547" s="18"/>
      <c r="J547" s="18"/>
      <c r="K547" s="18"/>
      <c r="L547" s="27" t="str">
        <f aca="false">IF(C547="","",IF(G547="Concluída",1,N(H547)))</f>
        <v/>
      </c>
      <c r="M547" s="13" t="str">
        <f aca="true">IF(C547="","",IF(G547="Concluída","Concluída",IF(AND(F547&lt;&gt;"",F547&lt;TODAY()),"Atrasada","No prazo")))</f>
        <v/>
      </c>
    </row>
    <row r="548" customFormat="false" ht="15" hidden="false" customHeight="false" outlineLevel="0" collapsed="false">
      <c r="A548" s="18"/>
      <c r="B548" s="18"/>
      <c r="C548" s="18"/>
      <c r="D548" s="18"/>
      <c r="E548" s="25"/>
      <c r="F548" s="25"/>
      <c r="G548" s="18"/>
      <c r="H548" s="26"/>
      <c r="I548" s="18"/>
      <c r="J548" s="18"/>
      <c r="K548" s="18"/>
      <c r="L548" s="27" t="str">
        <f aca="false">IF(C548="","",IF(G548="Concluída",1,N(H548)))</f>
        <v/>
      </c>
      <c r="M548" s="13" t="str">
        <f aca="true">IF(C548="","",IF(G548="Concluída","Concluída",IF(AND(F548&lt;&gt;"",F548&lt;TODAY()),"Atrasada","No prazo")))</f>
        <v/>
      </c>
    </row>
    <row r="549" customFormat="false" ht="15" hidden="false" customHeight="false" outlineLevel="0" collapsed="false">
      <c r="A549" s="18"/>
      <c r="B549" s="18"/>
      <c r="C549" s="18"/>
      <c r="D549" s="18"/>
      <c r="E549" s="25"/>
      <c r="F549" s="25"/>
      <c r="G549" s="18"/>
      <c r="H549" s="26"/>
      <c r="I549" s="18"/>
      <c r="J549" s="18"/>
      <c r="K549" s="18"/>
      <c r="L549" s="27" t="str">
        <f aca="false">IF(C549="","",IF(G549="Concluída",1,N(H549)))</f>
        <v/>
      </c>
      <c r="M549" s="13" t="str">
        <f aca="true">IF(C549="","",IF(G549="Concluída","Concluída",IF(AND(F549&lt;&gt;"",F549&lt;TODAY()),"Atrasada","No prazo")))</f>
        <v/>
      </c>
    </row>
    <row r="550" customFormat="false" ht="15" hidden="false" customHeight="false" outlineLevel="0" collapsed="false">
      <c r="A550" s="18"/>
      <c r="B550" s="18"/>
      <c r="C550" s="18"/>
      <c r="D550" s="18"/>
      <c r="E550" s="25"/>
      <c r="F550" s="25"/>
      <c r="G550" s="18"/>
      <c r="H550" s="26"/>
      <c r="I550" s="18"/>
      <c r="J550" s="18"/>
      <c r="K550" s="18"/>
      <c r="L550" s="27" t="str">
        <f aca="false">IF(C550="","",IF(G550="Concluída",1,N(H550)))</f>
        <v/>
      </c>
      <c r="M550" s="13" t="str">
        <f aca="true">IF(C550="","",IF(G550="Concluída","Concluída",IF(AND(F550&lt;&gt;"",F550&lt;TODAY()),"Atrasada","No prazo")))</f>
        <v/>
      </c>
    </row>
    <row r="551" customFormat="false" ht="15" hidden="false" customHeight="false" outlineLevel="0" collapsed="false">
      <c r="A551" s="18"/>
      <c r="B551" s="18"/>
      <c r="C551" s="18"/>
      <c r="D551" s="18"/>
      <c r="E551" s="25"/>
      <c r="F551" s="25"/>
      <c r="G551" s="18"/>
      <c r="H551" s="26"/>
      <c r="I551" s="18"/>
      <c r="J551" s="18"/>
      <c r="K551" s="18"/>
      <c r="L551" s="27" t="str">
        <f aca="false">IF(C551="","",IF(G551="Concluída",1,N(H551)))</f>
        <v/>
      </c>
      <c r="M551" s="13" t="str">
        <f aca="true">IF(C551="","",IF(G551="Concluída","Concluída",IF(AND(F551&lt;&gt;"",F551&lt;TODAY()),"Atrasada","No prazo")))</f>
        <v/>
      </c>
    </row>
    <row r="552" customFormat="false" ht="15" hidden="false" customHeight="false" outlineLevel="0" collapsed="false">
      <c r="A552" s="18"/>
      <c r="B552" s="18"/>
      <c r="C552" s="18"/>
      <c r="D552" s="18"/>
      <c r="E552" s="25"/>
      <c r="F552" s="25"/>
      <c r="G552" s="18"/>
      <c r="H552" s="26"/>
      <c r="I552" s="18"/>
      <c r="J552" s="18"/>
      <c r="K552" s="18"/>
      <c r="L552" s="27" t="str">
        <f aca="false">IF(C552="","",IF(G552="Concluída",1,N(H552)))</f>
        <v/>
      </c>
      <c r="M552" s="13" t="str">
        <f aca="true">IF(C552="","",IF(G552="Concluída","Concluída",IF(AND(F552&lt;&gt;"",F552&lt;TODAY()),"Atrasada","No prazo")))</f>
        <v/>
      </c>
    </row>
    <row r="553" customFormat="false" ht="15" hidden="false" customHeight="false" outlineLevel="0" collapsed="false">
      <c r="A553" s="18"/>
      <c r="B553" s="18"/>
      <c r="C553" s="18"/>
      <c r="D553" s="18"/>
      <c r="E553" s="25"/>
      <c r="F553" s="25"/>
      <c r="G553" s="18"/>
      <c r="H553" s="26"/>
      <c r="I553" s="18"/>
      <c r="J553" s="18"/>
      <c r="K553" s="18"/>
      <c r="L553" s="27" t="str">
        <f aca="false">IF(C553="","",IF(G553="Concluída",1,N(H553)))</f>
        <v/>
      </c>
      <c r="M553" s="13" t="str">
        <f aca="true">IF(C553="","",IF(G553="Concluída","Concluída",IF(AND(F553&lt;&gt;"",F553&lt;TODAY()),"Atrasada","No prazo")))</f>
        <v/>
      </c>
    </row>
    <row r="554" customFormat="false" ht="15" hidden="false" customHeight="false" outlineLevel="0" collapsed="false">
      <c r="A554" s="18"/>
      <c r="B554" s="18"/>
      <c r="C554" s="18"/>
      <c r="D554" s="18"/>
      <c r="E554" s="25"/>
      <c r="F554" s="25"/>
      <c r="G554" s="18"/>
      <c r="H554" s="26"/>
      <c r="I554" s="18"/>
      <c r="J554" s="18"/>
      <c r="K554" s="18"/>
      <c r="L554" s="27" t="str">
        <f aca="false">IF(C554="","",IF(G554="Concluída",1,N(H554)))</f>
        <v/>
      </c>
      <c r="M554" s="13" t="str">
        <f aca="true">IF(C554="","",IF(G554="Concluída","Concluída",IF(AND(F554&lt;&gt;"",F554&lt;TODAY()),"Atrasada","No prazo")))</f>
        <v/>
      </c>
    </row>
    <row r="555" customFormat="false" ht="15" hidden="false" customHeight="false" outlineLevel="0" collapsed="false">
      <c r="A555" s="18"/>
      <c r="B555" s="18"/>
      <c r="C555" s="18"/>
      <c r="D555" s="18"/>
      <c r="E555" s="25"/>
      <c r="F555" s="25"/>
      <c r="G555" s="18"/>
      <c r="H555" s="26"/>
      <c r="I555" s="18"/>
      <c r="J555" s="18"/>
      <c r="K555" s="18"/>
      <c r="L555" s="27" t="str">
        <f aca="false">IF(C555="","",IF(G555="Concluída",1,N(H555)))</f>
        <v/>
      </c>
      <c r="M555" s="13" t="str">
        <f aca="true">IF(C555="","",IF(G555="Concluída","Concluída",IF(AND(F555&lt;&gt;"",F555&lt;TODAY()),"Atrasada","No prazo")))</f>
        <v/>
      </c>
    </row>
    <row r="556" customFormat="false" ht="15" hidden="false" customHeight="false" outlineLevel="0" collapsed="false">
      <c r="A556" s="18"/>
      <c r="B556" s="18"/>
      <c r="C556" s="18"/>
      <c r="D556" s="18"/>
      <c r="E556" s="25"/>
      <c r="F556" s="25"/>
      <c r="G556" s="18"/>
      <c r="H556" s="26"/>
      <c r="I556" s="18"/>
      <c r="J556" s="18"/>
      <c r="K556" s="18"/>
      <c r="L556" s="27" t="str">
        <f aca="false">IF(C556="","",IF(G556="Concluída",1,N(H556)))</f>
        <v/>
      </c>
      <c r="M556" s="13" t="str">
        <f aca="true">IF(C556="","",IF(G556="Concluída","Concluída",IF(AND(F556&lt;&gt;"",F556&lt;TODAY()),"Atrasada","No prazo")))</f>
        <v/>
      </c>
    </row>
    <row r="557" customFormat="false" ht="15" hidden="false" customHeight="false" outlineLevel="0" collapsed="false">
      <c r="A557" s="18"/>
      <c r="B557" s="18"/>
      <c r="C557" s="18"/>
      <c r="D557" s="18"/>
      <c r="E557" s="25"/>
      <c r="F557" s="25"/>
      <c r="G557" s="18"/>
      <c r="H557" s="26"/>
      <c r="I557" s="18"/>
      <c r="J557" s="18"/>
      <c r="K557" s="18"/>
      <c r="L557" s="27" t="str">
        <f aca="false">IF(C557="","",IF(G557="Concluída",1,N(H557)))</f>
        <v/>
      </c>
      <c r="M557" s="13" t="str">
        <f aca="true">IF(C557="","",IF(G557="Concluída","Concluída",IF(AND(F557&lt;&gt;"",F557&lt;TODAY()),"Atrasada","No prazo")))</f>
        <v/>
      </c>
    </row>
    <row r="558" customFormat="false" ht="15" hidden="false" customHeight="false" outlineLevel="0" collapsed="false">
      <c r="A558" s="18"/>
      <c r="B558" s="18"/>
      <c r="C558" s="18"/>
      <c r="D558" s="18"/>
      <c r="E558" s="25"/>
      <c r="F558" s="25"/>
      <c r="G558" s="18"/>
      <c r="H558" s="26"/>
      <c r="I558" s="18"/>
      <c r="J558" s="18"/>
      <c r="K558" s="18"/>
      <c r="L558" s="27" t="str">
        <f aca="false">IF(C558="","",IF(G558="Concluída",1,N(H558)))</f>
        <v/>
      </c>
      <c r="M558" s="13" t="str">
        <f aca="true">IF(C558="","",IF(G558="Concluída","Concluída",IF(AND(F558&lt;&gt;"",F558&lt;TODAY()),"Atrasada","No prazo")))</f>
        <v/>
      </c>
    </row>
    <row r="559" customFormat="false" ht="15" hidden="false" customHeight="false" outlineLevel="0" collapsed="false">
      <c r="A559" s="18"/>
      <c r="B559" s="18"/>
      <c r="C559" s="18"/>
      <c r="D559" s="18"/>
      <c r="E559" s="25"/>
      <c r="F559" s="25"/>
      <c r="G559" s="18"/>
      <c r="H559" s="26"/>
      <c r="I559" s="18"/>
      <c r="J559" s="18"/>
      <c r="K559" s="18"/>
      <c r="L559" s="27" t="str">
        <f aca="false">IF(C559="","",IF(G559="Concluída",1,N(H559)))</f>
        <v/>
      </c>
      <c r="M559" s="13" t="str">
        <f aca="true">IF(C559="","",IF(G559="Concluída","Concluída",IF(AND(F559&lt;&gt;"",F559&lt;TODAY()),"Atrasada","No prazo")))</f>
        <v/>
      </c>
    </row>
    <row r="560" customFormat="false" ht="15" hidden="false" customHeight="false" outlineLevel="0" collapsed="false">
      <c r="A560" s="18"/>
      <c r="B560" s="18"/>
      <c r="C560" s="18"/>
      <c r="D560" s="18"/>
      <c r="E560" s="25"/>
      <c r="F560" s="25"/>
      <c r="G560" s="18"/>
      <c r="H560" s="26"/>
      <c r="I560" s="18"/>
      <c r="J560" s="18"/>
      <c r="K560" s="18"/>
      <c r="L560" s="27" t="str">
        <f aca="false">IF(C560="","",IF(G560="Concluída",1,N(H560)))</f>
        <v/>
      </c>
      <c r="M560" s="13" t="str">
        <f aca="true">IF(C560="","",IF(G560="Concluída","Concluída",IF(AND(F560&lt;&gt;"",F560&lt;TODAY()),"Atrasada","No prazo")))</f>
        <v/>
      </c>
    </row>
    <row r="561" customFormat="false" ht="15" hidden="false" customHeight="false" outlineLevel="0" collapsed="false">
      <c r="A561" s="18"/>
      <c r="B561" s="18"/>
      <c r="C561" s="18"/>
      <c r="D561" s="18"/>
      <c r="E561" s="25"/>
      <c r="F561" s="25"/>
      <c r="G561" s="18"/>
      <c r="H561" s="26"/>
      <c r="I561" s="18"/>
      <c r="J561" s="18"/>
      <c r="K561" s="18"/>
      <c r="L561" s="27" t="str">
        <f aca="false">IF(C561="","",IF(G561="Concluída",1,N(H561)))</f>
        <v/>
      </c>
      <c r="M561" s="13" t="str">
        <f aca="true">IF(C561="","",IF(G561="Concluída","Concluída",IF(AND(F561&lt;&gt;"",F561&lt;TODAY()),"Atrasada","No prazo")))</f>
        <v/>
      </c>
    </row>
    <row r="562" customFormat="false" ht="15" hidden="false" customHeight="false" outlineLevel="0" collapsed="false">
      <c r="A562" s="18"/>
      <c r="B562" s="18"/>
      <c r="C562" s="18"/>
      <c r="D562" s="18"/>
      <c r="E562" s="25"/>
      <c r="F562" s="25"/>
      <c r="G562" s="18"/>
      <c r="H562" s="26"/>
      <c r="I562" s="18"/>
      <c r="J562" s="18"/>
      <c r="K562" s="18"/>
      <c r="L562" s="27" t="str">
        <f aca="false">IF(C562="","",IF(G562="Concluída",1,N(H562)))</f>
        <v/>
      </c>
      <c r="M562" s="13" t="str">
        <f aca="true">IF(C562="","",IF(G562="Concluída","Concluída",IF(AND(F562&lt;&gt;"",F562&lt;TODAY()),"Atrasada","No prazo")))</f>
        <v/>
      </c>
    </row>
    <row r="563" customFormat="false" ht="15" hidden="false" customHeight="false" outlineLevel="0" collapsed="false">
      <c r="A563" s="18"/>
      <c r="B563" s="18"/>
      <c r="C563" s="18"/>
      <c r="D563" s="18"/>
      <c r="E563" s="25"/>
      <c r="F563" s="25"/>
      <c r="G563" s="18"/>
      <c r="H563" s="26"/>
      <c r="I563" s="18"/>
      <c r="J563" s="18"/>
      <c r="K563" s="18"/>
      <c r="L563" s="27" t="str">
        <f aca="false">IF(C563="","",IF(G563="Concluída",1,N(H563)))</f>
        <v/>
      </c>
      <c r="M563" s="13" t="str">
        <f aca="true">IF(C563="","",IF(G563="Concluída","Concluída",IF(AND(F563&lt;&gt;"",F563&lt;TODAY()),"Atrasada","No prazo")))</f>
        <v/>
      </c>
    </row>
    <row r="564" customFormat="false" ht="15" hidden="false" customHeight="false" outlineLevel="0" collapsed="false">
      <c r="A564" s="18"/>
      <c r="B564" s="18"/>
      <c r="C564" s="18"/>
      <c r="D564" s="18"/>
      <c r="E564" s="25"/>
      <c r="F564" s="25"/>
      <c r="G564" s="18"/>
      <c r="H564" s="26"/>
      <c r="I564" s="18"/>
      <c r="J564" s="18"/>
      <c r="K564" s="18"/>
      <c r="L564" s="27" t="str">
        <f aca="false">IF(C564="","",IF(G564="Concluída",1,N(H564)))</f>
        <v/>
      </c>
      <c r="M564" s="13" t="str">
        <f aca="true">IF(C564="","",IF(G564="Concluída","Concluída",IF(AND(F564&lt;&gt;"",F564&lt;TODAY()),"Atrasada","No prazo")))</f>
        <v/>
      </c>
    </row>
    <row r="565" customFormat="false" ht="15" hidden="false" customHeight="false" outlineLevel="0" collapsed="false">
      <c r="A565" s="18"/>
      <c r="B565" s="18"/>
      <c r="C565" s="18"/>
      <c r="D565" s="18"/>
      <c r="E565" s="25"/>
      <c r="F565" s="25"/>
      <c r="G565" s="18"/>
      <c r="H565" s="26"/>
      <c r="I565" s="18"/>
      <c r="J565" s="18"/>
      <c r="K565" s="18"/>
      <c r="L565" s="27" t="str">
        <f aca="false">IF(C565="","",IF(G565="Concluída",1,N(H565)))</f>
        <v/>
      </c>
      <c r="M565" s="13" t="str">
        <f aca="true">IF(C565="","",IF(G565="Concluída","Concluída",IF(AND(F565&lt;&gt;"",F565&lt;TODAY()),"Atrasada","No prazo")))</f>
        <v/>
      </c>
    </row>
    <row r="566" customFormat="false" ht="15" hidden="false" customHeight="false" outlineLevel="0" collapsed="false">
      <c r="A566" s="18"/>
      <c r="B566" s="18"/>
      <c r="C566" s="18"/>
      <c r="D566" s="18"/>
      <c r="E566" s="25"/>
      <c r="F566" s="25"/>
      <c r="G566" s="18"/>
      <c r="H566" s="26"/>
      <c r="I566" s="18"/>
      <c r="J566" s="18"/>
      <c r="K566" s="18"/>
      <c r="L566" s="27" t="str">
        <f aca="false">IF(C566="","",IF(G566="Concluída",1,N(H566)))</f>
        <v/>
      </c>
      <c r="M566" s="13" t="str">
        <f aca="true">IF(C566="","",IF(G566="Concluída","Concluída",IF(AND(F566&lt;&gt;"",F566&lt;TODAY()),"Atrasada","No prazo")))</f>
        <v/>
      </c>
    </row>
    <row r="567" customFormat="false" ht="15" hidden="false" customHeight="false" outlineLevel="0" collapsed="false">
      <c r="A567" s="18"/>
      <c r="B567" s="18"/>
      <c r="C567" s="18"/>
      <c r="D567" s="18"/>
      <c r="E567" s="25"/>
      <c r="F567" s="25"/>
      <c r="G567" s="18"/>
      <c r="H567" s="26"/>
      <c r="I567" s="18"/>
      <c r="J567" s="18"/>
      <c r="K567" s="18"/>
      <c r="L567" s="27" t="str">
        <f aca="false">IF(C567="","",IF(G567="Concluída",1,N(H567)))</f>
        <v/>
      </c>
      <c r="M567" s="13" t="str">
        <f aca="true">IF(C567="","",IF(G567="Concluída","Concluída",IF(AND(F567&lt;&gt;"",F567&lt;TODAY()),"Atrasada","No prazo")))</f>
        <v/>
      </c>
    </row>
    <row r="568" customFormat="false" ht="15" hidden="false" customHeight="false" outlineLevel="0" collapsed="false">
      <c r="A568" s="18"/>
      <c r="B568" s="18"/>
      <c r="C568" s="18"/>
      <c r="D568" s="18"/>
      <c r="E568" s="25"/>
      <c r="F568" s="25"/>
      <c r="G568" s="18"/>
      <c r="H568" s="26"/>
      <c r="I568" s="18"/>
      <c r="J568" s="18"/>
      <c r="K568" s="18"/>
      <c r="L568" s="27" t="str">
        <f aca="false">IF(C568="","",IF(G568="Concluída",1,N(H568)))</f>
        <v/>
      </c>
      <c r="M568" s="13" t="str">
        <f aca="true">IF(C568="","",IF(G568="Concluída","Concluída",IF(AND(F568&lt;&gt;"",F568&lt;TODAY()),"Atrasada","No prazo")))</f>
        <v/>
      </c>
    </row>
    <row r="569" customFormat="false" ht="15" hidden="false" customHeight="false" outlineLevel="0" collapsed="false">
      <c r="A569" s="18"/>
      <c r="B569" s="18"/>
      <c r="C569" s="18"/>
      <c r="D569" s="18"/>
      <c r="E569" s="25"/>
      <c r="F569" s="25"/>
      <c r="G569" s="18"/>
      <c r="H569" s="26"/>
      <c r="I569" s="18"/>
      <c r="J569" s="18"/>
      <c r="K569" s="18"/>
      <c r="L569" s="27" t="str">
        <f aca="false">IF(C569="","",IF(G569="Concluída",1,N(H569)))</f>
        <v/>
      </c>
      <c r="M569" s="13" t="str">
        <f aca="true">IF(C569="","",IF(G569="Concluída","Concluída",IF(AND(F569&lt;&gt;"",F569&lt;TODAY()),"Atrasada","No prazo")))</f>
        <v/>
      </c>
    </row>
    <row r="570" customFormat="false" ht="15" hidden="false" customHeight="false" outlineLevel="0" collapsed="false">
      <c r="A570" s="18"/>
      <c r="B570" s="18"/>
      <c r="C570" s="18"/>
      <c r="D570" s="18"/>
      <c r="E570" s="25"/>
      <c r="F570" s="25"/>
      <c r="G570" s="18"/>
      <c r="H570" s="26"/>
      <c r="I570" s="18"/>
      <c r="J570" s="18"/>
      <c r="K570" s="18"/>
      <c r="L570" s="27" t="str">
        <f aca="false">IF(C570="","",IF(G570="Concluída",1,N(H570)))</f>
        <v/>
      </c>
      <c r="M570" s="13" t="str">
        <f aca="true">IF(C570="","",IF(G570="Concluída","Concluída",IF(AND(F570&lt;&gt;"",F570&lt;TODAY()),"Atrasada","No prazo")))</f>
        <v/>
      </c>
    </row>
    <row r="571" customFormat="false" ht="15" hidden="false" customHeight="false" outlineLevel="0" collapsed="false">
      <c r="A571" s="18"/>
      <c r="B571" s="18"/>
      <c r="C571" s="18"/>
      <c r="D571" s="18"/>
      <c r="E571" s="25"/>
      <c r="F571" s="25"/>
      <c r="G571" s="18"/>
      <c r="H571" s="26"/>
      <c r="I571" s="18"/>
      <c r="J571" s="18"/>
      <c r="K571" s="18"/>
      <c r="L571" s="27" t="str">
        <f aca="false">IF(C571="","",IF(G571="Concluída",1,N(H571)))</f>
        <v/>
      </c>
      <c r="M571" s="13" t="str">
        <f aca="true">IF(C571="","",IF(G571="Concluída","Concluída",IF(AND(F571&lt;&gt;"",F571&lt;TODAY()),"Atrasada","No prazo")))</f>
        <v/>
      </c>
    </row>
    <row r="572" customFormat="false" ht="15" hidden="false" customHeight="false" outlineLevel="0" collapsed="false">
      <c r="A572" s="18"/>
      <c r="B572" s="18"/>
      <c r="C572" s="18"/>
      <c r="D572" s="18"/>
      <c r="E572" s="25"/>
      <c r="F572" s="25"/>
      <c r="G572" s="18"/>
      <c r="H572" s="26"/>
      <c r="I572" s="18"/>
      <c r="J572" s="18"/>
      <c r="K572" s="18"/>
      <c r="L572" s="27" t="str">
        <f aca="false">IF(C572="","",IF(G572="Concluída",1,N(H572)))</f>
        <v/>
      </c>
      <c r="M572" s="13" t="str">
        <f aca="true">IF(C572="","",IF(G572="Concluída","Concluída",IF(AND(F572&lt;&gt;"",F572&lt;TODAY()),"Atrasada","No prazo")))</f>
        <v/>
      </c>
    </row>
    <row r="573" customFormat="false" ht="15" hidden="false" customHeight="false" outlineLevel="0" collapsed="false">
      <c r="A573" s="18"/>
      <c r="B573" s="18"/>
      <c r="C573" s="18"/>
      <c r="D573" s="18"/>
      <c r="E573" s="25"/>
      <c r="F573" s="25"/>
      <c r="G573" s="18"/>
      <c r="H573" s="26"/>
      <c r="I573" s="18"/>
      <c r="J573" s="18"/>
      <c r="K573" s="18"/>
      <c r="L573" s="27" t="str">
        <f aca="false">IF(C573="","",IF(G573="Concluída",1,N(H573)))</f>
        <v/>
      </c>
      <c r="M573" s="13" t="str">
        <f aca="true">IF(C573="","",IF(G573="Concluída","Concluída",IF(AND(F573&lt;&gt;"",F573&lt;TODAY()),"Atrasada","No prazo")))</f>
        <v/>
      </c>
    </row>
    <row r="574" customFormat="false" ht="15" hidden="false" customHeight="false" outlineLevel="0" collapsed="false">
      <c r="A574" s="18"/>
      <c r="B574" s="18"/>
      <c r="C574" s="18"/>
      <c r="D574" s="18"/>
      <c r="E574" s="25"/>
      <c r="F574" s="25"/>
      <c r="G574" s="18"/>
      <c r="H574" s="26"/>
      <c r="I574" s="18"/>
      <c r="J574" s="18"/>
      <c r="K574" s="18"/>
      <c r="L574" s="27" t="str">
        <f aca="false">IF(C574="","",IF(G574="Concluída",1,N(H574)))</f>
        <v/>
      </c>
      <c r="M574" s="13" t="str">
        <f aca="true">IF(C574="","",IF(G574="Concluída","Concluída",IF(AND(F574&lt;&gt;"",F574&lt;TODAY()),"Atrasada","No prazo")))</f>
        <v/>
      </c>
    </row>
    <row r="575" customFormat="false" ht="15" hidden="false" customHeight="false" outlineLevel="0" collapsed="false">
      <c r="A575" s="18"/>
      <c r="B575" s="18"/>
      <c r="C575" s="18"/>
      <c r="D575" s="18"/>
      <c r="E575" s="25"/>
      <c r="F575" s="25"/>
      <c r="G575" s="18"/>
      <c r="H575" s="26"/>
      <c r="I575" s="18"/>
      <c r="J575" s="18"/>
      <c r="K575" s="18"/>
      <c r="L575" s="27" t="str">
        <f aca="false">IF(C575="","",IF(G575="Concluída",1,N(H575)))</f>
        <v/>
      </c>
      <c r="M575" s="13" t="str">
        <f aca="true">IF(C575="","",IF(G575="Concluída","Concluída",IF(AND(F575&lt;&gt;"",F575&lt;TODAY()),"Atrasada","No prazo")))</f>
        <v/>
      </c>
    </row>
    <row r="576" customFormat="false" ht="15" hidden="false" customHeight="false" outlineLevel="0" collapsed="false">
      <c r="A576" s="18"/>
      <c r="B576" s="18"/>
      <c r="C576" s="18"/>
      <c r="D576" s="18"/>
      <c r="E576" s="25"/>
      <c r="F576" s="25"/>
      <c r="G576" s="18"/>
      <c r="H576" s="26"/>
      <c r="I576" s="18"/>
      <c r="J576" s="18"/>
      <c r="K576" s="18"/>
      <c r="L576" s="27" t="str">
        <f aca="false">IF(C576="","",IF(G576="Concluída",1,N(H576)))</f>
        <v/>
      </c>
      <c r="M576" s="13" t="str">
        <f aca="true">IF(C576="","",IF(G576="Concluída","Concluída",IF(AND(F576&lt;&gt;"",F576&lt;TODAY()),"Atrasada","No prazo")))</f>
        <v/>
      </c>
    </row>
    <row r="577" customFormat="false" ht="15" hidden="false" customHeight="false" outlineLevel="0" collapsed="false">
      <c r="A577" s="18"/>
      <c r="B577" s="18"/>
      <c r="C577" s="18"/>
      <c r="D577" s="18"/>
      <c r="E577" s="25"/>
      <c r="F577" s="25"/>
      <c r="G577" s="18"/>
      <c r="H577" s="26"/>
      <c r="I577" s="18"/>
      <c r="J577" s="18"/>
      <c r="K577" s="18"/>
      <c r="L577" s="27" t="str">
        <f aca="false">IF(C577="","",IF(G577="Concluída",1,N(H577)))</f>
        <v/>
      </c>
      <c r="M577" s="13" t="str">
        <f aca="true">IF(C577="","",IF(G577="Concluída","Concluída",IF(AND(F577&lt;&gt;"",F577&lt;TODAY()),"Atrasada","No prazo")))</f>
        <v/>
      </c>
    </row>
    <row r="578" customFormat="false" ht="15" hidden="false" customHeight="false" outlineLevel="0" collapsed="false">
      <c r="A578" s="18"/>
      <c r="B578" s="18"/>
      <c r="C578" s="18"/>
      <c r="D578" s="18"/>
      <c r="E578" s="25"/>
      <c r="F578" s="25"/>
      <c r="G578" s="18"/>
      <c r="H578" s="26"/>
      <c r="I578" s="18"/>
      <c r="J578" s="18"/>
      <c r="K578" s="18"/>
      <c r="L578" s="27" t="str">
        <f aca="false">IF(C578="","",IF(G578="Concluída",1,N(H578)))</f>
        <v/>
      </c>
      <c r="M578" s="13" t="str">
        <f aca="true">IF(C578="","",IF(G578="Concluída","Concluída",IF(AND(F578&lt;&gt;"",F578&lt;TODAY()),"Atrasada","No prazo")))</f>
        <v/>
      </c>
    </row>
    <row r="579" customFormat="false" ht="15" hidden="false" customHeight="false" outlineLevel="0" collapsed="false">
      <c r="A579" s="18"/>
      <c r="B579" s="18"/>
      <c r="C579" s="18"/>
      <c r="D579" s="18"/>
      <c r="E579" s="25"/>
      <c r="F579" s="25"/>
      <c r="G579" s="18"/>
      <c r="H579" s="26"/>
      <c r="I579" s="18"/>
      <c r="J579" s="18"/>
      <c r="K579" s="18"/>
      <c r="L579" s="27" t="str">
        <f aca="false">IF(C579="","",IF(G579="Concluída",1,N(H579)))</f>
        <v/>
      </c>
      <c r="M579" s="13" t="str">
        <f aca="true">IF(C579="","",IF(G579="Concluída","Concluída",IF(AND(F579&lt;&gt;"",F579&lt;TODAY()),"Atrasada","No prazo")))</f>
        <v/>
      </c>
    </row>
    <row r="580" customFormat="false" ht="15" hidden="false" customHeight="false" outlineLevel="0" collapsed="false">
      <c r="A580" s="18"/>
      <c r="B580" s="18"/>
      <c r="C580" s="18"/>
      <c r="D580" s="18"/>
      <c r="E580" s="25"/>
      <c r="F580" s="25"/>
      <c r="G580" s="18"/>
      <c r="H580" s="26"/>
      <c r="I580" s="18"/>
      <c r="J580" s="18"/>
      <c r="K580" s="18"/>
      <c r="L580" s="27" t="str">
        <f aca="false">IF(C580="","",IF(G580="Concluída",1,N(H580)))</f>
        <v/>
      </c>
      <c r="M580" s="13" t="str">
        <f aca="true">IF(C580="","",IF(G580="Concluída","Concluída",IF(AND(F580&lt;&gt;"",F580&lt;TODAY()),"Atrasada","No prazo")))</f>
        <v/>
      </c>
    </row>
    <row r="581" customFormat="false" ht="15" hidden="false" customHeight="false" outlineLevel="0" collapsed="false">
      <c r="A581" s="18"/>
      <c r="B581" s="18"/>
      <c r="C581" s="18"/>
      <c r="D581" s="18"/>
      <c r="E581" s="25"/>
      <c r="F581" s="25"/>
      <c r="G581" s="18"/>
      <c r="H581" s="26"/>
      <c r="I581" s="18"/>
      <c r="J581" s="18"/>
      <c r="K581" s="18"/>
      <c r="L581" s="27" t="str">
        <f aca="false">IF(C581="","",IF(G581="Concluída",1,N(H581)))</f>
        <v/>
      </c>
      <c r="M581" s="13" t="str">
        <f aca="true">IF(C581="","",IF(G581="Concluída","Concluída",IF(AND(F581&lt;&gt;"",F581&lt;TODAY()),"Atrasada","No prazo")))</f>
        <v/>
      </c>
    </row>
    <row r="582" customFormat="false" ht="15" hidden="false" customHeight="false" outlineLevel="0" collapsed="false">
      <c r="A582" s="18"/>
      <c r="B582" s="18"/>
      <c r="C582" s="18"/>
      <c r="D582" s="18"/>
      <c r="E582" s="25"/>
      <c r="F582" s="25"/>
      <c r="G582" s="18"/>
      <c r="H582" s="26"/>
      <c r="I582" s="18"/>
      <c r="J582" s="18"/>
      <c r="K582" s="18"/>
      <c r="L582" s="27" t="str">
        <f aca="false">IF(C582="","",IF(G582="Concluída",1,N(H582)))</f>
        <v/>
      </c>
      <c r="M582" s="13" t="str">
        <f aca="true">IF(C582="","",IF(G582="Concluída","Concluída",IF(AND(F582&lt;&gt;"",F582&lt;TODAY()),"Atrasada","No prazo")))</f>
        <v/>
      </c>
    </row>
    <row r="583" customFormat="false" ht="15" hidden="false" customHeight="false" outlineLevel="0" collapsed="false">
      <c r="A583" s="18"/>
      <c r="B583" s="18"/>
      <c r="C583" s="18"/>
      <c r="D583" s="18"/>
      <c r="E583" s="25"/>
      <c r="F583" s="25"/>
      <c r="G583" s="18"/>
      <c r="H583" s="26"/>
      <c r="I583" s="18"/>
      <c r="J583" s="18"/>
      <c r="K583" s="18"/>
      <c r="L583" s="27" t="str">
        <f aca="false">IF(C583="","",IF(G583="Concluída",1,N(H583)))</f>
        <v/>
      </c>
      <c r="M583" s="13" t="str">
        <f aca="true">IF(C583="","",IF(G583="Concluída","Concluída",IF(AND(F583&lt;&gt;"",F583&lt;TODAY()),"Atrasada","No prazo")))</f>
        <v/>
      </c>
    </row>
    <row r="584" customFormat="false" ht="15" hidden="false" customHeight="false" outlineLevel="0" collapsed="false">
      <c r="A584" s="18"/>
      <c r="B584" s="18"/>
      <c r="C584" s="18"/>
      <c r="D584" s="18"/>
      <c r="E584" s="25"/>
      <c r="F584" s="25"/>
      <c r="G584" s="18"/>
      <c r="H584" s="26"/>
      <c r="I584" s="18"/>
      <c r="J584" s="18"/>
      <c r="K584" s="18"/>
      <c r="L584" s="27" t="str">
        <f aca="false">IF(C584="","",IF(G584="Concluída",1,N(H584)))</f>
        <v/>
      </c>
      <c r="M584" s="13" t="str">
        <f aca="true">IF(C584="","",IF(G584="Concluída","Concluída",IF(AND(F584&lt;&gt;"",F584&lt;TODAY()),"Atrasada","No prazo")))</f>
        <v/>
      </c>
    </row>
    <row r="585" customFormat="false" ht="15" hidden="false" customHeight="false" outlineLevel="0" collapsed="false">
      <c r="A585" s="18"/>
      <c r="B585" s="18"/>
      <c r="C585" s="18"/>
      <c r="D585" s="18"/>
      <c r="E585" s="25"/>
      <c r="F585" s="25"/>
      <c r="G585" s="18"/>
      <c r="H585" s="26"/>
      <c r="I585" s="18"/>
      <c r="J585" s="18"/>
      <c r="K585" s="18"/>
      <c r="L585" s="27" t="str">
        <f aca="false">IF(C585="","",IF(G585="Concluída",1,N(H585)))</f>
        <v/>
      </c>
      <c r="M585" s="13" t="str">
        <f aca="true">IF(C585="","",IF(G585="Concluída","Concluída",IF(AND(F585&lt;&gt;"",F585&lt;TODAY()),"Atrasada","No prazo")))</f>
        <v/>
      </c>
    </row>
    <row r="586" customFormat="false" ht="15" hidden="false" customHeight="false" outlineLevel="0" collapsed="false">
      <c r="A586" s="18"/>
      <c r="B586" s="18"/>
      <c r="C586" s="18"/>
      <c r="D586" s="18"/>
      <c r="E586" s="25"/>
      <c r="F586" s="25"/>
      <c r="G586" s="18"/>
      <c r="H586" s="26"/>
      <c r="I586" s="18"/>
      <c r="J586" s="18"/>
      <c r="K586" s="18"/>
      <c r="L586" s="27" t="str">
        <f aca="false">IF(C586="","",IF(G586="Concluída",1,N(H586)))</f>
        <v/>
      </c>
      <c r="M586" s="13" t="str">
        <f aca="true">IF(C586="","",IF(G586="Concluída","Concluída",IF(AND(F586&lt;&gt;"",F586&lt;TODAY()),"Atrasada","No prazo")))</f>
        <v/>
      </c>
    </row>
    <row r="587" customFormat="false" ht="15" hidden="false" customHeight="false" outlineLevel="0" collapsed="false">
      <c r="A587" s="18"/>
      <c r="B587" s="18"/>
      <c r="C587" s="18"/>
      <c r="D587" s="18"/>
      <c r="E587" s="25"/>
      <c r="F587" s="25"/>
      <c r="G587" s="18"/>
      <c r="H587" s="26"/>
      <c r="I587" s="18"/>
      <c r="J587" s="18"/>
      <c r="K587" s="18"/>
      <c r="L587" s="27" t="str">
        <f aca="false">IF(C587="","",IF(G587="Concluída",1,N(H587)))</f>
        <v/>
      </c>
      <c r="M587" s="13" t="str">
        <f aca="true">IF(C587="","",IF(G587="Concluída","Concluída",IF(AND(F587&lt;&gt;"",F587&lt;TODAY()),"Atrasada","No prazo")))</f>
        <v/>
      </c>
    </row>
    <row r="588" customFormat="false" ht="15" hidden="false" customHeight="false" outlineLevel="0" collapsed="false">
      <c r="A588" s="18"/>
      <c r="B588" s="18"/>
      <c r="C588" s="18"/>
      <c r="D588" s="18"/>
      <c r="E588" s="25"/>
      <c r="F588" s="25"/>
      <c r="G588" s="18"/>
      <c r="H588" s="26"/>
      <c r="I588" s="18"/>
      <c r="J588" s="18"/>
      <c r="K588" s="18"/>
      <c r="L588" s="27" t="str">
        <f aca="false">IF(C588="","",IF(G588="Concluída",1,N(H588)))</f>
        <v/>
      </c>
      <c r="M588" s="13" t="str">
        <f aca="true">IF(C588="","",IF(G588="Concluída","Concluída",IF(AND(F588&lt;&gt;"",F588&lt;TODAY()),"Atrasada","No prazo")))</f>
        <v/>
      </c>
    </row>
    <row r="589" customFormat="false" ht="15" hidden="false" customHeight="false" outlineLevel="0" collapsed="false">
      <c r="A589" s="18"/>
      <c r="B589" s="18"/>
      <c r="C589" s="18"/>
      <c r="D589" s="18"/>
      <c r="E589" s="25"/>
      <c r="F589" s="25"/>
      <c r="G589" s="18"/>
      <c r="H589" s="26"/>
      <c r="I589" s="18"/>
      <c r="J589" s="18"/>
      <c r="K589" s="18"/>
      <c r="L589" s="27" t="str">
        <f aca="false">IF(C589="","",IF(G589="Concluída",1,N(H589)))</f>
        <v/>
      </c>
      <c r="M589" s="13" t="str">
        <f aca="true">IF(C589="","",IF(G589="Concluída","Concluída",IF(AND(F589&lt;&gt;"",F589&lt;TODAY()),"Atrasada","No prazo")))</f>
        <v/>
      </c>
    </row>
    <row r="590" customFormat="false" ht="15" hidden="false" customHeight="false" outlineLevel="0" collapsed="false">
      <c r="A590" s="18"/>
      <c r="B590" s="18"/>
      <c r="C590" s="18"/>
      <c r="D590" s="18"/>
      <c r="E590" s="25"/>
      <c r="F590" s="25"/>
      <c r="G590" s="18"/>
      <c r="H590" s="26"/>
      <c r="I590" s="18"/>
      <c r="J590" s="18"/>
      <c r="K590" s="18"/>
      <c r="L590" s="27" t="str">
        <f aca="false">IF(C590="","",IF(G590="Concluída",1,N(H590)))</f>
        <v/>
      </c>
      <c r="M590" s="13" t="str">
        <f aca="true">IF(C590="","",IF(G590="Concluída","Concluída",IF(AND(F590&lt;&gt;"",F590&lt;TODAY()),"Atrasada","No prazo")))</f>
        <v/>
      </c>
    </row>
    <row r="591" customFormat="false" ht="15" hidden="false" customHeight="false" outlineLevel="0" collapsed="false">
      <c r="A591" s="18"/>
      <c r="B591" s="18"/>
      <c r="C591" s="18"/>
      <c r="D591" s="18"/>
      <c r="E591" s="25"/>
      <c r="F591" s="25"/>
      <c r="G591" s="18"/>
      <c r="H591" s="26"/>
      <c r="I591" s="18"/>
      <c r="J591" s="18"/>
      <c r="K591" s="18"/>
      <c r="L591" s="27" t="str">
        <f aca="false">IF(C591="","",IF(G591="Concluída",1,N(H591)))</f>
        <v/>
      </c>
      <c r="M591" s="13" t="str">
        <f aca="true">IF(C591="","",IF(G591="Concluída","Concluída",IF(AND(F591&lt;&gt;"",F591&lt;TODAY()),"Atrasada","No prazo")))</f>
        <v/>
      </c>
    </row>
    <row r="592" customFormat="false" ht="15" hidden="false" customHeight="false" outlineLevel="0" collapsed="false">
      <c r="A592" s="18"/>
      <c r="B592" s="18"/>
      <c r="C592" s="18"/>
      <c r="D592" s="18"/>
      <c r="E592" s="25"/>
      <c r="F592" s="25"/>
      <c r="G592" s="18"/>
      <c r="H592" s="26"/>
      <c r="I592" s="18"/>
      <c r="J592" s="18"/>
      <c r="K592" s="18"/>
      <c r="L592" s="27" t="str">
        <f aca="false">IF(C592="","",IF(G592="Concluída",1,N(H592)))</f>
        <v/>
      </c>
      <c r="M592" s="13" t="str">
        <f aca="true">IF(C592="","",IF(G592="Concluída","Concluída",IF(AND(F592&lt;&gt;"",F592&lt;TODAY()),"Atrasada","No prazo")))</f>
        <v/>
      </c>
    </row>
    <row r="593" customFormat="false" ht="15" hidden="false" customHeight="false" outlineLevel="0" collapsed="false">
      <c r="A593" s="18"/>
      <c r="B593" s="18"/>
      <c r="C593" s="18"/>
      <c r="D593" s="18"/>
      <c r="E593" s="25"/>
      <c r="F593" s="25"/>
      <c r="G593" s="18"/>
      <c r="H593" s="26"/>
      <c r="I593" s="18"/>
      <c r="J593" s="18"/>
      <c r="K593" s="18"/>
      <c r="L593" s="27" t="str">
        <f aca="false">IF(C593="","",IF(G593="Concluída",1,N(H593)))</f>
        <v/>
      </c>
      <c r="M593" s="13" t="str">
        <f aca="true">IF(C593="","",IF(G593="Concluída","Concluída",IF(AND(F593&lt;&gt;"",F593&lt;TODAY()),"Atrasada","No prazo")))</f>
        <v/>
      </c>
    </row>
    <row r="594" customFormat="false" ht="15" hidden="false" customHeight="false" outlineLevel="0" collapsed="false">
      <c r="A594" s="18"/>
      <c r="B594" s="18"/>
      <c r="C594" s="18"/>
      <c r="D594" s="18"/>
      <c r="E594" s="25"/>
      <c r="F594" s="25"/>
      <c r="G594" s="18"/>
      <c r="H594" s="26"/>
      <c r="I594" s="18"/>
      <c r="J594" s="18"/>
      <c r="K594" s="18"/>
      <c r="L594" s="27" t="str">
        <f aca="false">IF(C594="","",IF(G594="Concluída",1,N(H594)))</f>
        <v/>
      </c>
      <c r="M594" s="13" t="str">
        <f aca="true">IF(C594="","",IF(G594="Concluída","Concluída",IF(AND(F594&lt;&gt;"",F594&lt;TODAY()),"Atrasada","No prazo")))</f>
        <v/>
      </c>
    </row>
    <row r="595" customFormat="false" ht="15" hidden="false" customHeight="false" outlineLevel="0" collapsed="false">
      <c r="A595" s="18"/>
      <c r="B595" s="18"/>
      <c r="C595" s="18"/>
      <c r="D595" s="18"/>
      <c r="E595" s="25"/>
      <c r="F595" s="25"/>
      <c r="G595" s="18"/>
      <c r="H595" s="26"/>
      <c r="I595" s="18"/>
      <c r="J595" s="18"/>
      <c r="K595" s="18"/>
      <c r="L595" s="27" t="str">
        <f aca="false">IF(C595="","",IF(G595="Concluída",1,N(H595)))</f>
        <v/>
      </c>
      <c r="M595" s="13" t="str">
        <f aca="true">IF(C595="","",IF(G595="Concluída","Concluída",IF(AND(F595&lt;&gt;"",F595&lt;TODAY()),"Atrasada","No prazo")))</f>
        <v/>
      </c>
    </row>
    <row r="596" customFormat="false" ht="15" hidden="false" customHeight="false" outlineLevel="0" collapsed="false">
      <c r="A596" s="18"/>
      <c r="B596" s="18"/>
      <c r="C596" s="18"/>
      <c r="D596" s="18"/>
      <c r="E596" s="25"/>
      <c r="F596" s="25"/>
      <c r="G596" s="18"/>
      <c r="H596" s="26"/>
      <c r="I596" s="18"/>
      <c r="J596" s="18"/>
      <c r="K596" s="18"/>
      <c r="L596" s="27" t="str">
        <f aca="false">IF(C596="","",IF(G596="Concluída",1,N(H596)))</f>
        <v/>
      </c>
      <c r="M596" s="13" t="str">
        <f aca="true">IF(C596="","",IF(G596="Concluída","Concluída",IF(AND(F596&lt;&gt;"",F596&lt;TODAY()),"Atrasada","No prazo")))</f>
        <v/>
      </c>
    </row>
    <row r="597" customFormat="false" ht="15" hidden="false" customHeight="false" outlineLevel="0" collapsed="false">
      <c r="A597" s="18"/>
      <c r="B597" s="18"/>
      <c r="C597" s="18"/>
      <c r="D597" s="18"/>
      <c r="E597" s="25"/>
      <c r="F597" s="25"/>
      <c r="G597" s="18"/>
      <c r="H597" s="26"/>
      <c r="I597" s="18"/>
      <c r="J597" s="18"/>
      <c r="K597" s="18"/>
      <c r="L597" s="27" t="str">
        <f aca="false">IF(C597="","",IF(G597="Concluída",1,N(H597)))</f>
        <v/>
      </c>
      <c r="M597" s="13" t="str">
        <f aca="true">IF(C597="","",IF(G597="Concluída","Concluída",IF(AND(F597&lt;&gt;"",F597&lt;TODAY()),"Atrasada","No prazo")))</f>
        <v/>
      </c>
    </row>
    <row r="598" customFormat="false" ht="15" hidden="false" customHeight="false" outlineLevel="0" collapsed="false">
      <c r="A598" s="18"/>
      <c r="B598" s="18"/>
      <c r="C598" s="18"/>
      <c r="D598" s="18"/>
      <c r="E598" s="25"/>
      <c r="F598" s="25"/>
      <c r="G598" s="18"/>
      <c r="H598" s="26"/>
      <c r="I598" s="18"/>
      <c r="J598" s="18"/>
      <c r="K598" s="18"/>
      <c r="L598" s="27" t="str">
        <f aca="false">IF(C598="","",IF(G598="Concluída",1,N(H598)))</f>
        <v/>
      </c>
      <c r="M598" s="13" t="str">
        <f aca="true">IF(C598="","",IF(G598="Concluída","Concluída",IF(AND(F598&lt;&gt;"",F598&lt;TODAY()),"Atrasada","No prazo")))</f>
        <v/>
      </c>
    </row>
    <row r="599" customFormat="false" ht="15" hidden="false" customHeight="false" outlineLevel="0" collapsed="false">
      <c r="A599" s="18"/>
      <c r="B599" s="18"/>
      <c r="C599" s="18"/>
      <c r="D599" s="18"/>
      <c r="E599" s="25"/>
      <c r="F599" s="25"/>
      <c r="G599" s="18"/>
      <c r="H599" s="26"/>
      <c r="I599" s="18"/>
      <c r="J599" s="18"/>
      <c r="K599" s="18"/>
      <c r="L599" s="27" t="str">
        <f aca="false">IF(C599="","",IF(G599="Concluída",1,N(H599)))</f>
        <v/>
      </c>
      <c r="M599" s="13" t="str">
        <f aca="true">IF(C599="","",IF(G599="Concluída","Concluída",IF(AND(F599&lt;&gt;"",F599&lt;TODAY()),"Atrasada","No prazo")))</f>
        <v/>
      </c>
    </row>
    <row r="600" customFormat="false" ht="15" hidden="false" customHeight="false" outlineLevel="0" collapsed="false">
      <c r="A600" s="18"/>
      <c r="B600" s="18"/>
      <c r="C600" s="18"/>
      <c r="D600" s="18"/>
      <c r="E600" s="25"/>
      <c r="F600" s="25"/>
      <c r="G600" s="18"/>
      <c r="H600" s="26"/>
      <c r="I600" s="18"/>
      <c r="J600" s="18"/>
      <c r="K600" s="18"/>
      <c r="L600" s="27" t="str">
        <f aca="false">IF(C600="","",IF(G600="Concluída",1,N(H600)))</f>
        <v/>
      </c>
      <c r="M600" s="13" t="str">
        <f aca="true">IF(C600="","",IF(G600="Concluída","Concluída",IF(AND(F600&lt;&gt;"",F600&lt;TODAY()),"Atrasada","No prazo")))</f>
        <v/>
      </c>
    </row>
    <row r="601" customFormat="false" ht="15" hidden="false" customHeight="false" outlineLevel="0" collapsed="false">
      <c r="A601" s="18"/>
      <c r="B601" s="18"/>
      <c r="C601" s="18"/>
      <c r="D601" s="18"/>
      <c r="E601" s="25"/>
      <c r="F601" s="25"/>
      <c r="G601" s="18"/>
      <c r="H601" s="26"/>
      <c r="I601" s="18"/>
      <c r="J601" s="18"/>
      <c r="K601" s="18"/>
      <c r="L601" s="27" t="str">
        <f aca="false">IF(C601="","",IF(G601="Concluída",1,N(H601)))</f>
        <v/>
      </c>
      <c r="M601" s="13" t="str">
        <f aca="true">IF(C601="","",IF(G601="Concluída","Concluída",IF(AND(F601&lt;&gt;"",F601&lt;TODAY()),"Atrasada","No prazo")))</f>
        <v/>
      </c>
    </row>
    <row r="602" customFormat="false" ht="15" hidden="false" customHeight="false" outlineLevel="0" collapsed="false">
      <c r="A602" s="18"/>
      <c r="B602" s="18"/>
      <c r="C602" s="18"/>
      <c r="D602" s="18"/>
      <c r="E602" s="25"/>
      <c r="F602" s="25"/>
      <c r="G602" s="18"/>
      <c r="H602" s="26"/>
      <c r="I602" s="18"/>
      <c r="J602" s="18"/>
      <c r="K602" s="18"/>
      <c r="L602" s="27" t="str">
        <f aca="false">IF(C602="","",IF(G602="Concluída",1,N(H602)))</f>
        <v/>
      </c>
      <c r="M602" s="13" t="str">
        <f aca="true">IF(C602="","",IF(G602="Concluída","Concluída",IF(AND(F602&lt;&gt;"",F602&lt;TODAY()),"Atrasada","No prazo")))</f>
        <v/>
      </c>
    </row>
    <row r="603" customFormat="false" ht="15" hidden="false" customHeight="false" outlineLevel="0" collapsed="false">
      <c r="A603" s="18"/>
      <c r="B603" s="18"/>
      <c r="C603" s="18"/>
      <c r="D603" s="18"/>
      <c r="E603" s="25"/>
      <c r="F603" s="25"/>
      <c r="G603" s="18"/>
      <c r="H603" s="26"/>
      <c r="I603" s="18"/>
      <c r="J603" s="18"/>
      <c r="K603" s="18"/>
      <c r="L603" s="27" t="str">
        <f aca="false">IF(C603="","",IF(G603="Concluída",1,N(H603)))</f>
        <v/>
      </c>
      <c r="M603" s="13" t="str">
        <f aca="true">IF(C603="","",IF(G603="Concluída","Concluída",IF(AND(F603&lt;&gt;"",F603&lt;TODAY()),"Atrasada","No prazo")))</f>
        <v/>
      </c>
    </row>
    <row r="604" customFormat="false" ht="15" hidden="false" customHeight="false" outlineLevel="0" collapsed="false">
      <c r="A604" s="18"/>
      <c r="B604" s="18"/>
      <c r="C604" s="18"/>
      <c r="D604" s="18"/>
      <c r="E604" s="25"/>
      <c r="F604" s="25"/>
      <c r="G604" s="18"/>
      <c r="H604" s="26"/>
      <c r="I604" s="18"/>
      <c r="J604" s="18"/>
      <c r="K604" s="18"/>
      <c r="L604" s="27" t="str">
        <f aca="false">IF(C604="","",IF(G604="Concluída",1,N(H604)))</f>
        <v/>
      </c>
      <c r="M604" s="13" t="str">
        <f aca="true">IF(C604="","",IF(G604="Concluída","Concluída",IF(AND(F604&lt;&gt;"",F604&lt;TODAY()),"Atrasada","No prazo")))</f>
        <v/>
      </c>
    </row>
    <row r="605" customFormat="false" ht="15" hidden="false" customHeight="false" outlineLevel="0" collapsed="false">
      <c r="A605" s="18"/>
      <c r="B605" s="18"/>
      <c r="C605" s="18"/>
      <c r="D605" s="18"/>
      <c r="E605" s="25"/>
      <c r="F605" s="25"/>
      <c r="G605" s="18"/>
      <c r="H605" s="26"/>
      <c r="I605" s="18"/>
      <c r="J605" s="18"/>
      <c r="K605" s="18"/>
      <c r="L605" s="27" t="str">
        <f aca="false">IF(C605="","",IF(G605="Concluída",1,N(H605)))</f>
        <v/>
      </c>
      <c r="M605" s="13" t="str">
        <f aca="true">IF(C605="","",IF(G605="Concluída","Concluída",IF(AND(F605&lt;&gt;"",F605&lt;TODAY()),"Atrasada","No prazo")))</f>
        <v/>
      </c>
    </row>
    <row r="606" customFormat="false" ht="15" hidden="false" customHeight="false" outlineLevel="0" collapsed="false">
      <c r="A606" s="18"/>
      <c r="B606" s="18"/>
      <c r="C606" s="18"/>
      <c r="D606" s="18"/>
      <c r="E606" s="25"/>
      <c r="F606" s="25"/>
      <c r="G606" s="18"/>
      <c r="H606" s="26"/>
      <c r="I606" s="18"/>
      <c r="J606" s="18"/>
      <c r="K606" s="18"/>
      <c r="L606" s="27" t="str">
        <f aca="false">IF(C606="","",IF(G606="Concluída",1,N(H606)))</f>
        <v/>
      </c>
      <c r="M606" s="13" t="str">
        <f aca="true">IF(C606="","",IF(G606="Concluída","Concluída",IF(AND(F606&lt;&gt;"",F606&lt;TODAY()),"Atrasada","No prazo")))</f>
        <v/>
      </c>
    </row>
    <row r="607" customFormat="false" ht="15" hidden="false" customHeight="false" outlineLevel="0" collapsed="false">
      <c r="A607" s="18"/>
      <c r="B607" s="18"/>
      <c r="C607" s="18"/>
      <c r="D607" s="18"/>
      <c r="E607" s="25"/>
      <c r="F607" s="25"/>
      <c r="G607" s="18"/>
      <c r="H607" s="26"/>
      <c r="I607" s="18"/>
      <c r="J607" s="18"/>
      <c r="K607" s="18"/>
      <c r="L607" s="27" t="str">
        <f aca="false">IF(C607="","",IF(G607="Concluída",1,N(H607)))</f>
        <v/>
      </c>
      <c r="M607" s="13" t="str">
        <f aca="true">IF(C607="","",IF(G607="Concluída","Concluída",IF(AND(F607&lt;&gt;"",F607&lt;TODAY()),"Atrasada","No prazo")))</f>
        <v/>
      </c>
    </row>
    <row r="608" customFormat="false" ht="15" hidden="false" customHeight="false" outlineLevel="0" collapsed="false">
      <c r="A608" s="18"/>
      <c r="B608" s="18"/>
      <c r="C608" s="18"/>
      <c r="D608" s="18"/>
      <c r="E608" s="25"/>
      <c r="F608" s="25"/>
      <c r="G608" s="18"/>
      <c r="H608" s="26"/>
      <c r="I608" s="18"/>
      <c r="J608" s="18"/>
      <c r="K608" s="18"/>
      <c r="L608" s="27" t="str">
        <f aca="false">IF(C608="","",IF(G608="Concluída",1,N(H608)))</f>
        <v/>
      </c>
      <c r="M608" s="13" t="str">
        <f aca="true">IF(C608="","",IF(G608="Concluída","Concluída",IF(AND(F608&lt;&gt;"",F608&lt;TODAY()),"Atrasada","No prazo")))</f>
        <v/>
      </c>
    </row>
    <row r="609" customFormat="false" ht="15" hidden="false" customHeight="false" outlineLevel="0" collapsed="false">
      <c r="A609" s="18"/>
      <c r="B609" s="18"/>
      <c r="C609" s="18"/>
      <c r="D609" s="18"/>
      <c r="E609" s="25"/>
      <c r="F609" s="25"/>
      <c r="G609" s="18"/>
      <c r="H609" s="26"/>
      <c r="I609" s="18"/>
      <c r="J609" s="18"/>
      <c r="K609" s="18"/>
      <c r="L609" s="27" t="str">
        <f aca="false">IF(C609="","",IF(G609="Concluída",1,N(H609)))</f>
        <v/>
      </c>
      <c r="M609" s="13" t="str">
        <f aca="true">IF(C609="","",IF(G609="Concluída","Concluída",IF(AND(F609&lt;&gt;"",F609&lt;TODAY()),"Atrasada","No prazo")))</f>
        <v/>
      </c>
    </row>
    <row r="610" customFormat="false" ht="15" hidden="false" customHeight="false" outlineLevel="0" collapsed="false">
      <c r="A610" s="18"/>
      <c r="B610" s="18"/>
      <c r="C610" s="18"/>
      <c r="D610" s="18"/>
      <c r="E610" s="25"/>
      <c r="F610" s="25"/>
      <c r="G610" s="18"/>
      <c r="H610" s="26"/>
      <c r="I610" s="18"/>
      <c r="J610" s="18"/>
      <c r="K610" s="18"/>
      <c r="L610" s="27" t="str">
        <f aca="false">IF(C610="","",IF(G610="Concluída",1,N(H610)))</f>
        <v/>
      </c>
      <c r="M610" s="13" t="str">
        <f aca="true">IF(C610="","",IF(G610="Concluída","Concluída",IF(AND(F610&lt;&gt;"",F610&lt;TODAY()),"Atrasada","No prazo")))</f>
        <v/>
      </c>
    </row>
    <row r="611" customFormat="false" ht="15" hidden="false" customHeight="false" outlineLevel="0" collapsed="false">
      <c r="A611" s="18"/>
      <c r="B611" s="18"/>
      <c r="C611" s="18"/>
      <c r="D611" s="18"/>
      <c r="E611" s="25"/>
      <c r="F611" s="25"/>
      <c r="G611" s="18"/>
      <c r="H611" s="26"/>
      <c r="I611" s="18"/>
      <c r="J611" s="18"/>
      <c r="K611" s="18"/>
      <c r="L611" s="27" t="str">
        <f aca="false">IF(C611="","",IF(G611="Concluída",1,N(H611)))</f>
        <v/>
      </c>
      <c r="M611" s="13" t="str">
        <f aca="true">IF(C611="","",IF(G611="Concluída","Concluída",IF(AND(F611&lt;&gt;"",F611&lt;TODAY()),"Atrasada","No prazo")))</f>
        <v/>
      </c>
    </row>
    <row r="612" customFormat="false" ht="15" hidden="false" customHeight="false" outlineLevel="0" collapsed="false">
      <c r="A612" s="18"/>
      <c r="B612" s="18"/>
      <c r="C612" s="18"/>
      <c r="D612" s="18"/>
      <c r="E612" s="25"/>
      <c r="F612" s="25"/>
      <c r="G612" s="18"/>
      <c r="H612" s="26"/>
      <c r="I612" s="18"/>
      <c r="J612" s="18"/>
      <c r="K612" s="18"/>
      <c r="L612" s="27" t="str">
        <f aca="false">IF(C612="","",IF(G612="Concluída",1,N(H612)))</f>
        <v/>
      </c>
      <c r="M612" s="13" t="str">
        <f aca="true">IF(C612="","",IF(G612="Concluída","Concluída",IF(AND(F612&lt;&gt;"",F612&lt;TODAY()),"Atrasada","No prazo")))</f>
        <v/>
      </c>
    </row>
    <row r="613" customFormat="false" ht="15" hidden="false" customHeight="false" outlineLevel="0" collapsed="false">
      <c r="A613" s="18"/>
      <c r="B613" s="18"/>
      <c r="C613" s="18"/>
      <c r="D613" s="18"/>
      <c r="E613" s="25"/>
      <c r="F613" s="25"/>
      <c r="G613" s="18"/>
      <c r="H613" s="26"/>
      <c r="I613" s="18"/>
      <c r="J613" s="18"/>
      <c r="K613" s="18"/>
      <c r="L613" s="27" t="str">
        <f aca="false">IF(C613="","",IF(G613="Concluída",1,N(H613)))</f>
        <v/>
      </c>
      <c r="M613" s="13" t="str">
        <f aca="true">IF(C613="","",IF(G613="Concluída","Concluída",IF(AND(F613&lt;&gt;"",F613&lt;TODAY()),"Atrasada","No prazo")))</f>
        <v/>
      </c>
    </row>
    <row r="614" customFormat="false" ht="15" hidden="false" customHeight="false" outlineLevel="0" collapsed="false">
      <c r="A614" s="18"/>
      <c r="B614" s="18"/>
      <c r="C614" s="18"/>
      <c r="D614" s="18"/>
      <c r="E614" s="25"/>
      <c r="F614" s="25"/>
      <c r="G614" s="18"/>
      <c r="H614" s="26"/>
      <c r="I614" s="18"/>
      <c r="J614" s="18"/>
      <c r="K614" s="18"/>
      <c r="L614" s="27" t="str">
        <f aca="false">IF(C614="","",IF(G614="Concluída",1,N(H614)))</f>
        <v/>
      </c>
      <c r="M614" s="13" t="str">
        <f aca="true">IF(C614="","",IF(G614="Concluída","Concluída",IF(AND(F614&lt;&gt;"",F614&lt;TODAY()),"Atrasada","No prazo")))</f>
        <v/>
      </c>
    </row>
    <row r="615" customFormat="false" ht="15" hidden="false" customHeight="false" outlineLevel="0" collapsed="false">
      <c r="A615" s="18"/>
      <c r="B615" s="18"/>
      <c r="C615" s="18"/>
      <c r="D615" s="18"/>
      <c r="E615" s="25"/>
      <c r="F615" s="25"/>
      <c r="G615" s="18"/>
      <c r="H615" s="26"/>
      <c r="I615" s="18"/>
      <c r="J615" s="18"/>
      <c r="K615" s="18"/>
      <c r="L615" s="27" t="str">
        <f aca="false">IF(C615="","",IF(G615="Concluída",1,N(H615)))</f>
        <v/>
      </c>
      <c r="M615" s="13" t="str">
        <f aca="true">IF(C615="","",IF(G615="Concluída","Concluída",IF(AND(F615&lt;&gt;"",F615&lt;TODAY()),"Atrasada","No prazo")))</f>
        <v/>
      </c>
    </row>
    <row r="616" customFormat="false" ht="15" hidden="false" customHeight="false" outlineLevel="0" collapsed="false">
      <c r="A616" s="18"/>
      <c r="B616" s="18"/>
      <c r="C616" s="18"/>
      <c r="D616" s="18"/>
      <c r="E616" s="25"/>
      <c r="F616" s="25"/>
      <c r="G616" s="18"/>
      <c r="H616" s="26"/>
      <c r="I616" s="18"/>
      <c r="J616" s="18"/>
      <c r="K616" s="18"/>
      <c r="L616" s="27" t="str">
        <f aca="false">IF(C616="","",IF(G616="Concluída",1,N(H616)))</f>
        <v/>
      </c>
      <c r="M616" s="13" t="str">
        <f aca="true">IF(C616="","",IF(G616="Concluída","Concluída",IF(AND(F616&lt;&gt;"",F616&lt;TODAY()),"Atrasada","No prazo")))</f>
        <v/>
      </c>
    </row>
    <row r="617" customFormat="false" ht="15" hidden="false" customHeight="false" outlineLevel="0" collapsed="false">
      <c r="A617" s="18"/>
      <c r="B617" s="18"/>
      <c r="C617" s="18"/>
      <c r="D617" s="18"/>
      <c r="E617" s="25"/>
      <c r="F617" s="25"/>
      <c r="G617" s="18"/>
      <c r="H617" s="26"/>
      <c r="I617" s="18"/>
      <c r="J617" s="18"/>
      <c r="K617" s="18"/>
      <c r="L617" s="27" t="str">
        <f aca="false">IF(C617="","",IF(G617="Concluída",1,N(H617)))</f>
        <v/>
      </c>
      <c r="M617" s="13" t="str">
        <f aca="true">IF(C617="","",IF(G617="Concluída","Concluída",IF(AND(F617&lt;&gt;"",F617&lt;TODAY()),"Atrasada","No prazo")))</f>
        <v/>
      </c>
    </row>
    <row r="618" customFormat="false" ht="15" hidden="false" customHeight="false" outlineLevel="0" collapsed="false">
      <c r="A618" s="18"/>
      <c r="B618" s="18"/>
      <c r="C618" s="18"/>
      <c r="D618" s="18"/>
      <c r="E618" s="25"/>
      <c r="F618" s="25"/>
      <c r="G618" s="18"/>
      <c r="H618" s="26"/>
      <c r="I618" s="18"/>
      <c r="J618" s="18"/>
      <c r="K618" s="18"/>
      <c r="L618" s="27" t="str">
        <f aca="false">IF(C618="","",IF(G618="Concluída",1,N(H618)))</f>
        <v/>
      </c>
      <c r="M618" s="13" t="str">
        <f aca="true">IF(C618="","",IF(G618="Concluída","Concluída",IF(AND(F618&lt;&gt;"",F618&lt;TODAY()),"Atrasada","No prazo")))</f>
        <v/>
      </c>
    </row>
    <row r="619" customFormat="false" ht="15" hidden="false" customHeight="false" outlineLevel="0" collapsed="false">
      <c r="A619" s="18"/>
      <c r="B619" s="18"/>
      <c r="C619" s="18"/>
      <c r="D619" s="18"/>
      <c r="E619" s="25"/>
      <c r="F619" s="25"/>
      <c r="G619" s="18"/>
      <c r="H619" s="26"/>
      <c r="I619" s="18"/>
      <c r="J619" s="18"/>
      <c r="K619" s="18"/>
      <c r="L619" s="27" t="str">
        <f aca="false">IF(C619="","",IF(G619="Concluída",1,N(H619)))</f>
        <v/>
      </c>
      <c r="M619" s="13" t="str">
        <f aca="true">IF(C619="","",IF(G619="Concluída","Concluída",IF(AND(F619&lt;&gt;"",F619&lt;TODAY()),"Atrasada","No prazo")))</f>
        <v/>
      </c>
    </row>
    <row r="620" customFormat="false" ht="15" hidden="false" customHeight="false" outlineLevel="0" collapsed="false">
      <c r="A620" s="18"/>
      <c r="B620" s="18"/>
      <c r="C620" s="18"/>
      <c r="D620" s="18"/>
      <c r="E620" s="25"/>
      <c r="F620" s="25"/>
      <c r="G620" s="18"/>
      <c r="H620" s="26"/>
      <c r="I620" s="18"/>
      <c r="J620" s="18"/>
      <c r="K620" s="18"/>
      <c r="L620" s="27" t="str">
        <f aca="false">IF(C620="","",IF(G620="Concluída",1,N(H620)))</f>
        <v/>
      </c>
      <c r="M620" s="13" t="str">
        <f aca="true">IF(C620="","",IF(G620="Concluída","Concluída",IF(AND(F620&lt;&gt;"",F620&lt;TODAY()),"Atrasada","No prazo")))</f>
        <v/>
      </c>
    </row>
    <row r="621" customFormat="false" ht="15" hidden="false" customHeight="false" outlineLevel="0" collapsed="false">
      <c r="A621" s="18"/>
      <c r="B621" s="18"/>
      <c r="C621" s="18"/>
      <c r="D621" s="18"/>
      <c r="E621" s="25"/>
      <c r="F621" s="25"/>
      <c r="G621" s="18"/>
      <c r="H621" s="26"/>
      <c r="I621" s="18"/>
      <c r="J621" s="18"/>
      <c r="K621" s="18"/>
      <c r="L621" s="27" t="str">
        <f aca="false">IF(C621="","",IF(G621="Concluída",1,N(H621)))</f>
        <v/>
      </c>
      <c r="M621" s="13" t="str">
        <f aca="true">IF(C621="","",IF(G621="Concluída","Concluída",IF(AND(F621&lt;&gt;"",F621&lt;TODAY()),"Atrasada","No prazo")))</f>
        <v/>
      </c>
    </row>
    <row r="622" customFormat="false" ht="15" hidden="false" customHeight="false" outlineLevel="0" collapsed="false">
      <c r="A622" s="18"/>
      <c r="B622" s="18"/>
      <c r="C622" s="18"/>
      <c r="D622" s="18"/>
      <c r="E622" s="25"/>
      <c r="F622" s="25"/>
      <c r="G622" s="18"/>
      <c r="H622" s="26"/>
      <c r="I622" s="18"/>
      <c r="J622" s="18"/>
      <c r="K622" s="18"/>
      <c r="L622" s="27" t="str">
        <f aca="false">IF(C622="","",IF(G622="Concluída",1,N(H622)))</f>
        <v/>
      </c>
      <c r="M622" s="13" t="str">
        <f aca="true">IF(C622="","",IF(G622="Concluída","Concluída",IF(AND(F622&lt;&gt;"",F622&lt;TODAY()),"Atrasada","No prazo")))</f>
        <v/>
      </c>
    </row>
    <row r="623" customFormat="false" ht="15" hidden="false" customHeight="false" outlineLevel="0" collapsed="false">
      <c r="A623" s="18"/>
      <c r="B623" s="18"/>
      <c r="C623" s="18"/>
      <c r="D623" s="18"/>
      <c r="E623" s="25"/>
      <c r="F623" s="25"/>
      <c r="G623" s="18"/>
      <c r="H623" s="26"/>
      <c r="I623" s="18"/>
      <c r="J623" s="18"/>
      <c r="K623" s="18"/>
      <c r="L623" s="27" t="str">
        <f aca="false">IF(C623="","",IF(G623="Concluída",1,N(H623)))</f>
        <v/>
      </c>
      <c r="M623" s="13" t="str">
        <f aca="true">IF(C623="","",IF(G623="Concluída","Concluída",IF(AND(F623&lt;&gt;"",F623&lt;TODAY()),"Atrasada","No prazo")))</f>
        <v/>
      </c>
    </row>
    <row r="624" customFormat="false" ht="15" hidden="false" customHeight="false" outlineLevel="0" collapsed="false">
      <c r="A624" s="18"/>
      <c r="B624" s="18"/>
      <c r="C624" s="18"/>
      <c r="D624" s="18"/>
      <c r="E624" s="25"/>
      <c r="F624" s="25"/>
      <c r="G624" s="18"/>
      <c r="H624" s="26"/>
      <c r="I624" s="18"/>
      <c r="J624" s="18"/>
      <c r="K624" s="18"/>
      <c r="L624" s="27" t="str">
        <f aca="false">IF(C624="","",IF(G624="Concluída",1,N(H624)))</f>
        <v/>
      </c>
      <c r="M624" s="13" t="str">
        <f aca="true">IF(C624="","",IF(G624="Concluída","Concluída",IF(AND(F624&lt;&gt;"",F624&lt;TODAY()),"Atrasada","No prazo")))</f>
        <v/>
      </c>
    </row>
    <row r="625" customFormat="false" ht="15" hidden="false" customHeight="false" outlineLevel="0" collapsed="false">
      <c r="A625" s="18"/>
      <c r="B625" s="18"/>
      <c r="C625" s="18"/>
      <c r="D625" s="18"/>
      <c r="E625" s="25"/>
      <c r="F625" s="25"/>
      <c r="G625" s="18"/>
      <c r="H625" s="26"/>
      <c r="I625" s="18"/>
      <c r="J625" s="18"/>
      <c r="K625" s="18"/>
      <c r="L625" s="27" t="str">
        <f aca="false">IF(C625="","",IF(G625="Concluída",1,N(H625)))</f>
        <v/>
      </c>
      <c r="M625" s="13" t="str">
        <f aca="true">IF(C625="","",IF(G625="Concluída","Concluída",IF(AND(F625&lt;&gt;"",F625&lt;TODAY()),"Atrasada","No prazo")))</f>
        <v/>
      </c>
    </row>
    <row r="626" customFormat="false" ht="15" hidden="false" customHeight="false" outlineLevel="0" collapsed="false">
      <c r="A626" s="18"/>
      <c r="B626" s="18"/>
      <c r="C626" s="18"/>
      <c r="D626" s="18"/>
      <c r="E626" s="25"/>
      <c r="F626" s="25"/>
      <c r="G626" s="18"/>
      <c r="H626" s="26"/>
      <c r="I626" s="18"/>
      <c r="J626" s="18"/>
      <c r="K626" s="18"/>
      <c r="L626" s="27" t="str">
        <f aca="false">IF(C626="","",IF(G626="Concluída",1,N(H626)))</f>
        <v/>
      </c>
      <c r="M626" s="13" t="str">
        <f aca="true">IF(C626="","",IF(G626="Concluída","Concluída",IF(AND(F626&lt;&gt;"",F626&lt;TODAY()),"Atrasada","No prazo")))</f>
        <v/>
      </c>
    </row>
    <row r="627" customFormat="false" ht="15" hidden="false" customHeight="false" outlineLevel="0" collapsed="false">
      <c r="A627" s="18"/>
      <c r="B627" s="18"/>
      <c r="C627" s="18"/>
      <c r="D627" s="18"/>
      <c r="E627" s="25"/>
      <c r="F627" s="25"/>
      <c r="G627" s="18"/>
      <c r="H627" s="26"/>
      <c r="I627" s="18"/>
      <c r="J627" s="18"/>
      <c r="K627" s="18"/>
      <c r="L627" s="27" t="str">
        <f aca="false">IF(C627="","",IF(G627="Concluída",1,N(H627)))</f>
        <v/>
      </c>
      <c r="M627" s="13" t="str">
        <f aca="true">IF(C627="","",IF(G627="Concluída","Concluída",IF(AND(F627&lt;&gt;"",F627&lt;TODAY()),"Atrasada","No prazo")))</f>
        <v/>
      </c>
    </row>
    <row r="628" customFormat="false" ht="15" hidden="false" customHeight="false" outlineLevel="0" collapsed="false">
      <c r="A628" s="18"/>
      <c r="B628" s="18"/>
      <c r="C628" s="18"/>
      <c r="D628" s="18"/>
      <c r="E628" s="25"/>
      <c r="F628" s="25"/>
      <c r="G628" s="18"/>
      <c r="H628" s="26"/>
      <c r="I628" s="18"/>
      <c r="J628" s="18"/>
      <c r="K628" s="18"/>
      <c r="L628" s="27" t="str">
        <f aca="false">IF(C628="","",IF(G628="Concluída",1,N(H628)))</f>
        <v/>
      </c>
      <c r="M628" s="13" t="str">
        <f aca="true">IF(C628="","",IF(G628="Concluída","Concluída",IF(AND(F628&lt;&gt;"",F628&lt;TODAY()),"Atrasada","No prazo")))</f>
        <v/>
      </c>
    </row>
    <row r="629" customFormat="false" ht="15" hidden="false" customHeight="false" outlineLevel="0" collapsed="false">
      <c r="A629" s="18"/>
      <c r="B629" s="18"/>
      <c r="C629" s="18"/>
      <c r="D629" s="18"/>
      <c r="E629" s="25"/>
      <c r="F629" s="25"/>
      <c r="G629" s="18"/>
      <c r="H629" s="26"/>
      <c r="I629" s="18"/>
      <c r="J629" s="18"/>
      <c r="K629" s="18"/>
      <c r="L629" s="27" t="str">
        <f aca="false">IF(C629="","",IF(G629="Concluída",1,N(H629)))</f>
        <v/>
      </c>
      <c r="M629" s="13" t="str">
        <f aca="true">IF(C629="","",IF(G629="Concluída","Concluída",IF(AND(F629&lt;&gt;"",F629&lt;TODAY()),"Atrasada","No prazo")))</f>
        <v/>
      </c>
    </row>
    <row r="630" customFormat="false" ht="15" hidden="false" customHeight="false" outlineLevel="0" collapsed="false">
      <c r="A630" s="18"/>
      <c r="B630" s="18"/>
      <c r="C630" s="18"/>
      <c r="D630" s="18"/>
      <c r="E630" s="25"/>
      <c r="F630" s="25"/>
      <c r="G630" s="18"/>
      <c r="H630" s="26"/>
      <c r="I630" s="18"/>
      <c r="J630" s="18"/>
      <c r="K630" s="18"/>
      <c r="L630" s="27" t="str">
        <f aca="false">IF(C630="","",IF(G630="Concluída",1,N(H630)))</f>
        <v/>
      </c>
      <c r="M630" s="13" t="str">
        <f aca="true">IF(C630="","",IF(G630="Concluída","Concluída",IF(AND(F630&lt;&gt;"",F630&lt;TODAY()),"Atrasada","No prazo")))</f>
        <v/>
      </c>
    </row>
    <row r="631" customFormat="false" ht="15" hidden="false" customHeight="false" outlineLevel="0" collapsed="false">
      <c r="A631" s="18"/>
      <c r="B631" s="18"/>
      <c r="C631" s="18"/>
      <c r="D631" s="18"/>
      <c r="E631" s="25"/>
      <c r="F631" s="25"/>
      <c r="G631" s="18"/>
      <c r="H631" s="26"/>
      <c r="I631" s="18"/>
      <c r="J631" s="18"/>
      <c r="K631" s="18"/>
      <c r="L631" s="27" t="str">
        <f aca="false">IF(C631="","",IF(G631="Concluída",1,N(H631)))</f>
        <v/>
      </c>
      <c r="M631" s="13" t="str">
        <f aca="true">IF(C631="","",IF(G631="Concluída","Concluída",IF(AND(F631&lt;&gt;"",F631&lt;TODAY()),"Atrasada","No prazo")))</f>
        <v/>
      </c>
    </row>
    <row r="632" customFormat="false" ht="15" hidden="false" customHeight="false" outlineLevel="0" collapsed="false">
      <c r="A632" s="18"/>
      <c r="B632" s="18"/>
      <c r="C632" s="18"/>
      <c r="D632" s="18"/>
      <c r="E632" s="25"/>
      <c r="F632" s="25"/>
      <c r="G632" s="18"/>
      <c r="H632" s="26"/>
      <c r="I632" s="18"/>
      <c r="J632" s="18"/>
      <c r="K632" s="18"/>
      <c r="L632" s="27" t="str">
        <f aca="false">IF(C632="","",IF(G632="Concluída",1,N(H632)))</f>
        <v/>
      </c>
      <c r="M632" s="13" t="str">
        <f aca="true">IF(C632="","",IF(G632="Concluída","Concluída",IF(AND(F632&lt;&gt;"",F632&lt;TODAY()),"Atrasada","No prazo")))</f>
        <v/>
      </c>
    </row>
    <row r="633" customFormat="false" ht="15" hidden="false" customHeight="false" outlineLevel="0" collapsed="false">
      <c r="A633" s="18"/>
      <c r="B633" s="18"/>
      <c r="C633" s="18"/>
      <c r="D633" s="18"/>
      <c r="E633" s="25"/>
      <c r="F633" s="25"/>
      <c r="G633" s="18"/>
      <c r="H633" s="26"/>
      <c r="I633" s="18"/>
      <c r="J633" s="18"/>
      <c r="K633" s="18"/>
      <c r="L633" s="27" t="str">
        <f aca="false">IF(C633="","",IF(G633="Concluída",1,N(H633)))</f>
        <v/>
      </c>
      <c r="M633" s="13" t="str">
        <f aca="true">IF(C633="","",IF(G633="Concluída","Concluída",IF(AND(F633&lt;&gt;"",F633&lt;TODAY()),"Atrasada","No prazo")))</f>
        <v/>
      </c>
    </row>
    <row r="634" customFormat="false" ht="15" hidden="false" customHeight="false" outlineLevel="0" collapsed="false">
      <c r="A634" s="18"/>
      <c r="B634" s="18"/>
      <c r="C634" s="18"/>
      <c r="D634" s="18"/>
      <c r="E634" s="25"/>
      <c r="F634" s="25"/>
      <c r="G634" s="18"/>
      <c r="H634" s="26"/>
      <c r="I634" s="18"/>
      <c r="J634" s="18"/>
      <c r="K634" s="18"/>
      <c r="L634" s="27" t="str">
        <f aca="false">IF(C634="","",IF(G634="Concluída",1,N(H634)))</f>
        <v/>
      </c>
      <c r="M634" s="13" t="str">
        <f aca="true">IF(C634="","",IF(G634="Concluída","Concluída",IF(AND(F634&lt;&gt;"",F634&lt;TODAY()),"Atrasada","No prazo")))</f>
        <v/>
      </c>
    </row>
    <row r="635" customFormat="false" ht="15" hidden="false" customHeight="false" outlineLevel="0" collapsed="false">
      <c r="A635" s="18"/>
      <c r="B635" s="18"/>
      <c r="C635" s="18"/>
      <c r="D635" s="18"/>
      <c r="E635" s="25"/>
      <c r="F635" s="25"/>
      <c r="G635" s="18"/>
      <c r="H635" s="26"/>
      <c r="I635" s="18"/>
      <c r="J635" s="18"/>
      <c r="K635" s="18"/>
      <c r="L635" s="27" t="str">
        <f aca="false">IF(C635="","",IF(G635="Concluída",1,N(H635)))</f>
        <v/>
      </c>
      <c r="M635" s="13" t="str">
        <f aca="true">IF(C635="","",IF(G635="Concluída","Concluída",IF(AND(F635&lt;&gt;"",F635&lt;TODAY()),"Atrasada","No prazo")))</f>
        <v/>
      </c>
    </row>
    <row r="636" customFormat="false" ht="15" hidden="false" customHeight="false" outlineLevel="0" collapsed="false">
      <c r="A636" s="18"/>
      <c r="B636" s="18"/>
      <c r="C636" s="18"/>
      <c r="D636" s="18"/>
      <c r="E636" s="25"/>
      <c r="F636" s="25"/>
      <c r="G636" s="18"/>
      <c r="H636" s="26"/>
      <c r="I636" s="18"/>
      <c r="J636" s="18"/>
      <c r="K636" s="18"/>
      <c r="L636" s="27" t="str">
        <f aca="false">IF(C636="","",IF(G636="Concluída",1,N(H636)))</f>
        <v/>
      </c>
      <c r="M636" s="13" t="str">
        <f aca="true">IF(C636="","",IF(G636="Concluída","Concluída",IF(AND(F636&lt;&gt;"",F636&lt;TODAY()),"Atrasada","No prazo")))</f>
        <v/>
      </c>
    </row>
    <row r="637" customFormat="false" ht="15" hidden="false" customHeight="false" outlineLevel="0" collapsed="false">
      <c r="A637" s="18"/>
      <c r="B637" s="18"/>
      <c r="C637" s="18"/>
      <c r="D637" s="18"/>
      <c r="E637" s="25"/>
      <c r="F637" s="25"/>
      <c r="G637" s="18"/>
      <c r="H637" s="26"/>
      <c r="I637" s="18"/>
      <c r="J637" s="18"/>
      <c r="K637" s="18"/>
      <c r="L637" s="27" t="str">
        <f aca="false">IF(C637="","",IF(G637="Concluída",1,N(H637)))</f>
        <v/>
      </c>
      <c r="M637" s="13" t="str">
        <f aca="true">IF(C637="","",IF(G637="Concluída","Concluída",IF(AND(F637&lt;&gt;"",F637&lt;TODAY()),"Atrasada","No prazo")))</f>
        <v/>
      </c>
    </row>
    <row r="638" customFormat="false" ht="15" hidden="false" customHeight="false" outlineLevel="0" collapsed="false">
      <c r="A638" s="18"/>
      <c r="B638" s="18"/>
      <c r="C638" s="18"/>
      <c r="D638" s="18"/>
      <c r="E638" s="25"/>
      <c r="F638" s="25"/>
      <c r="G638" s="18"/>
      <c r="H638" s="26"/>
      <c r="I638" s="18"/>
      <c r="J638" s="18"/>
      <c r="K638" s="18"/>
      <c r="L638" s="27" t="str">
        <f aca="false">IF(C638="","",IF(G638="Concluída",1,N(H638)))</f>
        <v/>
      </c>
      <c r="M638" s="13" t="str">
        <f aca="true">IF(C638="","",IF(G638="Concluída","Concluída",IF(AND(F638&lt;&gt;"",F638&lt;TODAY()),"Atrasada","No prazo")))</f>
        <v/>
      </c>
    </row>
    <row r="639" customFormat="false" ht="15" hidden="false" customHeight="false" outlineLevel="0" collapsed="false">
      <c r="A639" s="18"/>
      <c r="B639" s="18"/>
      <c r="C639" s="18"/>
      <c r="D639" s="18"/>
      <c r="E639" s="25"/>
      <c r="F639" s="25"/>
      <c r="G639" s="18"/>
      <c r="H639" s="26"/>
      <c r="I639" s="18"/>
      <c r="J639" s="18"/>
      <c r="K639" s="18"/>
      <c r="L639" s="27" t="str">
        <f aca="false">IF(C639="","",IF(G639="Concluída",1,N(H639)))</f>
        <v/>
      </c>
      <c r="M639" s="13" t="str">
        <f aca="true">IF(C639="","",IF(G639="Concluída","Concluída",IF(AND(F639&lt;&gt;"",F639&lt;TODAY()),"Atrasada","No prazo")))</f>
        <v/>
      </c>
    </row>
    <row r="640" customFormat="false" ht="15" hidden="false" customHeight="false" outlineLevel="0" collapsed="false">
      <c r="A640" s="18"/>
      <c r="B640" s="18"/>
      <c r="C640" s="18"/>
      <c r="D640" s="18"/>
      <c r="E640" s="25"/>
      <c r="F640" s="25"/>
      <c r="G640" s="18"/>
      <c r="H640" s="26"/>
      <c r="I640" s="18"/>
      <c r="J640" s="18"/>
      <c r="K640" s="18"/>
      <c r="L640" s="27" t="str">
        <f aca="false">IF(C640="","",IF(G640="Concluída",1,N(H640)))</f>
        <v/>
      </c>
      <c r="M640" s="13" t="str">
        <f aca="true">IF(C640="","",IF(G640="Concluída","Concluída",IF(AND(F640&lt;&gt;"",F640&lt;TODAY()),"Atrasada","No prazo")))</f>
        <v/>
      </c>
    </row>
    <row r="641" customFormat="false" ht="15" hidden="false" customHeight="false" outlineLevel="0" collapsed="false">
      <c r="A641" s="18"/>
      <c r="B641" s="18"/>
      <c r="C641" s="18"/>
      <c r="D641" s="18"/>
      <c r="E641" s="25"/>
      <c r="F641" s="25"/>
      <c r="G641" s="18"/>
      <c r="H641" s="26"/>
      <c r="I641" s="18"/>
      <c r="J641" s="18"/>
      <c r="K641" s="18"/>
      <c r="L641" s="27" t="str">
        <f aca="false">IF(C641="","",IF(G641="Concluída",1,N(H641)))</f>
        <v/>
      </c>
      <c r="M641" s="13" t="str">
        <f aca="true">IF(C641="","",IF(G641="Concluída","Concluída",IF(AND(F641&lt;&gt;"",F641&lt;TODAY()),"Atrasada","No prazo")))</f>
        <v/>
      </c>
    </row>
    <row r="642" customFormat="false" ht="15" hidden="false" customHeight="false" outlineLevel="0" collapsed="false">
      <c r="A642" s="18"/>
      <c r="B642" s="18"/>
      <c r="C642" s="18"/>
      <c r="D642" s="18"/>
      <c r="E642" s="25"/>
      <c r="F642" s="25"/>
      <c r="G642" s="18"/>
      <c r="H642" s="26"/>
      <c r="I642" s="18"/>
      <c r="J642" s="18"/>
      <c r="K642" s="18"/>
      <c r="L642" s="27" t="str">
        <f aca="false">IF(C642="","",IF(G642="Concluída",1,N(H642)))</f>
        <v/>
      </c>
      <c r="M642" s="13" t="str">
        <f aca="true">IF(C642="","",IF(G642="Concluída","Concluída",IF(AND(F642&lt;&gt;"",F642&lt;TODAY()),"Atrasada","No prazo")))</f>
        <v/>
      </c>
    </row>
    <row r="643" customFormat="false" ht="15" hidden="false" customHeight="false" outlineLevel="0" collapsed="false">
      <c r="A643" s="18"/>
      <c r="B643" s="18"/>
      <c r="C643" s="18"/>
      <c r="D643" s="18"/>
      <c r="E643" s="25"/>
      <c r="F643" s="25"/>
      <c r="G643" s="18"/>
      <c r="H643" s="26"/>
      <c r="I643" s="18"/>
      <c r="J643" s="18"/>
      <c r="K643" s="18"/>
      <c r="L643" s="27" t="str">
        <f aca="false">IF(C643="","",IF(G643="Concluída",1,N(H643)))</f>
        <v/>
      </c>
      <c r="M643" s="13" t="str">
        <f aca="true">IF(C643="","",IF(G643="Concluída","Concluída",IF(AND(F643&lt;&gt;"",F643&lt;TODAY()),"Atrasada","No prazo")))</f>
        <v/>
      </c>
    </row>
    <row r="644" customFormat="false" ht="15" hidden="false" customHeight="false" outlineLevel="0" collapsed="false">
      <c r="A644" s="18"/>
      <c r="B644" s="18"/>
      <c r="C644" s="18"/>
      <c r="D644" s="18"/>
      <c r="E644" s="25"/>
      <c r="F644" s="25"/>
      <c r="G644" s="18"/>
      <c r="H644" s="26"/>
      <c r="I644" s="18"/>
      <c r="J644" s="18"/>
      <c r="K644" s="18"/>
      <c r="L644" s="27" t="str">
        <f aca="false">IF(C644="","",IF(G644="Concluída",1,N(H644)))</f>
        <v/>
      </c>
      <c r="M644" s="13" t="str">
        <f aca="true">IF(C644="","",IF(G644="Concluída","Concluída",IF(AND(F644&lt;&gt;"",F644&lt;TODAY()),"Atrasada","No prazo")))</f>
        <v/>
      </c>
    </row>
    <row r="645" customFormat="false" ht="15" hidden="false" customHeight="false" outlineLevel="0" collapsed="false">
      <c r="A645" s="18"/>
      <c r="B645" s="18"/>
      <c r="C645" s="18"/>
      <c r="D645" s="18"/>
      <c r="E645" s="25"/>
      <c r="F645" s="25"/>
      <c r="G645" s="18"/>
      <c r="H645" s="26"/>
      <c r="I645" s="18"/>
      <c r="J645" s="18"/>
      <c r="K645" s="18"/>
      <c r="L645" s="27" t="str">
        <f aca="false">IF(C645="","",IF(G645="Concluída",1,N(H645)))</f>
        <v/>
      </c>
      <c r="M645" s="13" t="str">
        <f aca="true">IF(C645="","",IF(G645="Concluída","Concluída",IF(AND(F645&lt;&gt;"",F645&lt;TODAY()),"Atrasada","No prazo")))</f>
        <v/>
      </c>
    </row>
    <row r="646" customFormat="false" ht="15" hidden="false" customHeight="false" outlineLevel="0" collapsed="false">
      <c r="A646" s="18"/>
      <c r="B646" s="18"/>
      <c r="C646" s="18"/>
      <c r="D646" s="18"/>
      <c r="E646" s="25"/>
      <c r="F646" s="25"/>
      <c r="G646" s="18"/>
      <c r="H646" s="26"/>
      <c r="I646" s="18"/>
      <c r="J646" s="18"/>
      <c r="K646" s="18"/>
      <c r="L646" s="27" t="str">
        <f aca="false">IF(C646="","",IF(G646="Concluída",1,N(H646)))</f>
        <v/>
      </c>
      <c r="M646" s="13" t="str">
        <f aca="true">IF(C646="","",IF(G646="Concluída","Concluída",IF(AND(F646&lt;&gt;"",F646&lt;TODAY()),"Atrasada","No prazo")))</f>
        <v/>
      </c>
    </row>
    <row r="647" customFormat="false" ht="15" hidden="false" customHeight="false" outlineLevel="0" collapsed="false">
      <c r="A647" s="18"/>
      <c r="B647" s="18"/>
      <c r="C647" s="18"/>
      <c r="D647" s="18"/>
      <c r="E647" s="25"/>
      <c r="F647" s="25"/>
      <c r="G647" s="18"/>
      <c r="H647" s="26"/>
      <c r="I647" s="18"/>
      <c r="J647" s="18"/>
      <c r="K647" s="18"/>
      <c r="L647" s="27" t="str">
        <f aca="false">IF(C647="","",IF(G647="Concluída",1,N(H647)))</f>
        <v/>
      </c>
      <c r="M647" s="13" t="str">
        <f aca="true">IF(C647="","",IF(G647="Concluída","Concluída",IF(AND(F647&lt;&gt;"",F647&lt;TODAY()),"Atrasada","No prazo")))</f>
        <v/>
      </c>
    </row>
    <row r="648" customFormat="false" ht="15" hidden="false" customHeight="false" outlineLevel="0" collapsed="false">
      <c r="A648" s="18"/>
      <c r="B648" s="18"/>
      <c r="C648" s="18"/>
      <c r="D648" s="18"/>
      <c r="E648" s="25"/>
      <c r="F648" s="25"/>
      <c r="G648" s="18"/>
      <c r="H648" s="26"/>
      <c r="I648" s="18"/>
      <c r="J648" s="18"/>
      <c r="K648" s="18"/>
      <c r="L648" s="27" t="str">
        <f aca="false">IF(C648="","",IF(G648="Concluída",1,N(H648)))</f>
        <v/>
      </c>
      <c r="M648" s="13" t="str">
        <f aca="true">IF(C648="","",IF(G648="Concluída","Concluída",IF(AND(F648&lt;&gt;"",F648&lt;TODAY()),"Atrasada","No prazo")))</f>
        <v/>
      </c>
    </row>
    <row r="649" customFormat="false" ht="15" hidden="false" customHeight="false" outlineLevel="0" collapsed="false">
      <c r="A649" s="18"/>
      <c r="B649" s="18"/>
      <c r="C649" s="18"/>
      <c r="D649" s="18"/>
      <c r="E649" s="25"/>
      <c r="F649" s="25"/>
      <c r="G649" s="18"/>
      <c r="H649" s="26"/>
      <c r="I649" s="18"/>
      <c r="J649" s="18"/>
      <c r="K649" s="18"/>
      <c r="L649" s="27" t="str">
        <f aca="false">IF(C649="","",IF(G649="Concluída",1,N(H649)))</f>
        <v/>
      </c>
      <c r="M649" s="13" t="str">
        <f aca="true">IF(C649="","",IF(G649="Concluída","Concluída",IF(AND(F649&lt;&gt;"",F649&lt;TODAY()),"Atrasada","No prazo")))</f>
        <v/>
      </c>
    </row>
    <row r="650" customFormat="false" ht="15" hidden="false" customHeight="false" outlineLevel="0" collapsed="false">
      <c r="A650" s="18"/>
      <c r="B650" s="18"/>
      <c r="C650" s="18"/>
      <c r="D650" s="18"/>
      <c r="E650" s="25"/>
      <c r="F650" s="25"/>
      <c r="G650" s="18"/>
      <c r="H650" s="26"/>
      <c r="I650" s="18"/>
      <c r="J650" s="18"/>
      <c r="K650" s="18"/>
      <c r="L650" s="27" t="str">
        <f aca="false">IF(C650="","",IF(G650="Concluída",1,N(H650)))</f>
        <v/>
      </c>
      <c r="M650" s="13" t="str">
        <f aca="true">IF(C650="","",IF(G650="Concluída","Concluída",IF(AND(F650&lt;&gt;"",F650&lt;TODAY()),"Atrasada","No prazo")))</f>
        <v/>
      </c>
    </row>
    <row r="651" customFormat="false" ht="15" hidden="false" customHeight="false" outlineLevel="0" collapsed="false">
      <c r="A651" s="18"/>
      <c r="B651" s="18"/>
      <c r="C651" s="18"/>
      <c r="D651" s="18"/>
      <c r="E651" s="25"/>
      <c r="F651" s="25"/>
      <c r="G651" s="18"/>
      <c r="H651" s="26"/>
      <c r="I651" s="18"/>
      <c r="J651" s="18"/>
      <c r="K651" s="18"/>
      <c r="L651" s="27" t="str">
        <f aca="false">IF(C651="","",IF(G651="Concluída",1,N(H651)))</f>
        <v/>
      </c>
      <c r="M651" s="13" t="str">
        <f aca="true">IF(C651="","",IF(G651="Concluída","Concluída",IF(AND(F651&lt;&gt;"",F651&lt;TODAY()),"Atrasada","No prazo")))</f>
        <v/>
      </c>
    </row>
    <row r="652" customFormat="false" ht="15" hidden="false" customHeight="false" outlineLevel="0" collapsed="false">
      <c r="A652" s="18"/>
      <c r="B652" s="18"/>
      <c r="C652" s="18"/>
      <c r="D652" s="18"/>
      <c r="E652" s="25"/>
      <c r="F652" s="25"/>
      <c r="G652" s="18"/>
      <c r="H652" s="26"/>
      <c r="I652" s="18"/>
      <c r="J652" s="18"/>
      <c r="K652" s="18"/>
      <c r="L652" s="27" t="str">
        <f aca="false">IF(C652="","",IF(G652="Concluída",1,N(H652)))</f>
        <v/>
      </c>
      <c r="M652" s="13" t="str">
        <f aca="true">IF(C652="","",IF(G652="Concluída","Concluída",IF(AND(F652&lt;&gt;"",F652&lt;TODAY()),"Atrasada","No prazo")))</f>
        <v/>
      </c>
    </row>
    <row r="653" customFormat="false" ht="15" hidden="false" customHeight="false" outlineLevel="0" collapsed="false">
      <c r="A653" s="18"/>
      <c r="B653" s="18"/>
      <c r="C653" s="18"/>
      <c r="D653" s="18"/>
      <c r="E653" s="25"/>
      <c r="F653" s="25"/>
      <c r="G653" s="18"/>
      <c r="H653" s="26"/>
      <c r="I653" s="18"/>
      <c r="J653" s="18"/>
      <c r="K653" s="18"/>
      <c r="L653" s="27" t="str">
        <f aca="false">IF(C653="","",IF(G653="Concluída",1,N(H653)))</f>
        <v/>
      </c>
      <c r="M653" s="13" t="str">
        <f aca="true">IF(C653="","",IF(G653="Concluída","Concluída",IF(AND(F653&lt;&gt;"",F653&lt;TODAY()),"Atrasada","No prazo")))</f>
        <v/>
      </c>
    </row>
    <row r="654" customFormat="false" ht="15" hidden="false" customHeight="false" outlineLevel="0" collapsed="false">
      <c r="A654" s="18"/>
      <c r="B654" s="18"/>
      <c r="C654" s="18"/>
      <c r="D654" s="18"/>
      <c r="E654" s="25"/>
      <c r="F654" s="25"/>
      <c r="G654" s="18"/>
      <c r="H654" s="26"/>
      <c r="I654" s="18"/>
      <c r="J654" s="18"/>
      <c r="K654" s="18"/>
      <c r="L654" s="27" t="str">
        <f aca="false">IF(C654="","",IF(G654="Concluída",1,N(H654)))</f>
        <v/>
      </c>
      <c r="M654" s="13" t="str">
        <f aca="true">IF(C654="","",IF(G654="Concluída","Concluída",IF(AND(F654&lt;&gt;"",F654&lt;TODAY()),"Atrasada","No prazo")))</f>
        <v/>
      </c>
    </row>
    <row r="655" customFormat="false" ht="15" hidden="false" customHeight="false" outlineLevel="0" collapsed="false">
      <c r="A655" s="18"/>
      <c r="B655" s="18"/>
      <c r="C655" s="18"/>
      <c r="D655" s="18"/>
      <c r="E655" s="25"/>
      <c r="F655" s="25"/>
      <c r="G655" s="18"/>
      <c r="H655" s="26"/>
      <c r="I655" s="18"/>
      <c r="J655" s="18"/>
      <c r="K655" s="18"/>
      <c r="L655" s="27" t="str">
        <f aca="false">IF(C655="","",IF(G655="Concluída",1,N(H655)))</f>
        <v/>
      </c>
      <c r="M655" s="13" t="str">
        <f aca="true">IF(C655="","",IF(G655="Concluída","Concluída",IF(AND(F655&lt;&gt;"",F655&lt;TODAY()),"Atrasada","No prazo")))</f>
        <v/>
      </c>
    </row>
    <row r="656" customFormat="false" ht="15" hidden="false" customHeight="false" outlineLevel="0" collapsed="false">
      <c r="A656" s="18"/>
      <c r="B656" s="18"/>
      <c r="C656" s="18"/>
      <c r="D656" s="18"/>
      <c r="E656" s="25"/>
      <c r="F656" s="25"/>
      <c r="G656" s="18"/>
      <c r="H656" s="26"/>
      <c r="I656" s="18"/>
      <c r="J656" s="18"/>
      <c r="K656" s="18"/>
      <c r="L656" s="27" t="str">
        <f aca="false">IF(C656="","",IF(G656="Concluída",1,N(H656)))</f>
        <v/>
      </c>
      <c r="M656" s="13" t="str">
        <f aca="true">IF(C656="","",IF(G656="Concluída","Concluída",IF(AND(F656&lt;&gt;"",F656&lt;TODAY()),"Atrasada","No prazo")))</f>
        <v/>
      </c>
    </row>
    <row r="657" customFormat="false" ht="15" hidden="false" customHeight="false" outlineLevel="0" collapsed="false">
      <c r="A657" s="18"/>
      <c r="B657" s="18"/>
      <c r="C657" s="18"/>
      <c r="D657" s="18"/>
      <c r="E657" s="25"/>
      <c r="F657" s="25"/>
      <c r="G657" s="18"/>
      <c r="H657" s="26"/>
      <c r="I657" s="18"/>
      <c r="J657" s="18"/>
      <c r="K657" s="18"/>
      <c r="L657" s="27" t="str">
        <f aca="false">IF(C657="","",IF(G657="Concluída",1,N(H657)))</f>
        <v/>
      </c>
      <c r="M657" s="13" t="str">
        <f aca="true">IF(C657="","",IF(G657="Concluída","Concluída",IF(AND(F657&lt;&gt;"",F657&lt;TODAY()),"Atrasada","No prazo")))</f>
        <v/>
      </c>
    </row>
    <row r="658" customFormat="false" ht="15" hidden="false" customHeight="false" outlineLevel="0" collapsed="false">
      <c r="A658" s="18"/>
      <c r="B658" s="18"/>
      <c r="C658" s="18"/>
      <c r="D658" s="18"/>
      <c r="E658" s="25"/>
      <c r="F658" s="25"/>
      <c r="G658" s="18"/>
      <c r="H658" s="26"/>
      <c r="I658" s="18"/>
      <c r="J658" s="18"/>
      <c r="K658" s="18"/>
      <c r="L658" s="27" t="str">
        <f aca="false">IF(C658="","",IF(G658="Concluída",1,N(H658)))</f>
        <v/>
      </c>
      <c r="M658" s="13" t="str">
        <f aca="true">IF(C658="","",IF(G658="Concluída","Concluída",IF(AND(F658&lt;&gt;"",F658&lt;TODAY()),"Atrasada","No prazo")))</f>
        <v/>
      </c>
    </row>
    <row r="659" customFormat="false" ht="15" hidden="false" customHeight="false" outlineLevel="0" collapsed="false">
      <c r="A659" s="18"/>
      <c r="B659" s="18"/>
      <c r="C659" s="18"/>
      <c r="D659" s="18"/>
      <c r="E659" s="25"/>
      <c r="F659" s="25"/>
      <c r="G659" s="18"/>
      <c r="H659" s="26"/>
      <c r="I659" s="18"/>
      <c r="J659" s="18"/>
      <c r="K659" s="18"/>
      <c r="L659" s="27" t="str">
        <f aca="false">IF(C659="","",IF(G659="Concluída",1,N(H659)))</f>
        <v/>
      </c>
      <c r="M659" s="13" t="str">
        <f aca="true">IF(C659="","",IF(G659="Concluída","Concluída",IF(AND(F659&lt;&gt;"",F659&lt;TODAY()),"Atrasada","No prazo")))</f>
        <v/>
      </c>
    </row>
    <row r="660" customFormat="false" ht="15" hidden="false" customHeight="false" outlineLevel="0" collapsed="false">
      <c r="A660" s="18"/>
      <c r="B660" s="18"/>
      <c r="C660" s="18"/>
      <c r="D660" s="18"/>
      <c r="E660" s="25"/>
      <c r="F660" s="25"/>
      <c r="G660" s="18"/>
      <c r="H660" s="26"/>
      <c r="I660" s="18"/>
      <c r="J660" s="18"/>
      <c r="K660" s="18"/>
      <c r="L660" s="27" t="str">
        <f aca="false">IF(C660="","",IF(G660="Concluída",1,N(H660)))</f>
        <v/>
      </c>
      <c r="M660" s="13" t="str">
        <f aca="true">IF(C660="","",IF(G660="Concluída","Concluída",IF(AND(F660&lt;&gt;"",F660&lt;TODAY()),"Atrasada","No prazo")))</f>
        <v/>
      </c>
    </row>
    <row r="661" customFormat="false" ht="15" hidden="false" customHeight="false" outlineLevel="0" collapsed="false">
      <c r="A661" s="18"/>
      <c r="B661" s="18"/>
      <c r="C661" s="18"/>
      <c r="D661" s="18"/>
      <c r="E661" s="25"/>
      <c r="F661" s="25"/>
      <c r="G661" s="18"/>
      <c r="H661" s="26"/>
      <c r="I661" s="18"/>
      <c r="J661" s="18"/>
      <c r="K661" s="18"/>
      <c r="L661" s="27" t="str">
        <f aca="false">IF(C661="","",IF(G661="Concluída",1,N(H661)))</f>
        <v/>
      </c>
      <c r="M661" s="13" t="str">
        <f aca="true">IF(C661="","",IF(G661="Concluída","Concluída",IF(AND(F661&lt;&gt;"",F661&lt;TODAY()),"Atrasada","No prazo")))</f>
        <v/>
      </c>
    </row>
    <row r="662" customFormat="false" ht="15" hidden="false" customHeight="false" outlineLevel="0" collapsed="false">
      <c r="A662" s="18"/>
      <c r="B662" s="18"/>
      <c r="C662" s="18"/>
      <c r="D662" s="18"/>
      <c r="E662" s="25"/>
      <c r="F662" s="25"/>
      <c r="G662" s="18"/>
      <c r="H662" s="26"/>
      <c r="I662" s="18"/>
      <c r="J662" s="18"/>
      <c r="K662" s="18"/>
      <c r="L662" s="27" t="str">
        <f aca="false">IF(C662="","",IF(G662="Concluída",1,N(H662)))</f>
        <v/>
      </c>
      <c r="M662" s="13" t="str">
        <f aca="true">IF(C662="","",IF(G662="Concluída","Concluída",IF(AND(F662&lt;&gt;"",F662&lt;TODAY()),"Atrasada","No prazo")))</f>
        <v/>
      </c>
    </row>
    <row r="663" customFormat="false" ht="15" hidden="false" customHeight="false" outlineLevel="0" collapsed="false">
      <c r="A663" s="18"/>
      <c r="B663" s="18"/>
      <c r="C663" s="18"/>
      <c r="D663" s="18"/>
      <c r="E663" s="25"/>
      <c r="F663" s="25"/>
      <c r="G663" s="18"/>
      <c r="H663" s="26"/>
      <c r="I663" s="18"/>
      <c r="J663" s="18"/>
      <c r="K663" s="18"/>
      <c r="L663" s="27" t="str">
        <f aca="false">IF(C663="","",IF(G663="Concluída",1,N(H663)))</f>
        <v/>
      </c>
      <c r="M663" s="13" t="str">
        <f aca="true">IF(C663="","",IF(G663="Concluída","Concluída",IF(AND(F663&lt;&gt;"",F663&lt;TODAY()),"Atrasada","No prazo")))</f>
        <v/>
      </c>
    </row>
    <row r="664" customFormat="false" ht="15" hidden="false" customHeight="false" outlineLevel="0" collapsed="false">
      <c r="A664" s="18"/>
      <c r="B664" s="18"/>
      <c r="C664" s="18"/>
      <c r="D664" s="18"/>
      <c r="E664" s="25"/>
      <c r="F664" s="25"/>
      <c r="G664" s="18"/>
      <c r="H664" s="26"/>
      <c r="I664" s="18"/>
      <c r="J664" s="18"/>
      <c r="K664" s="18"/>
      <c r="L664" s="27" t="str">
        <f aca="false">IF(C664="","",IF(G664="Concluída",1,N(H664)))</f>
        <v/>
      </c>
      <c r="M664" s="13" t="str">
        <f aca="true">IF(C664="","",IF(G664="Concluída","Concluída",IF(AND(F664&lt;&gt;"",F664&lt;TODAY()),"Atrasada","No prazo")))</f>
        <v/>
      </c>
    </row>
    <row r="665" customFormat="false" ht="15" hidden="false" customHeight="false" outlineLevel="0" collapsed="false">
      <c r="A665" s="18"/>
      <c r="B665" s="18"/>
      <c r="C665" s="18"/>
      <c r="D665" s="18"/>
      <c r="E665" s="25"/>
      <c r="F665" s="25"/>
      <c r="G665" s="18"/>
      <c r="H665" s="26"/>
      <c r="I665" s="18"/>
      <c r="J665" s="18"/>
      <c r="K665" s="18"/>
      <c r="L665" s="27" t="str">
        <f aca="false">IF(C665="","",IF(G665="Concluída",1,N(H665)))</f>
        <v/>
      </c>
      <c r="M665" s="13" t="str">
        <f aca="true">IF(C665="","",IF(G665="Concluída","Concluída",IF(AND(F665&lt;&gt;"",F665&lt;TODAY()),"Atrasada","No prazo")))</f>
        <v/>
      </c>
    </row>
    <row r="666" customFormat="false" ht="15" hidden="false" customHeight="false" outlineLevel="0" collapsed="false">
      <c r="A666" s="18"/>
      <c r="B666" s="18"/>
      <c r="C666" s="18"/>
      <c r="D666" s="18"/>
      <c r="E666" s="25"/>
      <c r="F666" s="25"/>
      <c r="G666" s="18"/>
      <c r="H666" s="26"/>
      <c r="I666" s="18"/>
      <c r="J666" s="18"/>
      <c r="K666" s="18"/>
      <c r="L666" s="27" t="str">
        <f aca="false">IF(C666="","",IF(G666="Concluída",1,N(H666)))</f>
        <v/>
      </c>
      <c r="M666" s="13" t="str">
        <f aca="true">IF(C666="","",IF(G666="Concluída","Concluída",IF(AND(F666&lt;&gt;"",F666&lt;TODAY()),"Atrasada","No prazo")))</f>
        <v/>
      </c>
    </row>
    <row r="667" customFormat="false" ht="15" hidden="false" customHeight="false" outlineLevel="0" collapsed="false">
      <c r="A667" s="18"/>
      <c r="B667" s="18"/>
      <c r="C667" s="18"/>
      <c r="D667" s="18"/>
      <c r="E667" s="25"/>
      <c r="F667" s="25"/>
      <c r="G667" s="18"/>
      <c r="H667" s="26"/>
      <c r="I667" s="18"/>
      <c r="J667" s="18"/>
      <c r="K667" s="18"/>
      <c r="L667" s="27" t="str">
        <f aca="false">IF(C667="","",IF(G667="Concluída",1,N(H667)))</f>
        <v/>
      </c>
      <c r="M667" s="13" t="str">
        <f aca="true">IF(C667="","",IF(G667="Concluída","Concluída",IF(AND(F667&lt;&gt;"",F667&lt;TODAY()),"Atrasada","No prazo")))</f>
        <v/>
      </c>
    </row>
    <row r="668" customFormat="false" ht="15" hidden="false" customHeight="false" outlineLevel="0" collapsed="false">
      <c r="A668" s="18"/>
      <c r="B668" s="18"/>
      <c r="C668" s="18"/>
      <c r="D668" s="18"/>
      <c r="E668" s="25"/>
      <c r="F668" s="25"/>
      <c r="G668" s="18"/>
      <c r="H668" s="26"/>
      <c r="I668" s="18"/>
      <c r="J668" s="18"/>
      <c r="K668" s="18"/>
      <c r="L668" s="27" t="str">
        <f aca="false">IF(C668="","",IF(G668="Concluída",1,N(H668)))</f>
        <v/>
      </c>
      <c r="M668" s="13" t="str">
        <f aca="true">IF(C668="","",IF(G668="Concluída","Concluída",IF(AND(F668&lt;&gt;"",F668&lt;TODAY()),"Atrasada","No prazo")))</f>
        <v/>
      </c>
    </row>
    <row r="669" customFormat="false" ht="15" hidden="false" customHeight="false" outlineLevel="0" collapsed="false">
      <c r="A669" s="18"/>
      <c r="B669" s="18"/>
      <c r="C669" s="18"/>
      <c r="D669" s="18"/>
      <c r="E669" s="25"/>
      <c r="F669" s="25"/>
      <c r="G669" s="18"/>
      <c r="H669" s="26"/>
      <c r="I669" s="18"/>
      <c r="J669" s="18"/>
      <c r="K669" s="18"/>
      <c r="L669" s="27" t="str">
        <f aca="false">IF(C669="","",IF(G669="Concluída",1,N(H669)))</f>
        <v/>
      </c>
      <c r="M669" s="13" t="str">
        <f aca="true">IF(C669="","",IF(G669="Concluída","Concluída",IF(AND(F669&lt;&gt;"",F669&lt;TODAY()),"Atrasada","No prazo")))</f>
        <v/>
      </c>
    </row>
    <row r="670" customFormat="false" ht="15" hidden="false" customHeight="false" outlineLevel="0" collapsed="false">
      <c r="A670" s="18"/>
      <c r="B670" s="18"/>
      <c r="C670" s="18"/>
      <c r="D670" s="18"/>
      <c r="E670" s="25"/>
      <c r="F670" s="25"/>
      <c r="G670" s="18"/>
      <c r="H670" s="26"/>
      <c r="I670" s="18"/>
      <c r="J670" s="18"/>
      <c r="K670" s="18"/>
      <c r="L670" s="27" t="str">
        <f aca="false">IF(C670="","",IF(G670="Concluída",1,N(H670)))</f>
        <v/>
      </c>
      <c r="M670" s="13" t="str">
        <f aca="true">IF(C670="","",IF(G670="Concluída","Concluída",IF(AND(F670&lt;&gt;"",F670&lt;TODAY()),"Atrasada","No prazo")))</f>
        <v/>
      </c>
    </row>
    <row r="671" customFormat="false" ht="15" hidden="false" customHeight="false" outlineLevel="0" collapsed="false">
      <c r="A671" s="18"/>
      <c r="B671" s="18"/>
      <c r="C671" s="18"/>
      <c r="D671" s="18"/>
      <c r="E671" s="25"/>
      <c r="F671" s="25"/>
      <c r="G671" s="18"/>
      <c r="H671" s="26"/>
      <c r="I671" s="18"/>
      <c r="J671" s="18"/>
      <c r="K671" s="18"/>
      <c r="L671" s="27" t="str">
        <f aca="false">IF(C671="","",IF(G671="Concluída",1,N(H671)))</f>
        <v/>
      </c>
      <c r="M671" s="13" t="str">
        <f aca="true">IF(C671="","",IF(G671="Concluída","Concluída",IF(AND(F671&lt;&gt;"",F671&lt;TODAY()),"Atrasada","No prazo")))</f>
        <v/>
      </c>
    </row>
    <row r="672" customFormat="false" ht="15" hidden="false" customHeight="false" outlineLevel="0" collapsed="false">
      <c r="A672" s="18"/>
      <c r="B672" s="18"/>
      <c r="C672" s="18"/>
      <c r="D672" s="18"/>
      <c r="E672" s="25"/>
      <c r="F672" s="25"/>
      <c r="G672" s="18"/>
      <c r="H672" s="26"/>
      <c r="I672" s="18"/>
      <c r="J672" s="18"/>
      <c r="K672" s="18"/>
      <c r="L672" s="27" t="str">
        <f aca="false">IF(C672="","",IF(G672="Concluída",1,N(H672)))</f>
        <v/>
      </c>
      <c r="M672" s="13" t="str">
        <f aca="true">IF(C672="","",IF(G672="Concluída","Concluída",IF(AND(F672&lt;&gt;"",F672&lt;TODAY()),"Atrasada","No prazo")))</f>
        <v/>
      </c>
    </row>
    <row r="673" customFormat="false" ht="15" hidden="false" customHeight="false" outlineLevel="0" collapsed="false">
      <c r="A673" s="18"/>
      <c r="B673" s="18"/>
      <c r="C673" s="18"/>
      <c r="D673" s="18"/>
      <c r="E673" s="25"/>
      <c r="F673" s="25"/>
      <c r="G673" s="18"/>
      <c r="H673" s="26"/>
      <c r="I673" s="18"/>
      <c r="J673" s="18"/>
      <c r="K673" s="18"/>
      <c r="L673" s="27" t="str">
        <f aca="false">IF(C673="","",IF(G673="Concluída",1,N(H673)))</f>
        <v/>
      </c>
      <c r="M673" s="13" t="str">
        <f aca="true">IF(C673="","",IF(G673="Concluída","Concluída",IF(AND(F673&lt;&gt;"",F673&lt;TODAY()),"Atrasada","No prazo")))</f>
        <v/>
      </c>
    </row>
    <row r="674" customFormat="false" ht="15" hidden="false" customHeight="false" outlineLevel="0" collapsed="false">
      <c r="A674" s="18"/>
      <c r="B674" s="18"/>
      <c r="C674" s="18"/>
      <c r="D674" s="18"/>
      <c r="E674" s="25"/>
      <c r="F674" s="25"/>
      <c r="G674" s="18"/>
      <c r="H674" s="26"/>
      <c r="I674" s="18"/>
      <c r="J674" s="18"/>
      <c r="K674" s="18"/>
      <c r="L674" s="27" t="str">
        <f aca="false">IF(C674="","",IF(G674="Concluída",1,N(H674)))</f>
        <v/>
      </c>
      <c r="M674" s="13" t="str">
        <f aca="true">IF(C674="","",IF(G674="Concluída","Concluída",IF(AND(F674&lt;&gt;"",F674&lt;TODAY()),"Atrasada","No prazo")))</f>
        <v/>
      </c>
    </row>
    <row r="675" customFormat="false" ht="15" hidden="false" customHeight="false" outlineLevel="0" collapsed="false">
      <c r="A675" s="18"/>
      <c r="B675" s="18"/>
      <c r="C675" s="18"/>
      <c r="D675" s="18"/>
      <c r="E675" s="25"/>
      <c r="F675" s="25"/>
      <c r="G675" s="18"/>
      <c r="H675" s="26"/>
      <c r="I675" s="18"/>
      <c r="J675" s="18"/>
      <c r="K675" s="18"/>
      <c r="L675" s="27" t="str">
        <f aca="false">IF(C675="","",IF(G675="Concluída",1,N(H675)))</f>
        <v/>
      </c>
      <c r="M675" s="13" t="str">
        <f aca="true">IF(C675="","",IF(G675="Concluída","Concluída",IF(AND(F675&lt;&gt;"",F675&lt;TODAY()),"Atrasada","No prazo")))</f>
        <v/>
      </c>
    </row>
    <row r="676" customFormat="false" ht="15" hidden="false" customHeight="false" outlineLevel="0" collapsed="false">
      <c r="A676" s="18"/>
      <c r="B676" s="18"/>
      <c r="C676" s="18"/>
      <c r="D676" s="18"/>
      <c r="E676" s="25"/>
      <c r="F676" s="25"/>
      <c r="G676" s="18"/>
      <c r="H676" s="26"/>
      <c r="I676" s="18"/>
      <c r="J676" s="18"/>
      <c r="K676" s="18"/>
      <c r="L676" s="27" t="str">
        <f aca="false">IF(C676="","",IF(G676="Concluída",1,N(H676)))</f>
        <v/>
      </c>
      <c r="M676" s="13" t="str">
        <f aca="true">IF(C676="","",IF(G676="Concluída","Concluída",IF(AND(F676&lt;&gt;"",F676&lt;TODAY()),"Atrasada","No prazo")))</f>
        <v/>
      </c>
    </row>
    <row r="677" customFormat="false" ht="15" hidden="false" customHeight="false" outlineLevel="0" collapsed="false">
      <c r="A677" s="18"/>
      <c r="B677" s="18"/>
      <c r="C677" s="18"/>
      <c r="D677" s="18"/>
      <c r="E677" s="25"/>
      <c r="F677" s="25"/>
      <c r="G677" s="18"/>
      <c r="H677" s="26"/>
      <c r="I677" s="18"/>
      <c r="J677" s="18"/>
      <c r="K677" s="18"/>
      <c r="L677" s="27" t="str">
        <f aca="false">IF(C677="","",IF(G677="Concluída",1,N(H677)))</f>
        <v/>
      </c>
      <c r="M677" s="13" t="str">
        <f aca="true">IF(C677="","",IF(G677="Concluída","Concluída",IF(AND(F677&lt;&gt;"",F677&lt;TODAY()),"Atrasada","No prazo")))</f>
        <v/>
      </c>
    </row>
    <row r="678" customFormat="false" ht="15" hidden="false" customHeight="false" outlineLevel="0" collapsed="false">
      <c r="A678" s="18"/>
      <c r="B678" s="18"/>
      <c r="C678" s="18"/>
      <c r="D678" s="18"/>
      <c r="E678" s="25"/>
      <c r="F678" s="25"/>
      <c r="G678" s="18"/>
      <c r="H678" s="26"/>
      <c r="I678" s="18"/>
      <c r="J678" s="18"/>
      <c r="K678" s="18"/>
      <c r="L678" s="27" t="str">
        <f aca="false">IF(C678="","",IF(G678="Concluída",1,N(H678)))</f>
        <v/>
      </c>
      <c r="M678" s="13" t="str">
        <f aca="true">IF(C678="","",IF(G678="Concluída","Concluída",IF(AND(F678&lt;&gt;"",F678&lt;TODAY()),"Atrasada","No prazo")))</f>
        <v/>
      </c>
    </row>
    <row r="679" customFormat="false" ht="15" hidden="false" customHeight="false" outlineLevel="0" collapsed="false">
      <c r="A679" s="18"/>
      <c r="B679" s="18"/>
      <c r="C679" s="18"/>
      <c r="D679" s="18"/>
      <c r="E679" s="25"/>
      <c r="F679" s="25"/>
      <c r="G679" s="18"/>
      <c r="H679" s="26"/>
      <c r="I679" s="18"/>
      <c r="J679" s="18"/>
      <c r="K679" s="18"/>
      <c r="L679" s="27" t="str">
        <f aca="false">IF(C679="","",IF(G679="Concluída",1,N(H679)))</f>
        <v/>
      </c>
      <c r="M679" s="13" t="str">
        <f aca="true">IF(C679="","",IF(G679="Concluída","Concluída",IF(AND(F679&lt;&gt;"",F679&lt;TODAY()),"Atrasada","No prazo")))</f>
        <v/>
      </c>
    </row>
    <row r="680" customFormat="false" ht="15" hidden="false" customHeight="false" outlineLevel="0" collapsed="false">
      <c r="A680" s="18"/>
      <c r="B680" s="18"/>
      <c r="C680" s="18"/>
      <c r="D680" s="18"/>
      <c r="E680" s="25"/>
      <c r="F680" s="25"/>
      <c r="G680" s="18"/>
      <c r="H680" s="26"/>
      <c r="I680" s="18"/>
      <c r="J680" s="18"/>
      <c r="K680" s="18"/>
      <c r="L680" s="27" t="str">
        <f aca="false">IF(C680="","",IF(G680="Concluída",1,N(H680)))</f>
        <v/>
      </c>
      <c r="M680" s="13" t="str">
        <f aca="true">IF(C680="","",IF(G680="Concluída","Concluída",IF(AND(F680&lt;&gt;"",F680&lt;TODAY()),"Atrasada","No prazo")))</f>
        <v/>
      </c>
    </row>
    <row r="681" customFormat="false" ht="15" hidden="false" customHeight="false" outlineLevel="0" collapsed="false">
      <c r="A681" s="18"/>
      <c r="B681" s="18"/>
      <c r="C681" s="18"/>
      <c r="D681" s="18"/>
      <c r="E681" s="25"/>
      <c r="F681" s="25"/>
      <c r="G681" s="18"/>
      <c r="H681" s="26"/>
      <c r="I681" s="18"/>
      <c r="J681" s="18"/>
      <c r="K681" s="18"/>
      <c r="L681" s="27" t="str">
        <f aca="false">IF(C681="","",IF(G681="Concluída",1,N(H681)))</f>
        <v/>
      </c>
      <c r="M681" s="13" t="str">
        <f aca="true">IF(C681="","",IF(G681="Concluída","Concluída",IF(AND(F681&lt;&gt;"",F681&lt;TODAY()),"Atrasada","No prazo")))</f>
        <v/>
      </c>
    </row>
    <row r="682" customFormat="false" ht="15" hidden="false" customHeight="false" outlineLevel="0" collapsed="false">
      <c r="A682" s="18"/>
      <c r="B682" s="18"/>
      <c r="C682" s="18"/>
      <c r="D682" s="18"/>
      <c r="E682" s="25"/>
      <c r="F682" s="25"/>
      <c r="G682" s="18"/>
      <c r="H682" s="26"/>
      <c r="I682" s="18"/>
      <c r="J682" s="18"/>
      <c r="K682" s="18"/>
      <c r="L682" s="27" t="str">
        <f aca="false">IF(C682="","",IF(G682="Concluída",1,N(H682)))</f>
        <v/>
      </c>
      <c r="M682" s="13" t="str">
        <f aca="true">IF(C682="","",IF(G682="Concluída","Concluída",IF(AND(F682&lt;&gt;"",F682&lt;TODAY()),"Atrasada","No prazo")))</f>
        <v/>
      </c>
    </row>
    <row r="683" customFormat="false" ht="15" hidden="false" customHeight="false" outlineLevel="0" collapsed="false">
      <c r="A683" s="18"/>
      <c r="B683" s="18"/>
      <c r="C683" s="18"/>
      <c r="D683" s="18"/>
      <c r="E683" s="25"/>
      <c r="F683" s="25"/>
      <c r="G683" s="18"/>
      <c r="H683" s="26"/>
      <c r="I683" s="18"/>
      <c r="J683" s="18"/>
      <c r="K683" s="18"/>
      <c r="L683" s="27" t="str">
        <f aca="false">IF(C683="","",IF(G683="Concluída",1,N(H683)))</f>
        <v/>
      </c>
      <c r="M683" s="13" t="str">
        <f aca="true">IF(C683="","",IF(G683="Concluída","Concluída",IF(AND(F683&lt;&gt;"",F683&lt;TODAY()),"Atrasada","No prazo")))</f>
        <v/>
      </c>
    </row>
    <row r="684" customFormat="false" ht="15" hidden="false" customHeight="false" outlineLevel="0" collapsed="false">
      <c r="A684" s="18"/>
      <c r="B684" s="18"/>
      <c r="C684" s="18"/>
      <c r="D684" s="18"/>
      <c r="E684" s="25"/>
      <c r="F684" s="25"/>
      <c r="G684" s="18"/>
      <c r="H684" s="26"/>
      <c r="I684" s="18"/>
      <c r="J684" s="18"/>
      <c r="K684" s="18"/>
      <c r="L684" s="27" t="str">
        <f aca="false">IF(C684="","",IF(G684="Concluída",1,N(H684)))</f>
        <v/>
      </c>
      <c r="M684" s="13" t="str">
        <f aca="true">IF(C684="","",IF(G684="Concluída","Concluída",IF(AND(F684&lt;&gt;"",F684&lt;TODAY()),"Atrasada","No prazo")))</f>
        <v/>
      </c>
    </row>
    <row r="685" customFormat="false" ht="15" hidden="false" customHeight="false" outlineLevel="0" collapsed="false">
      <c r="A685" s="18"/>
      <c r="B685" s="18"/>
      <c r="C685" s="18"/>
      <c r="D685" s="18"/>
      <c r="E685" s="25"/>
      <c r="F685" s="25"/>
      <c r="G685" s="18"/>
      <c r="H685" s="26"/>
      <c r="I685" s="18"/>
      <c r="J685" s="18"/>
      <c r="K685" s="18"/>
      <c r="L685" s="27" t="str">
        <f aca="false">IF(C685="","",IF(G685="Concluída",1,N(H685)))</f>
        <v/>
      </c>
      <c r="M685" s="13" t="str">
        <f aca="true">IF(C685="","",IF(G685="Concluída","Concluída",IF(AND(F685&lt;&gt;"",F685&lt;TODAY()),"Atrasada","No prazo")))</f>
        <v/>
      </c>
    </row>
    <row r="686" customFormat="false" ht="15" hidden="false" customHeight="false" outlineLevel="0" collapsed="false">
      <c r="A686" s="18"/>
      <c r="B686" s="18"/>
      <c r="C686" s="18"/>
      <c r="D686" s="18"/>
      <c r="E686" s="25"/>
      <c r="F686" s="25"/>
      <c r="G686" s="18"/>
      <c r="H686" s="26"/>
      <c r="I686" s="18"/>
      <c r="J686" s="18"/>
      <c r="K686" s="18"/>
      <c r="L686" s="27" t="str">
        <f aca="false">IF(C686="","",IF(G686="Concluída",1,N(H686)))</f>
        <v/>
      </c>
      <c r="M686" s="13" t="str">
        <f aca="true">IF(C686="","",IF(G686="Concluída","Concluída",IF(AND(F686&lt;&gt;"",F686&lt;TODAY()),"Atrasada","No prazo")))</f>
        <v/>
      </c>
    </row>
    <row r="687" customFormat="false" ht="15" hidden="false" customHeight="false" outlineLevel="0" collapsed="false">
      <c r="A687" s="18"/>
      <c r="B687" s="18"/>
      <c r="C687" s="18"/>
      <c r="D687" s="18"/>
      <c r="E687" s="25"/>
      <c r="F687" s="25"/>
      <c r="G687" s="18"/>
      <c r="H687" s="26"/>
      <c r="I687" s="18"/>
      <c r="J687" s="18"/>
      <c r="K687" s="18"/>
      <c r="L687" s="27" t="str">
        <f aca="false">IF(C687="","",IF(G687="Concluída",1,N(H687)))</f>
        <v/>
      </c>
      <c r="M687" s="13" t="str">
        <f aca="true">IF(C687="","",IF(G687="Concluída","Concluída",IF(AND(F687&lt;&gt;"",F687&lt;TODAY()),"Atrasada","No prazo")))</f>
        <v/>
      </c>
    </row>
    <row r="688" customFormat="false" ht="15" hidden="false" customHeight="false" outlineLevel="0" collapsed="false">
      <c r="A688" s="18"/>
      <c r="B688" s="18"/>
      <c r="C688" s="18"/>
      <c r="D688" s="18"/>
      <c r="E688" s="25"/>
      <c r="F688" s="25"/>
      <c r="G688" s="18"/>
      <c r="H688" s="26"/>
      <c r="I688" s="18"/>
      <c r="J688" s="18"/>
      <c r="K688" s="18"/>
      <c r="L688" s="27" t="str">
        <f aca="false">IF(C688="","",IF(G688="Concluída",1,N(H688)))</f>
        <v/>
      </c>
      <c r="M688" s="13" t="str">
        <f aca="true">IF(C688="","",IF(G688="Concluída","Concluída",IF(AND(F688&lt;&gt;"",F688&lt;TODAY()),"Atrasada","No prazo")))</f>
        <v/>
      </c>
    </row>
    <row r="689" customFormat="false" ht="15" hidden="false" customHeight="false" outlineLevel="0" collapsed="false">
      <c r="A689" s="18"/>
      <c r="B689" s="18"/>
      <c r="C689" s="18"/>
      <c r="D689" s="18"/>
      <c r="E689" s="25"/>
      <c r="F689" s="25"/>
      <c r="G689" s="18"/>
      <c r="H689" s="26"/>
      <c r="I689" s="18"/>
      <c r="J689" s="18"/>
      <c r="K689" s="18"/>
      <c r="L689" s="27" t="str">
        <f aca="false">IF(C689="","",IF(G689="Concluída",1,N(H689)))</f>
        <v/>
      </c>
      <c r="M689" s="13" t="str">
        <f aca="true">IF(C689="","",IF(G689="Concluída","Concluída",IF(AND(F689&lt;&gt;"",F689&lt;TODAY()),"Atrasada","No prazo")))</f>
        <v/>
      </c>
    </row>
    <row r="690" customFormat="false" ht="15" hidden="false" customHeight="false" outlineLevel="0" collapsed="false">
      <c r="A690" s="18"/>
      <c r="B690" s="18"/>
      <c r="C690" s="18"/>
      <c r="D690" s="18"/>
      <c r="E690" s="25"/>
      <c r="F690" s="25"/>
      <c r="G690" s="18"/>
      <c r="H690" s="26"/>
      <c r="I690" s="18"/>
      <c r="J690" s="18"/>
      <c r="K690" s="18"/>
      <c r="L690" s="27" t="str">
        <f aca="false">IF(C690="","",IF(G690="Concluída",1,N(H690)))</f>
        <v/>
      </c>
      <c r="M690" s="13" t="str">
        <f aca="true">IF(C690="","",IF(G690="Concluída","Concluída",IF(AND(F690&lt;&gt;"",F690&lt;TODAY()),"Atrasada","No prazo")))</f>
        <v/>
      </c>
    </row>
    <row r="691" customFormat="false" ht="15" hidden="false" customHeight="false" outlineLevel="0" collapsed="false">
      <c r="A691" s="18"/>
      <c r="B691" s="18"/>
      <c r="C691" s="18"/>
      <c r="D691" s="18"/>
      <c r="E691" s="25"/>
      <c r="F691" s="25"/>
      <c r="G691" s="18"/>
      <c r="H691" s="26"/>
      <c r="I691" s="18"/>
      <c r="J691" s="18"/>
      <c r="K691" s="18"/>
      <c r="L691" s="27" t="str">
        <f aca="false">IF(C691="","",IF(G691="Concluída",1,N(H691)))</f>
        <v/>
      </c>
      <c r="M691" s="13" t="str">
        <f aca="true">IF(C691="","",IF(G691="Concluída","Concluída",IF(AND(F691&lt;&gt;"",F691&lt;TODAY()),"Atrasada","No prazo")))</f>
        <v/>
      </c>
    </row>
    <row r="692" customFormat="false" ht="15" hidden="false" customHeight="false" outlineLevel="0" collapsed="false">
      <c r="A692" s="18"/>
      <c r="B692" s="18"/>
      <c r="C692" s="18"/>
      <c r="D692" s="18"/>
      <c r="E692" s="25"/>
      <c r="F692" s="25"/>
      <c r="G692" s="18"/>
      <c r="H692" s="26"/>
      <c r="I692" s="18"/>
      <c r="J692" s="18"/>
      <c r="K692" s="18"/>
      <c r="L692" s="27" t="str">
        <f aca="false">IF(C692="","",IF(G692="Concluída",1,N(H692)))</f>
        <v/>
      </c>
      <c r="M692" s="13" t="str">
        <f aca="true">IF(C692="","",IF(G692="Concluída","Concluída",IF(AND(F692&lt;&gt;"",F692&lt;TODAY()),"Atrasada","No prazo")))</f>
        <v/>
      </c>
    </row>
    <row r="693" customFormat="false" ht="15" hidden="false" customHeight="false" outlineLevel="0" collapsed="false">
      <c r="A693" s="18"/>
      <c r="B693" s="18"/>
      <c r="C693" s="18"/>
      <c r="D693" s="18"/>
      <c r="E693" s="25"/>
      <c r="F693" s="25"/>
      <c r="G693" s="18"/>
      <c r="H693" s="26"/>
      <c r="I693" s="18"/>
      <c r="J693" s="18"/>
      <c r="K693" s="18"/>
      <c r="L693" s="27" t="str">
        <f aca="false">IF(C693="","",IF(G693="Concluída",1,N(H693)))</f>
        <v/>
      </c>
      <c r="M693" s="13" t="str">
        <f aca="true">IF(C693="","",IF(G693="Concluída","Concluída",IF(AND(F693&lt;&gt;"",F693&lt;TODAY()),"Atrasada","No prazo")))</f>
        <v/>
      </c>
    </row>
    <row r="694" customFormat="false" ht="15" hidden="false" customHeight="false" outlineLevel="0" collapsed="false">
      <c r="A694" s="18"/>
      <c r="B694" s="18"/>
      <c r="C694" s="18"/>
      <c r="D694" s="18"/>
      <c r="E694" s="25"/>
      <c r="F694" s="25"/>
      <c r="G694" s="18"/>
      <c r="H694" s="26"/>
      <c r="I694" s="18"/>
      <c r="J694" s="18"/>
      <c r="K694" s="18"/>
      <c r="L694" s="27" t="str">
        <f aca="false">IF(C694="","",IF(G694="Concluída",1,N(H694)))</f>
        <v/>
      </c>
      <c r="M694" s="13" t="str">
        <f aca="true">IF(C694="","",IF(G694="Concluída","Concluída",IF(AND(F694&lt;&gt;"",F694&lt;TODAY()),"Atrasada","No prazo")))</f>
        <v/>
      </c>
    </row>
    <row r="695" customFormat="false" ht="15" hidden="false" customHeight="false" outlineLevel="0" collapsed="false">
      <c r="A695" s="18"/>
      <c r="B695" s="18"/>
      <c r="C695" s="18"/>
      <c r="D695" s="18"/>
      <c r="E695" s="25"/>
      <c r="F695" s="25"/>
      <c r="G695" s="18"/>
      <c r="H695" s="26"/>
      <c r="I695" s="18"/>
      <c r="J695" s="18"/>
      <c r="K695" s="18"/>
      <c r="L695" s="27" t="str">
        <f aca="false">IF(C695="","",IF(G695="Concluída",1,N(H695)))</f>
        <v/>
      </c>
      <c r="M695" s="13" t="str">
        <f aca="true">IF(C695="","",IF(G695="Concluída","Concluída",IF(AND(F695&lt;&gt;"",F695&lt;TODAY()),"Atrasada","No prazo")))</f>
        <v/>
      </c>
    </row>
    <row r="696" customFormat="false" ht="15" hidden="false" customHeight="false" outlineLevel="0" collapsed="false">
      <c r="A696" s="18"/>
      <c r="B696" s="18"/>
      <c r="C696" s="18"/>
      <c r="D696" s="18"/>
      <c r="E696" s="25"/>
      <c r="F696" s="25"/>
      <c r="G696" s="18"/>
      <c r="H696" s="26"/>
      <c r="I696" s="18"/>
      <c r="J696" s="18"/>
      <c r="K696" s="18"/>
      <c r="L696" s="27" t="str">
        <f aca="false">IF(C696="","",IF(G696="Concluída",1,N(H696)))</f>
        <v/>
      </c>
      <c r="M696" s="13" t="str">
        <f aca="true">IF(C696="","",IF(G696="Concluída","Concluída",IF(AND(F696&lt;&gt;"",F696&lt;TODAY()),"Atrasada","No prazo")))</f>
        <v/>
      </c>
    </row>
    <row r="697" customFormat="false" ht="15" hidden="false" customHeight="false" outlineLevel="0" collapsed="false">
      <c r="A697" s="18"/>
      <c r="B697" s="18"/>
      <c r="C697" s="18"/>
      <c r="D697" s="18"/>
      <c r="E697" s="25"/>
      <c r="F697" s="25"/>
      <c r="G697" s="18"/>
      <c r="H697" s="26"/>
      <c r="I697" s="18"/>
      <c r="J697" s="18"/>
      <c r="K697" s="18"/>
      <c r="L697" s="27" t="str">
        <f aca="false">IF(C697="","",IF(G697="Concluída",1,N(H697)))</f>
        <v/>
      </c>
      <c r="M697" s="13" t="str">
        <f aca="true">IF(C697="","",IF(G697="Concluída","Concluída",IF(AND(F697&lt;&gt;"",F697&lt;TODAY()),"Atrasada","No prazo")))</f>
        <v/>
      </c>
    </row>
    <row r="698" customFormat="false" ht="15" hidden="false" customHeight="false" outlineLevel="0" collapsed="false">
      <c r="A698" s="18"/>
      <c r="B698" s="18"/>
      <c r="C698" s="18"/>
      <c r="D698" s="18"/>
      <c r="E698" s="25"/>
      <c r="F698" s="25"/>
      <c r="G698" s="18"/>
      <c r="H698" s="26"/>
      <c r="I698" s="18"/>
      <c r="J698" s="18"/>
      <c r="K698" s="18"/>
      <c r="L698" s="27" t="str">
        <f aca="false">IF(C698="","",IF(G698="Concluída",1,N(H698)))</f>
        <v/>
      </c>
      <c r="M698" s="13" t="str">
        <f aca="true">IF(C698="","",IF(G698="Concluída","Concluída",IF(AND(F698&lt;&gt;"",F698&lt;TODAY()),"Atrasada","No prazo")))</f>
        <v/>
      </c>
    </row>
    <row r="699" customFormat="false" ht="15" hidden="false" customHeight="false" outlineLevel="0" collapsed="false">
      <c r="A699" s="18"/>
      <c r="B699" s="18"/>
      <c r="C699" s="18"/>
      <c r="D699" s="18"/>
      <c r="E699" s="25"/>
      <c r="F699" s="25"/>
      <c r="G699" s="18"/>
      <c r="H699" s="26"/>
      <c r="I699" s="18"/>
      <c r="J699" s="18"/>
      <c r="K699" s="18"/>
      <c r="L699" s="27" t="str">
        <f aca="false">IF(C699="","",IF(G699="Concluída",1,N(H699)))</f>
        <v/>
      </c>
      <c r="M699" s="13" t="str">
        <f aca="true">IF(C699="","",IF(G699="Concluída","Concluída",IF(AND(F699&lt;&gt;"",F699&lt;TODAY()),"Atrasada","No prazo")))</f>
        <v/>
      </c>
    </row>
    <row r="700" customFormat="false" ht="15" hidden="false" customHeight="false" outlineLevel="0" collapsed="false">
      <c r="A700" s="18"/>
      <c r="B700" s="18"/>
      <c r="C700" s="18"/>
      <c r="D700" s="18"/>
      <c r="E700" s="25"/>
      <c r="F700" s="25"/>
      <c r="G700" s="18"/>
      <c r="H700" s="26"/>
      <c r="I700" s="18"/>
      <c r="J700" s="18"/>
      <c r="K700" s="18"/>
      <c r="L700" s="27" t="str">
        <f aca="false">IF(C700="","",IF(G700="Concluída",1,N(H700)))</f>
        <v/>
      </c>
      <c r="M700" s="13" t="str">
        <f aca="true">IF(C700="","",IF(G700="Concluída","Concluída",IF(AND(F700&lt;&gt;"",F700&lt;TODAY()),"Atrasada","No prazo")))</f>
        <v/>
      </c>
    </row>
    <row r="701" customFormat="false" ht="15" hidden="false" customHeight="false" outlineLevel="0" collapsed="false">
      <c r="A701" s="18"/>
      <c r="B701" s="18"/>
      <c r="C701" s="18"/>
      <c r="D701" s="18"/>
      <c r="E701" s="25"/>
      <c r="F701" s="25"/>
      <c r="G701" s="18"/>
      <c r="H701" s="26"/>
      <c r="I701" s="18"/>
      <c r="J701" s="18"/>
      <c r="K701" s="18"/>
      <c r="L701" s="27" t="str">
        <f aca="false">IF(C701="","",IF(G701="Concluída",1,N(H701)))</f>
        <v/>
      </c>
      <c r="M701" s="13" t="str">
        <f aca="true">IF(C701="","",IF(G701="Concluída","Concluída",IF(AND(F701&lt;&gt;"",F701&lt;TODAY()),"Atrasada","No prazo")))</f>
        <v/>
      </c>
    </row>
    <row r="702" customFormat="false" ht="15" hidden="false" customHeight="false" outlineLevel="0" collapsed="false">
      <c r="A702" s="18"/>
      <c r="B702" s="18"/>
      <c r="C702" s="18"/>
      <c r="D702" s="18"/>
      <c r="E702" s="25"/>
      <c r="F702" s="25"/>
      <c r="G702" s="18"/>
      <c r="H702" s="26"/>
      <c r="I702" s="18"/>
      <c r="J702" s="18"/>
      <c r="K702" s="18"/>
      <c r="L702" s="27" t="str">
        <f aca="false">IF(C702="","",IF(G702="Concluída",1,N(H702)))</f>
        <v/>
      </c>
      <c r="M702" s="13" t="str">
        <f aca="true">IF(C702="","",IF(G702="Concluída","Concluída",IF(AND(F702&lt;&gt;"",F702&lt;TODAY()),"Atrasada","No prazo")))</f>
        <v/>
      </c>
    </row>
    <row r="703" customFormat="false" ht="15" hidden="false" customHeight="false" outlineLevel="0" collapsed="false">
      <c r="A703" s="18"/>
      <c r="B703" s="18"/>
      <c r="C703" s="18"/>
      <c r="D703" s="18"/>
      <c r="E703" s="25"/>
      <c r="F703" s="25"/>
      <c r="G703" s="18"/>
      <c r="H703" s="26"/>
      <c r="I703" s="18"/>
      <c r="J703" s="18"/>
      <c r="K703" s="18"/>
      <c r="L703" s="27" t="str">
        <f aca="false">IF(C703="","",IF(G703="Concluída",1,N(H703)))</f>
        <v/>
      </c>
      <c r="M703" s="13" t="str">
        <f aca="true">IF(C703="","",IF(G703="Concluída","Concluída",IF(AND(F703&lt;&gt;"",F703&lt;TODAY()),"Atrasada","No prazo")))</f>
        <v/>
      </c>
    </row>
    <row r="704" customFormat="false" ht="15" hidden="false" customHeight="false" outlineLevel="0" collapsed="false">
      <c r="A704" s="18"/>
      <c r="B704" s="18"/>
      <c r="C704" s="18"/>
      <c r="D704" s="18"/>
      <c r="E704" s="25"/>
      <c r="F704" s="25"/>
      <c r="G704" s="18"/>
      <c r="H704" s="26"/>
      <c r="I704" s="18"/>
      <c r="J704" s="18"/>
      <c r="K704" s="18"/>
      <c r="L704" s="27" t="str">
        <f aca="false">IF(C704="","",IF(G704="Concluída",1,N(H704)))</f>
        <v/>
      </c>
      <c r="M704" s="13" t="str">
        <f aca="true">IF(C704="","",IF(G704="Concluída","Concluída",IF(AND(F704&lt;&gt;"",F704&lt;TODAY()),"Atrasada","No prazo")))</f>
        <v/>
      </c>
    </row>
    <row r="705" customFormat="false" ht="15" hidden="false" customHeight="false" outlineLevel="0" collapsed="false">
      <c r="A705" s="18"/>
      <c r="B705" s="18"/>
      <c r="C705" s="18"/>
      <c r="D705" s="18"/>
      <c r="E705" s="25"/>
      <c r="F705" s="25"/>
      <c r="G705" s="18"/>
      <c r="H705" s="26"/>
      <c r="I705" s="18"/>
      <c r="J705" s="18"/>
      <c r="K705" s="18"/>
      <c r="L705" s="27" t="str">
        <f aca="false">IF(C705="","",IF(G705="Concluída",1,N(H705)))</f>
        <v/>
      </c>
      <c r="M705" s="13" t="str">
        <f aca="true">IF(C705="","",IF(G705="Concluída","Concluída",IF(AND(F705&lt;&gt;"",F705&lt;TODAY()),"Atrasada","No prazo")))</f>
        <v/>
      </c>
    </row>
    <row r="706" customFormat="false" ht="15" hidden="false" customHeight="false" outlineLevel="0" collapsed="false">
      <c r="A706" s="18"/>
      <c r="B706" s="18"/>
      <c r="C706" s="18"/>
      <c r="D706" s="18"/>
      <c r="E706" s="25"/>
      <c r="F706" s="25"/>
      <c r="G706" s="18"/>
      <c r="H706" s="26"/>
      <c r="I706" s="18"/>
      <c r="J706" s="18"/>
      <c r="K706" s="18"/>
      <c r="L706" s="27" t="str">
        <f aca="false">IF(C706="","",IF(G706="Concluída",1,N(H706)))</f>
        <v/>
      </c>
      <c r="M706" s="13" t="str">
        <f aca="true">IF(C706="","",IF(G706="Concluída","Concluída",IF(AND(F706&lt;&gt;"",F706&lt;TODAY()),"Atrasada","No prazo")))</f>
        <v/>
      </c>
    </row>
    <row r="707" customFormat="false" ht="15" hidden="false" customHeight="false" outlineLevel="0" collapsed="false">
      <c r="A707" s="18"/>
      <c r="B707" s="18"/>
      <c r="C707" s="18"/>
      <c r="D707" s="18"/>
      <c r="E707" s="25"/>
      <c r="F707" s="25"/>
      <c r="G707" s="18"/>
      <c r="H707" s="26"/>
      <c r="I707" s="18"/>
      <c r="J707" s="18"/>
      <c r="K707" s="18"/>
      <c r="L707" s="27" t="str">
        <f aca="false">IF(C707="","",IF(G707="Concluída",1,N(H707)))</f>
        <v/>
      </c>
      <c r="M707" s="13" t="str">
        <f aca="true">IF(C707="","",IF(G707="Concluída","Concluída",IF(AND(F707&lt;&gt;"",F707&lt;TODAY()),"Atrasada","No prazo")))</f>
        <v/>
      </c>
    </row>
    <row r="708" customFormat="false" ht="15" hidden="false" customHeight="false" outlineLevel="0" collapsed="false">
      <c r="A708" s="18"/>
      <c r="B708" s="18"/>
      <c r="C708" s="18"/>
      <c r="D708" s="18"/>
      <c r="E708" s="25"/>
      <c r="F708" s="25"/>
      <c r="G708" s="18"/>
      <c r="H708" s="26"/>
      <c r="I708" s="18"/>
      <c r="J708" s="18"/>
      <c r="K708" s="18"/>
      <c r="L708" s="27" t="str">
        <f aca="false">IF(C708="","",IF(G708="Concluída",1,N(H708)))</f>
        <v/>
      </c>
      <c r="M708" s="13" t="str">
        <f aca="true">IF(C708="","",IF(G708="Concluída","Concluída",IF(AND(F708&lt;&gt;"",F708&lt;TODAY()),"Atrasada","No prazo")))</f>
        <v/>
      </c>
    </row>
    <row r="709" customFormat="false" ht="15" hidden="false" customHeight="false" outlineLevel="0" collapsed="false">
      <c r="A709" s="18"/>
      <c r="B709" s="18"/>
      <c r="C709" s="18"/>
      <c r="D709" s="18"/>
      <c r="E709" s="25"/>
      <c r="F709" s="25"/>
      <c r="G709" s="18"/>
      <c r="H709" s="26"/>
      <c r="I709" s="18"/>
      <c r="J709" s="18"/>
      <c r="K709" s="18"/>
      <c r="L709" s="27" t="str">
        <f aca="false">IF(C709="","",IF(G709="Concluída",1,N(H709)))</f>
        <v/>
      </c>
      <c r="M709" s="13" t="str">
        <f aca="true">IF(C709="","",IF(G709="Concluída","Concluída",IF(AND(F709&lt;&gt;"",F709&lt;TODAY()),"Atrasada","No prazo")))</f>
        <v/>
      </c>
    </row>
    <row r="710" customFormat="false" ht="15" hidden="false" customHeight="false" outlineLevel="0" collapsed="false">
      <c r="A710" s="18"/>
      <c r="B710" s="18"/>
      <c r="C710" s="18"/>
      <c r="D710" s="18"/>
      <c r="E710" s="25"/>
      <c r="F710" s="25"/>
      <c r="G710" s="18"/>
      <c r="H710" s="26"/>
      <c r="I710" s="18"/>
      <c r="J710" s="18"/>
      <c r="K710" s="18"/>
      <c r="L710" s="27" t="str">
        <f aca="false">IF(C710="","",IF(G710="Concluída",1,N(H710)))</f>
        <v/>
      </c>
      <c r="M710" s="13" t="str">
        <f aca="true">IF(C710="","",IF(G710="Concluída","Concluída",IF(AND(F710&lt;&gt;"",F710&lt;TODAY()),"Atrasada","No prazo")))</f>
        <v/>
      </c>
    </row>
    <row r="711" customFormat="false" ht="15" hidden="false" customHeight="false" outlineLevel="0" collapsed="false">
      <c r="A711" s="18"/>
      <c r="B711" s="18"/>
      <c r="C711" s="18"/>
      <c r="D711" s="18"/>
      <c r="E711" s="25"/>
      <c r="F711" s="25"/>
      <c r="G711" s="18"/>
      <c r="H711" s="26"/>
      <c r="I711" s="18"/>
      <c r="J711" s="18"/>
      <c r="K711" s="18"/>
      <c r="L711" s="27" t="str">
        <f aca="false">IF(C711="","",IF(G711="Concluída",1,N(H711)))</f>
        <v/>
      </c>
      <c r="M711" s="13" t="str">
        <f aca="true">IF(C711="","",IF(G711="Concluída","Concluída",IF(AND(F711&lt;&gt;"",F711&lt;TODAY()),"Atrasada","No prazo")))</f>
        <v/>
      </c>
    </row>
    <row r="712" customFormat="false" ht="15" hidden="false" customHeight="false" outlineLevel="0" collapsed="false">
      <c r="A712" s="18"/>
      <c r="B712" s="18"/>
      <c r="C712" s="18"/>
      <c r="D712" s="18"/>
      <c r="E712" s="25"/>
      <c r="F712" s="25"/>
      <c r="G712" s="18"/>
      <c r="H712" s="26"/>
      <c r="I712" s="18"/>
      <c r="J712" s="18"/>
      <c r="K712" s="18"/>
      <c r="L712" s="27" t="str">
        <f aca="false">IF(C712="","",IF(G712="Concluída",1,N(H712)))</f>
        <v/>
      </c>
      <c r="M712" s="13" t="str">
        <f aca="true">IF(C712="","",IF(G712="Concluída","Concluída",IF(AND(F712&lt;&gt;"",F712&lt;TODAY()),"Atrasada","No prazo")))</f>
        <v/>
      </c>
    </row>
    <row r="713" customFormat="false" ht="15" hidden="false" customHeight="false" outlineLevel="0" collapsed="false">
      <c r="A713" s="18"/>
      <c r="B713" s="18"/>
      <c r="C713" s="18"/>
      <c r="D713" s="18"/>
      <c r="E713" s="25"/>
      <c r="F713" s="25"/>
      <c r="G713" s="18"/>
      <c r="H713" s="26"/>
      <c r="I713" s="18"/>
      <c r="J713" s="18"/>
      <c r="K713" s="18"/>
      <c r="L713" s="27" t="str">
        <f aca="false">IF(C713="","",IF(G713="Concluída",1,N(H713)))</f>
        <v/>
      </c>
      <c r="M713" s="13" t="str">
        <f aca="true">IF(C713="","",IF(G713="Concluída","Concluída",IF(AND(F713&lt;&gt;"",F713&lt;TODAY()),"Atrasada","No prazo")))</f>
        <v/>
      </c>
    </row>
    <row r="714" customFormat="false" ht="15" hidden="false" customHeight="false" outlineLevel="0" collapsed="false">
      <c r="A714" s="18"/>
      <c r="B714" s="18"/>
      <c r="C714" s="18"/>
      <c r="D714" s="18"/>
      <c r="E714" s="25"/>
      <c r="F714" s="25"/>
      <c r="G714" s="18"/>
      <c r="H714" s="26"/>
      <c r="I714" s="18"/>
      <c r="J714" s="18"/>
      <c r="K714" s="18"/>
      <c r="L714" s="27" t="str">
        <f aca="false">IF(C714="","",IF(G714="Concluída",1,N(H714)))</f>
        <v/>
      </c>
      <c r="M714" s="13" t="str">
        <f aca="true">IF(C714="","",IF(G714="Concluída","Concluída",IF(AND(F714&lt;&gt;"",F714&lt;TODAY()),"Atrasada","No prazo")))</f>
        <v/>
      </c>
    </row>
    <row r="715" customFormat="false" ht="15" hidden="false" customHeight="false" outlineLevel="0" collapsed="false">
      <c r="A715" s="18"/>
      <c r="B715" s="18"/>
      <c r="C715" s="18"/>
      <c r="D715" s="18"/>
      <c r="E715" s="25"/>
      <c r="F715" s="25"/>
      <c r="G715" s="18"/>
      <c r="H715" s="26"/>
      <c r="I715" s="18"/>
      <c r="J715" s="18"/>
      <c r="K715" s="18"/>
      <c r="L715" s="27" t="str">
        <f aca="false">IF(C715="","",IF(G715="Concluída",1,N(H715)))</f>
        <v/>
      </c>
      <c r="M715" s="13" t="str">
        <f aca="true">IF(C715="","",IF(G715="Concluída","Concluída",IF(AND(F715&lt;&gt;"",F715&lt;TODAY()),"Atrasada","No prazo")))</f>
        <v/>
      </c>
    </row>
    <row r="716" customFormat="false" ht="15" hidden="false" customHeight="false" outlineLevel="0" collapsed="false">
      <c r="A716" s="18"/>
      <c r="B716" s="18"/>
      <c r="C716" s="18"/>
      <c r="D716" s="18"/>
      <c r="E716" s="25"/>
      <c r="F716" s="25"/>
      <c r="G716" s="18"/>
      <c r="H716" s="26"/>
      <c r="I716" s="18"/>
      <c r="J716" s="18"/>
      <c r="K716" s="18"/>
      <c r="L716" s="27" t="str">
        <f aca="false">IF(C716="","",IF(G716="Concluída",1,N(H716)))</f>
        <v/>
      </c>
      <c r="M716" s="13" t="str">
        <f aca="true">IF(C716="","",IF(G716="Concluída","Concluída",IF(AND(F716&lt;&gt;"",F716&lt;TODAY()),"Atrasada","No prazo")))</f>
        <v/>
      </c>
    </row>
    <row r="717" customFormat="false" ht="15" hidden="false" customHeight="false" outlineLevel="0" collapsed="false">
      <c r="A717" s="18"/>
      <c r="B717" s="18"/>
      <c r="C717" s="18"/>
      <c r="D717" s="18"/>
      <c r="E717" s="25"/>
      <c r="F717" s="25"/>
      <c r="G717" s="18"/>
      <c r="H717" s="26"/>
      <c r="I717" s="18"/>
      <c r="J717" s="18"/>
      <c r="K717" s="18"/>
      <c r="L717" s="27" t="str">
        <f aca="false">IF(C717="","",IF(G717="Concluída",1,N(H717)))</f>
        <v/>
      </c>
      <c r="M717" s="13" t="str">
        <f aca="true">IF(C717="","",IF(G717="Concluída","Concluída",IF(AND(F717&lt;&gt;"",F717&lt;TODAY()),"Atrasada","No prazo")))</f>
        <v/>
      </c>
    </row>
    <row r="718" customFormat="false" ht="15" hidden="false" customHeight="false" outlineLevel="0" collapsed="false">
      <c r="A718" s="18"/>
      <c r="B718" s="18"/>
      <c r="C718" s="18"/>
      <c r="D718" s="18"/>
      <c r="E718" s="25"/>
      <c r="F718" s="25"/>
      <c r="G718" s="18"/>
      <c r="H718" s="26"/>
      <c r="I718" s="18"/>
      <c r="J718" s="18"/>
      <c r="K718" s="18"/>
      <c r="L718" s="27" t="str">
        <f aca="false">IF(C718="","",IF(G718="Concluída",1,N(H718)))</f>
        <v/>
      </c>
      <c r="M718" s="13" t="str">
        <f aca="true">IF(C718="","",IF(G718="Concluída","Concluída",IF(AND(F718&lt;&gt;"",F718&lt;TODAY()),"Atrasada","No prazo")))</f>
        <v/>
      </c>
    </row>
    <row r="719" customFormat="false" ht="15" hidden="false" customHeight="false" outlineLevel="0" collapsed="false">
      <c r="A719" s="18"/>
      <c r="B719" s="18"/>
      <c r="C719" s="18"/>
      <c r="D719" s="18"/>
      <c r="E719" s="25"/>
      <c r="F719" s="25"/>
      <c r="G719" s="18"/>
      <c r="H719" s="26"/>
      <c r="I719" s="18"/>
      <c r="J719" s="18"/>
      <c r="K719" s="18"/>
      <c r="L719" s="27" t="str">
        <f aca="false">IF(C719="","",IF(G719="Concluída",1,N(H719)))</f>
        <v/>
      </c>
      <c r="M719" s="13" t="str">
        <f aca="true">IF(C719="","",IF(G719="Concluída","Concluída",IF(AND(F719&lt;&gt;"",F719&lt;TODAY()),"Atrasada","No prazo")))</f>
        <v/>
      </c>
    </row>
    <row r="720" customFormat="false" ht="15" hidden="false" customHeight="false" outlineLevel="0" collapsed="false">
      <c r="A720" s="18"/>
      <c r="B720" s="18"/>
      <c r="C720" s="18"/>
      <c r="D720" s="18"/>
      <c r="E720" s="25"/>
      <c r="F720" s="25"/>
      <c r="G720" s="18"/>
      <c r="H720" s="26"/>
      <c r="I720" s="18"/>
      <c r="J720" s="18"/>
      <c r="K720" s="18"/>
      <c r="L720" s="27" t="str">
        <f aca="false">IF(C720="","",IF(G720="Concluída",1,N(H720)))</f>
        <v/>
      </c>
      <c r="M720" s="13" t="str">
        <f aca="true">IF(C720="","",IF(G720="Concluída","Concluída",IF(AND(F720&lt;&gt;"",F720&lt;TODAY()),"Atrasada","No prazo")))</f>
        <v/>
      </c>
    </row>
    <row r="721" customFormat="false" ht="15" hidden="false" customHeight="false" outlineLevel="0" collapsed="false">
      <c r="A721" s="18"/>
      <c r="B721" s="18"/>
      <c r="C721" s="18"/>
      <c r="D721" s="18"/>
      <c r="E721" s="25"/>
      <c r="F721" s="25"/>
      <c r="G721" s="18"/>
      <c r="H721" s="26"/>
      <c r="I721" s="18"/>
      <c r="J721" s="18"/>
      <c r="K721" s="18"/>
      <c r="L721" s="27" t="str">
        <f aca="false">IF(C721="","",IF(G721="Concluída",1,N(H721)))</f>
        <v/>
      </c>
      <c r="M721" s="13" t="str">
        <f aca="true">IF(C721="","",IF(G721="Concluída","Concluída",IF(AND(F721&lt;&gt;"",F721&lt;TODAY()),"Atrasada","No prazo")))</f>
        <v/>
      </c>
    </row>
    <row r="722" customFormat="false" ht="15" hidden="false" customHeight="false" outlineLevel="0" collapsed="false">
      <c r="A722" s="18"/>
      <c r="B722" s="18"/>
      <c r="C722" s="18"/>
      <c r="D722" s="18"/>
      <c r="E722" s="25"/>
      <c r="F722" s="25"/>
      <c r="G722" s="18"/>
      <c r="H722" s="26"/>
      <c r="I722" s="18"/>
      <c r="J722" s="18"/>
      <c r="K722" s="18"/>
      <c r="L722" s="27" t="str">
        <f aca="false">IF(C722="","",IF(G722="Concluída",1,N(H722)))</f>
        <v/>
      </c>
      <c r="M722" s="13" t="str">
        <f aca="true">IF(C722="","",IF(G722="Concluída","Concluída",IF(AND(F722&lt;&gt;"",F722&lt;TODAY()),"Atrasada","No prazo")))</f>
        <v/>
      </c>
    </row>
    <row r="723" customFormat="false" ht="15" hidden="false" customHeight="false" outlineLevel="0" collapsed="false">
      <c r="A723" s="18"/>
      <c r="B723" s="18"/>
      <c r="C723" s="18"/>
      <c r="D723" s="18"/>
      <c r="E723" s="25"/>
      <c r="F723" s="25"/>
      <c r="G723" s="18"/>
      <c r="H723" s="26"/>
      <c r="I723" s="18"/>
      <c r="J723" s="18"/>
      <c r="K723" s="18"/>
      <c r="L723" s="27" t="str">
        <f aca="false">IF(C723="","",IF(G723="Concluída",1,N(H723)))</f>
        <v/>
      </c>
      <c r="M723" s="13" t="str">
        <f aca="true">IF(C723="","",IF(G723="Concluída","Concluída",IF(AND(F723&lt;&gt;"",F723&lt;TODAY()),"Atrasada","No prazo")))</f>
        <v/>
      </c>
    </row>
    <row r="724" customFormat="false" ht="15" hidden="false" customHeight="false" outlineLevel="0" collapsed="false">
      <c r="A724" s="18"/>
      <c r="B724" s="18"/>
      <c r="C724" s="18"/>
      <c r="D724" s="18"/>
      <c r="E724" s="25"/>
      <c r="F724" s="25"/>
      <c r="G724" s="18"/>
      <c r="H724" s="26"/>
      <c r="I724" s="18"/>
      <c r="J724" s="18"/>
      <c r="K724" s="18"/>
      <c r="L724" s="27" t="str">
        <f aca="false">IF(C724="","",IF(G724="Concluída",1,N(H724)))</f>
        <v/>
      </c>
      <c r="M724" s="13" t="str">
        <f aca="true">IF(C724="","",IF(G724="Concluída","Concluída",IF(AND(F724&lt;&gt;"",F724&lt;TODAY()),"Atrasada","No prazo")))</f>
        <v/>
      </c>
    </row>
    <row r="725" customFormat="false" ht="15" hidden="false" customHeight="false" outlineLevel="0" collapsed="false">
      <c r="A725" s="18"/>
      <c r="B725" s="18"/>
      <c r="C725" s="18"/>
      <c r="D725" s="18"/>
      <c r="E725" s="25"/>
      <c r="F725" s="25"/>
      <c r="G725" s="18"/>
      <c r="H725" s="26"/>
      <c r="I725" s="18"/>
      <c r="J725" s="18"/>
      <c r="K725" s="18"/>
      <c r="L725" s="27" t="str">
        <f aca="false">IF(C725="","",IF(G725="Concluída",1,N(H725)))</f>
        <v/>
      </c>
      <c r="M725" s="13" t="str">
        <f aca="true">IF(C725="","",IF(G725="Concluída","Concluída",IF(AND(F725&lt;&gt;"",F725&lt;TODAY()),"Atrasada","No prazo")))</f>
        <v/>
      </c>
    </row>
    <row r="726" customFormat="false" ht="15" hidden="false" customHeight="false" outlineLevel="0" collapsed="false">
      <c r="A726" s="18"/>
      <c r="B726" s="18"/>
      <c r="C726" s="18"/>
      <c r="D726" s="18"/>
      <c r="E726" s="25"/>
      <c r="F726" s="25"/>
      <c r="G726" s="18"/>
      <c r="H726" s="26"/>
      <c r="I726" s="18"/>
      <c r="J726" s="18"/>
      <c r="K726" s="18"/>
      <c r="L726" s="27" t="str">
        <f aca="false">IF(C726="","",IF(G726="Concluída",1,N(H726)))</f>
        <v/>
      </c>
      <c r="M726" s="13" t="str">
        <f aca="true">IF(C726="","",IF(G726="Concluída","Concluída",IF(AND(F726&lt;&gt;"",F726&lt;TODAY()),"Atrasada","No prazo")))</f>
        <v/>
      </c>
    </row>
    <row r="727" customFormat="false" ht="15" hidden="false" customHeight="false" outlineLevel="0" collapsed="false">
      <c r="A727" s="18"/>
      <c r="B727" s="18"/>
      <c r="C727" s="18"/>
      <c r="D727" s="18"/>
      <c r="E727" s="25"/>
      <c r="F727" s="25"/>
      <c r="G727" s="18"/>
      <c r="H727" s="26"/>
      <c r="I727" s="18"/>
      <c r="J727" s="18"/>
      <c r="K727" s="18"/>
      <c r="L727" s="27" t="str">
        <f aca="false">IF(C727="","",IF(G727="Concluída",1,N(H727)))</f>
        <v/>
      </c>
      <c r="M727" s="13" t="str">
        <f aca="true">IF(C727="","",IF(G727="Concluída","Concluída",IF(AND(F727&lt;&gt;"",F727&lt;TODAY()),"Atrasada","No prazo")))</f>
        <v/>
      </c>
    </row>
    <row r="728" customFormat="false" ht="15" hidden="false" customHeight="false" outlineLevel="0" collapsed="false">
      <c r="A728" s="18"/>
      <c r="B728" s="18"/>
      <c r="C728" s="18"/>
      <c r="D728" s="18"/>
      <c r="E728" s="25"/>
      <c r="F728" s="25"/>
      <c r="G728" s="18"/>
      <c r="H728" s="26"/>
      <c r="I728" s="18"/>
      <c r="J728" s="18"/>
      <c r="K728" s="18"/>
      <c r="L728" s="27" t="str">
        <f aca="false">IF(C728="","",IF(G728="Concluída",1,N(H728)))</f>
        <v/>
      </c>
      <c r="M728" s="13" t="str">
        <f aca="true">IF(C728="","",IF(G728="Concluída","Concluída",IF(AND(F728&lt;&gt;"",F728&lt;TODAY()),"Atrasada","No prazo")))</f>
        <v/>
      </c>
    </row>
    <row r="729" customFormat="false" ht="15" hidden="false" customHeight="false" outlineLevel="0" collapsed="false">
      <c r="A729" s="18"/>
      <c r="B729" s="18"/>
      <c r="C729" s="18"/>
      <c r="D729" s="18"/>
      <c r="E729" s="25"/>
      <c r="F729" s="25"/>
      <c r="G729" s="18"/>
      <c r="H729" s="26"/>
      <c r="I729" s="18"/>
      <c r="J729" s="18"/>
      <c r="K729" s="18"/>
      <c r="L729" s="27" t="str">
        <f aca="false">IF(C729="","",IF(G729="Concluída",1,N(H729)))</f>
        <v/>
      </c>
      <c r="M729" s="13" t="str">
        <f aca="true">IF(C729="","",IF(G729="Concluída","Concluída",IF(AND(F729&lt;&gt;"",F729&lt;TODAY()),"Atrasada","No prazo")))</f>
        <v/>
      </c>
    </row>
    <row r="730" customFormat="false" ht="15" hidden="false" customHeight="false" outlineLevel="0" collapsed="false">
      <c r="A730" s="18"/>
      <c r="B730" s="18"/>
      <c r="C730" s="18"/>
      <c r="D730" s="18"/>
      <c r="E730" s="25"/>
      <c r="F730" s="25"/>
      <c r="G730" s="18"/>
      <c r="H730" s="26"/>
      <c r="I730" s="18"/>
      <c r="J730" s="18"/>
      <c r="K730" s="18"/>
      <c r="L730" s="27" t="str">
        <f aca="false">IF(C730="","",IF(G730="Concluída",1,N(H730)))</f>
        <v/>
      </c>
      <c r="M730" s="13" t="str">
        <f aca="true">IF(C730="","",IF(G730="Concluída","Concluída",IF(AND(F730&lt;&gt;"",F730&lt;TODAY()),"Atrasada","No prazo")))</f>
        <v/>
      </c>
    </row>
    <row r="731" customFormat="false" ht="15" hidden="false" customHeight="false" outlineLevel="0" collapsed="false">
      <c r="A731" s="18"/>
      <c r="B731" s="18"/>
      <c r="C731" s="18"/>
      <c r="D731" s="18"/>
      <c r="E731" s="25"/>
      <c r="F731" s="25"/>
      <c r="G731" s="18"/>
      <c r="H731" s="26"/>
      <c r="I731" s="18"/>
      <c r="J731" s="18"/>
      <c r="K731" s="18"/>
      <c r="L731" s="27" t="str">
        <f aca="false">IF(C731="","",IF(G731="Concluída",1,N(H731)))</f>
        <v/>
      </c>
      <c r="M731" s="13" t="str">
        <f aca="true">IF(C731="","",IF(G731="Concluída","Concluída",IF(AND(F731&lt;&gt;"",F731&lt;TODAY()),"Atrasada","No prazo")))</f>
        <v/>
      </c>
    </row>
    <row r="732" customFormat="false" ht="15" hidden="false" customHeight="false" outlineLevel="0" collapsed="false">
      <c r="A732" s="18"/>
      <c r="B732" s="18"/>
      <c r="C732" s="18"/>
      <c r="D732" s="18"/>
      <c r="E732" s="25"/>
      <c r="F732" s="25"/>
      <c r="G732" s="18"/>
      <c r="H732" s="26"/>
      <c r="I732" s="18"/>
      <c r="J732" s="18"/>
      <c r="K732" s="18"/>
      <c r="L732" s="27" t="str">
        <f aca="false">IF(C732="","",IF(G732="Concluída",1,N(H732)))</f>
        <v/>
      </c>
      <c r="M732" s="13" t="str">
        <f aca="true">IF(C732="","",IF(G732="Concluída","Concluída",IF(AND(F732&lt;&gt;"",F732&lt;TODAY()),"Atrasada","No prazo")))</f>
        <v/>
      </c>
    </row>
    <row r="733" customFormat="false" ht="15" hidden="false" customHeight="false" outlineLevel="0" collapsed="false">
      <c r="A733" s="18"/>
      <c r="B733" s="18"/>
      <c r="C733" s="18"/>
      <c r="D733" s="18"/>
      <c r="E733" s="25"/>
      <c r="F733" s="25"/>
      <c r="G733" s="18"/>
      <c r="H733" s="26"/>
      <c r="I733" s="18"/>
      <c r="J733" s="18"/>
      <c r="K733" s="18"/>
      <c r="L733" s="27" t="str">
        <f aca="false">IF(C733="","",IF(G733="Concluída",1,N(H733)))</f>
        <v/>
      </c>
      <c r="M733" s="13" t="str">
        <f aca="true">IF(C733="","",IF(G733="Concluída","Concluída",IF(AND(F733&lt;&gt;"",F733&lt;TODAY()),"Atrasada","No prazo")))</f>
        <v/>
      </c>
    </row>
    <row r="734" customFormat="false" ht="15" hidden="false" customHeight="false" outlineLevel="0" collapsed="false">
      <c r="A734" s="18"/>
      <c r="B734" s="18"/>
      <c r="C734" s="18"/>
      <c r="D734" s="18"/>
      <c r="E734" s="25"/>
      <c r="F734" s="25"/>
      <c r="G734" s="18"/>
      <c r="H734" s="26"/>
      <c r="I734" s="18"/>
      <c r="J734" s="18"/>
      <c r="K734" s="18"/>
      <c r="L734" s="27" t="str">
        <f aca="false">IF(C734="","",IF(G734="Concluída",1,N(H734)))</f>
        <v/>
      </c>
      <c r="M734" s="13" t="str">
        <f aca="true">IF(C734="","",IF(G734="Concluída","Concluída",IF(AND(F734&lt;&gt;"",F734&lt;TODAY()),"Atrasada","No prazo")))</f>
        <v/>
      </c>
    </row>
    <row r="735" customFormat="false" ht="15" hidden="false" customHeight="false" outlineLevel="0" collapsed="false">
      <c r="A735" s="18"/>
      <c r="B735" s="18"/>
      <c r="C735" s="18"/>
      <c r="D735" s="18"/>
      <c r="E735" s="25"/>
      <c r="F735" s="25"/>
      <c r="G735" s="18"/>
      <c r="H735" s="26"/>
      <c r="I735" s="18"/>
      <c r="J735" s="18"/>
      <c r="K735" s="18"/>
      <c r="L735" s="27" t="str">
        <f aca="false">IF(C735="","",IF(G735="Concluída",1,N(H735)))</f>
        <v/>
      </c>
      <c r="M735" s="13" t="str">
        <f aca="true">IF(C735="","",IF(G735="Concluída","Concluída",IF(AND(F735&lt;&gt;"",F735&lt;TODAY()),"Atrasada","No prazo")))</f>
        <v/>
      </c>
    </row>
    <row r="736" customFormat="false" ht="15" hidden="false" customHeight="false" outlineLevel="0" collapsed="false">
      <c r="A736" s="18"/>
      <c r="B736" s="18"/>
      <c r="C736" s="18"/>
      <c r="D736" s="18"/>
      <c r="E736" s="25"/>
      <c r="F736" s="25"/>
      <c r="G736" s="18"/>
      <c r="H736" s="26"/>
      <c r="I736" s="18"/>
      <c r="J736" s="18"/>
      <c r="K736" s="18"/>
      <c r="L736" s="27" t="str">
        <f aca="false">IF(C736="","",IF(G736="Concluída",1,N(H736)))</f>
        <v/>
      </c>
      <c r="M736" s="13" t="str">
        <f aca="true">IF(C736="","",IF(G736="Concluída","Concluída",IF(AND(F736&lt;&gt;"",F736&lt;TODAY()),"Atrasada","No prazo")))</f>
        <v/>
      </c>
    </row>
    <row r="737" customFormat="false" ht="15" hidden="false" customHeight="false" outlineLevel="0" collapsed="false">
      <c r="A737" s="18"/>
      <c r="B737" s="18"/>
      <c r="C737" s="18"/>
      <c r="D737" s="18"/>
      <c r="E737" s="25"/>
      <c r="F737" s="25"/>
      <c r="G737" s="18"/>
      <c r="H737" s="26"/>
      <c r="I737" s="18"/>
      <c r="J737" s="18"/>
      <c r="K737" s="18"/>
      <c r="L737" s="27" t="str">
        <f aca="false">IF(C737="","",IF(G737="Concluída",1,N(H737)))</f>
        <v/>
      </c>
      <c r="M737" s="13" t="str">
        <f aca="true">IF(C737="","",IF(G737="Concluída","Concluída",IF(AND(F737&lt;&gt;"",F737&lt;TODAY()),"Atrasada","No prazo")))</f>
        <v/>
      </c>
    </row>
    <row r="738" customFormat="false" ht="15" hidden="false" customHeight="false" outlineLevel="0" collapsed="false">
      <c r="A738" s="18"/>
      <c r="B738" s="18"/>
      <c r="C738" s="18"/>
      <c r="D738" s="18"/>
      <c r="E738" s="25"/>
      <c r="F738" s="25"/>
      <c r="G738" s="18"/>
      <c r="H738" s="26"/>
      <c r="I738" s="18"/>
      <c r="J738" s="18"/>
      <c r="K738" s="18"/>
      <c r="L738" s="27" t="str">
        <f aca="false">IF(C738="","",IF(G738="Concluída",1,N(H738)))</f>
        <v/>
      </c>
      <c r="M738" s="13" t="str">
        <f aca="true">IF(C738="","",IF(G738="Concluída","Concluída",IF(AND(F738&lt;&gt;"",F738&lt;TODAY()),"Atrasada","No prazo")))</f>
        <v/>
      </c>
    </row>
    <row r="739" customFormat="false" ht="15" hidden="false" customHeight="false" outlineLevel="0" collapsed="false">
      <c r="A739" s="18"/>
      <c r="B739" s="18"/>
      <c r="C739" s="18"/>
      <c r="D739" s="18"/>
      <c r="E739" s="25"/>
      <c r="F739" s="25"/>
      <c r="G739" s="18"/>
      <c r="H739" s="26"/>
      <c r="I739" s="18"/>
      <c r="J739" s="18"/>
      <c r="K739" s="18"/>
      <c r="L739" s="27" t="str">
        <f aca="false">IF(C739="","",IF(G739="Concluída",1,N(H739)))</f>
        <v/>
      </c>
      <c r="M739" s="13" t="str">
        <f aca="true">IF(C739="","",IF(G739="Concluída","Concluída",IF(AND(F739&lt;&gt;"",F739&lt;TODAY()),"Atrasada","No prazo")))</f>
        <v/>
      </c>
    </row>
    <row r="740" customFormat="false" ht="15" hidden="false" customHeight="false" outlineLevel="0" collapsed="false">
      <c r="A740" s="18"/>
      <c r="B740" s="18"/>
      <c r="C740" s="18"/>
      <c r="D740" s="18"/>
      <c r="E740" s="25"/>
      <c r="F740" s="25"/>
      <c r="G740" s="18"/>
      <c r="H740" s="26"/>
      <c r="I740" s="18"/>
      <c r="J740" s="18"/>
      <c r="K740" s="18"/>
      <c r="L740" s="27" t="str">
        <f aca="false">IF(C740="","",IF(G740="Concluída",1,N(H740)))</f>
        <v/>
      </c>
      <c r="M740" s="13" t="str">
        <f aca="true">IF(C740="","",IF(G740="Concluída","Concluída",IF(AND(F740&lt;&gt;"",F740&lt;TODAY()),"Atrasada","No prazo")))</f>
        <v/>
      </c>
    </row>
    <row r="741" customFormat="false" ht="15" hidden="false" customHeight="false" outlineLevel="0" collapsed="false">
      <c r="A741" s="18"/>
      <c r="B741" s="18"/>
      <c r="C741" s="18"/>
      <c r="D741" s="18"/>
      <c r="E741" s="25"/>
      <c r="F741" s="25"/>
      <c r="G741" s="18"/>
      <c r="H741" s="26"/>
      <c r="I741" s="18"/>
      <c r="J741" s="18"/>
      <c r="K741" s="18"/>
      <c r="L741" s="27" t="str">
        <f aca="false">IF(C741="","",IF(G741="Concluída",1,N(H741)))</f>
        <v/>
      </c>
      <c r="M741" s="13" t="str">
        <f aca="true">IF(C741="","",IF(G741="Concluída","Concluída",IF(AND(F741&lt;&gt;"",F741&lt;TODAY()),"Atrasada","No prazo")))</f>
        <v/>
      </c>
    </row>
    <row r="742" customFormat="false" ht="15" hidden="false" customHeight="false" outlineLevel="0" collapsed="false">
      <c r="A742" s="18"/>
      <c r="B742" s="18"/>
      <c r="C742" s="18"/>
      <c r="D742" s="18"/>
      <c r="E742" s="25"/>
      <c r="F742" s="25"/>
      <c r="G742" s="18"/>
      <c r="H742" s="26"/>
      <c r="I742" s="18"/>
      <c r="J742" s="18"/>
      <c r="K742" s="18"/>
      <c r="L742" s="27" t="str">
        <f aca="false">IF(C742="","",IF(G742="Concluída",1,N(H742)))</f>
        <v/>
      </c>
      <c r="M742" s="13" t="str">
        <f aca="true">IF(C742="","",IF(G742="Concluída","Concluída",IF(AND(F742&lt;&gt;"",F742&lt;TODAY()),"Atrasada","No prazo")))</f>
        <v/>
      </c>
    </row>
    <row r="743" customFormat="false" ht="15" hidden="false" customHeight="false" outlineLevel="0" collapsed="false">
      <c r="A743" s="18"/>
      <c r="B743" s="18"/>
      <c r="C743" s="18"/>
      <c r="D743" s="18"/>
      <c r="E743" s="25"/>
      <c r="F743" s="25"/>
      <c r="G743" s="18"/>
      <c r="H743" s="26"/>
      <c r="I743" s="18"/>
      <c r="J743" s="18"/>
      <c r="K743" s="18"/>
      <c r="L743" s="27" t="str">
        <f aca="false">IF(C743="","",IF(G743="Concluída",1,N(H743)))</f>
        <v/>
      </c>
      <c r="M743" s="13" t="str">
        <f aca="true">IF(C743="","",IF(G743="Concluída","Concluída",IF(AND(F743&lt;&gt;"",F743&lt;TODAY()),"Atrasada","No prazo")))</f>
        <v/>
      </c>
    </row>
    <row r="744" customFormat="false" ht="15" hidden="false" customHeight="false" outlineLevel="0" collapsed="false">
      <c r="A744" s="18"/>
      <c r="B744" s="18"/>
      <c r="C744" s="18"/>
      <c r="D744" s="18"/>
      <c r="E744" s="25"/>
      <c r="F744" s="25"/>
      <c r="G744" s="18"/>
      <c r="H744" s="26"/>
      <c r="I744" s="18"/>
      <c r="J744" s="18"/>
      <c r="K744" s="18"/>
      <c r="L744" s="27" t="str">
        <f aca="false">IF(C744="","",IF(G744="Concluída",1,N(H744)))</f>
        <v/>
      </c>
      <c r="M744" s="13" t="str">
        <f aca="true">IF(C744="","",IF(G744="Concluída","Concluída",IF(AND(F744&lt;&gt;"",F744&lt;TODAY()),"Atrasada","No prazo")))</f>
        <v/>
      </c>
    </row>
    <row r="745" customFormat="false" ht="15" hidden="false" customHeight="false" outlineLevel="0" collapsed="false">
      <c r="A745" s="18"/>
      <c r="B745" s="18"/>
      <c r="C745" s="18"/>
      <c r="D745" s="18"/>
      <c r="E745" s="25"/>
      <c r="F745" s="25"/>
      <c r="G745" s="18"/>
      <c r="H745" s="26"/>
      <c r="I745" s="18"/>
      <c r="J745" s="18"/>
      <c r="K745" s="18"/>
      <c r="L745" s="27" t="str">
        <f aca="false">IF(C745="","",IF(G745="Concluída",1,N(H745)))</f>
        <v/>
      </c>
      <c r="M745" s="13" t="str">
        <f aca="true">IF(C745="","",IF(G745="Concluída","Concluída",IF(AND(F745&lt;&gt;"",F745&lt;TODAY()),"Atrasada","No prazo")))</f>
        <v/>
      </c>
    </row>
    <row r="746" customFormat="false" ht="15" hidden="false" customHeight="false" outlineLevel="0" collapsed="false">
      <c r="A746" s="18"/>
      <c r="B746" s="18"/>
      <c r="C746" s="18"/>
      <c r="D746" s="18"/>
      <c r="E746" s="25"/>
      <c r="F746" s="25"/>
      <c r="G746" s="18"/>
      <c r="H746" s="26"/>
      <c r="I746" s="18"/>
      <c r="J746" s="18"/>
      <c r="K746" s="18"/>
      <c r="L746" s="27" t="str">
        <f aca="false">IF(C746="","",IF(G746="Concluída",1,N(H746)))</f>
        <v/>
      </c>
      <c r="M746" s="13" t="str">
        <f aca="true">IF(C746="","",IF(G746="Concluída","Concluída",IF(AND(F746&lt;&gt;"",F746&lt;TODAY()),"Atrasada","No prazo")))</f>
        <v/>
      </c>
    </row>
    <row r="747" customFormat="false" ht="15" hidden="false" customHeight="false" outlineLevel="0" collapsed="false">
      <c r="A747" s="18"/>
      <c r="B747" s="18"/>
      <c r="C747" s="18"/>
      <c r="D747" s="18"/>
      <c r="E747" s="25"/>
      <c r="F747" s="25"/>
      <c r="G747" s="18"/>
      <c r="H747" s="26"/>
      <c r="I747" s="18"/>
      <c r="J747" s="18"/>
      <c r="K747" s="18"/>
      <c r="L747" s="27" t="str">
        <f aca="false">IF(C747="","",IF(G747="Concluída",1,N(H747)))</f>
        <v/>
      </c>
      <c r="M747" s="13" t="str">
        <f aca="true">IF(C747="","",IF(G747="Concluída","Concluída",IF(AND(F747&lt;&gt;"",F747&lt;TODAY()),"Atrasada","No prazo")))</f>
        <v/>
      </c>
    </row>
    <row r="748" customFormat="false" ht="15" hidden="false" customHeight="false" outlineLevel="0" collapsed="false">
      <c r="A748" s="18"/>
      <c r="B748" s="18"/>
      <c r="C748" s="18"/>
      <c r="D748" s="18"/>
      <c r="E748" s="25"/>
      <c r="F748" s="25"/>
      <c r="G748" s="18"/>
      <c r="H748" s="26"/>
      <c r="I748" s="18"/>
      <c r="J748" s="18"/>
      <c r="K748" s="18"/>
      <c r="L748" s="27" t="str">
        <f aca="false">IF(C748="","",IF(G748="Concluída",1,N(H748)))</f>
        <v/>
      </c>
      <c r="M748" s="13" t="str">
        <f aca="true">IF(C748="","",IF(G748="Concluída","Concluída",IF(AND(F748&lt;&gt;"",F748&lt;TODAY()),"Atrasada","No prazo")))</f>
        <v/>
      </c>
    </row>
    <row r="749" customFormat="false" ht="15" hidden="false" customHeight="false" outlineLevel="0" collapsed="false">
      <c r="A749" s="18"/>
      <c r="B749" s="18"/>
      <c r="C749" s="18"/>
      <c r="D749" s="18"/>
      <c r="E749" s="25"/>
      <c r="F749" s="25"/>
      <c r="G749" s="18"/>
      <c r="H749" s="26"/>
      <c r="I749" s="18"/>
      <c r="J749" s="18"/>
      <c r="K749" s="18"/>
      <c r="L749" s="27" t="str">
        <f aca="false">IF(C749="","",IF(G749="Concluída",1,N(H749)))</f>
        <v/>
      </c>
      <c r="M749" s="13" t="str">
        <f aca="true">IF(C749="","",IF(G749="Concluída","Concluída",IF(AND(F749&lt;&gt;"",F749&lt;TODAY()),"Atrasada","No prazo")))</f>
        <v/>
      </c>
    </row>
    <row r="750" customFormat="false" ht="15" hidden="false" customHeight="false" outlineLevel="0" collapsed="false">
      <c r="A750" s="18"/>
      <c r="B750" s="18"/>
      <c r="C750" s="18"/>
      <c r="D750" s="18"/>
      <c r="E750" s="25"/>
      <c r="F750" s="25"/>
      <c r="G750" s="18"/>
      <c r="H750" s="26"/>
      <c r="I750" s="18"/>
      <c r="J750" s="18"/>
      <c r="K750" s="18"/>
      <c r="L750" s="27" t="str">
        <f aca="false">IF(C750="","",IF(G750="Concluída",1,N(H750)))</f>
        <v/>
      </c>
      <c r="M750" s="13" t="str">
        <f aca="true">IF(C750="","",IF(G750="Concluída","Concluída",IF(AND(F750&lt;&gt;"",F750&lt;TODAY()),"Atrasada","No prazo")))</f>
        <v/>
      </c>
    </row>
    <row r="751" customFormat="false" ht="15" hidden="false" customHeight="false" outlineLevel="0" collapsed="false">
      <c r="A751" s="18"/>
      <c r="B751" s="18"/>
      <c r="C751" s="18"/>
      <c r="D751" s="18"/>
      <c r="E751" s="25"/>
      <c r="F751" s="25"/>
      <c r="G751" s="18"/>
      <c r="H751" s="26"/>
      <c r="I751" s="18"/>
      <c r="J751" s="18"/>
      <c r="K751" s="18"/>
      <c r="L751" s="27" t="str">
        <f aca="false">IF(C751="","",IF(G751="Concluída",1,N(H751)))</f>
        <v/>
      </c>
      <c r="M751" s="13" t="str">
        <f aca="true">IF(C751="","",IF(G751="Concluída","Concluída",IF(AND(F751&lt;&gt;"",F751&lt;TODAY()),"Atrasada","No prazo")))</f>
        <v/>
      </c>
    </row>
    <row r="752" customFormat="false" ht="15" hidden="false" customHeight="false" outlineLevel="0" collapsed="false">
      <c r="A752" s="18"/>
      <c r="B752" s="18"/>
      <c r="C752" s="18"/>
      <c r="D752" s="18"/>
      <c r="E752" s="25"/>
      <c r="F752" s="25"/>
      <c r="G752" s="18"/>
      <c r="H752" s="26"/>
      <c r="I752" s="18"/>
      <c r="J752" s="18"/>
      <c r="K752" s="18"/>
      <c r="L752" s="27" t="str">
        <f aca="false">IF(C752="","",IF(G752="Concluída",1,N(H752)))</f>
        <v/>
      </c>
      <c r="M752" s="13" t="str">
        <f aca="true">IF(C752="","",IF(G752="Concluída","Concluída",IF(AND(F752&lt;&gt;"",F752&lt;TODAY()),"Atrasada","No prazo")))</f>
        <v/>
      </c>
    </row>
    <row r="753" customFormat="false" ht="15" hidden="false" customHeight="false" outlineLevel="0" collapsed="false">
      <c r="A753" s="18"/>
      <c r="B753" s="18"/>
      <c r="C753" s="18"/>
      <c r="D753" s="18"/>
      <c r="E753" s="25"/>
      <c r="F753" s="25"/>
      <c r="G753" s="18"/>
      <c r="H753" s="26"/>
      <c r="I753" s="18"/>
      <c r="J753" s="18"/>
      <c r="K753" s="18"/>
      <c r="L753" s="27" t="str">
        <f aca="false">IF(C753="","",IF(G753="Concluída",1,N(H753)))</f>
        <v/>
      </c>
      <c r="M753" s="13" t="str">
        <f aca="true">IF(C753="","",IF(G753="Concluída","Concluída",IF(AND(F753&lt;&gt;"",F753&lt;TODAY()),"Atrasada","No prazo")))</f>
        <v/>
      </c>
    </row>
    <row r="754" customFormat="false" ht="15" hidden="false" customHeight="false" outlineLevel="0" collapsed="false">
      <c r="A754" s="18"/>
      <c r="B754" s="18"/>
      <c r="C754" s="18"/>
      <c r="D754" s="18"/>
      <c r="E754" s="25"/>
      <c r="F754" s="25"/>
      <c r="G754" s="18"/>
      <c r="H754" s="26"/>
      <c r="I754" s="18"/>
      <c r="J754" s="18"/>
      <c r="K754" s="18"/>
      <c r="L754" s="27" t="str">
        <f aca="false">IF(C754="","",IF(G754="Concluída",1,N(H754)))</f>
        <v/>
      </c>
      <c r="M754" s="13" t="str">
        <f aca="true">IF(C754="","",IF(G754="Concluída","Concluída",IF(AND(F754&lt;&gt;"",F754&lt;TODAY()),"Atrasada","No prazo")))</f>
        <v/>
      </c>
    </row>
    <row r="755" customFormat="false" ht="15" hidden="false" customHeight="false" outlineLevel="0" collapsed="false">
      <c r="A755" s="18"/>
      <c r="B755" s="18"/>
      <c r="C755" s="18"/>
      <c r="D755" s="18"/>
      <c r="E755" s="25"/>
      <c r="F755" s="25"/>
      <c r="G755" s="18"/>
      <c r="H755" s="26"/>
      <c r="I755" s="18"/>
      <c r="J755" s="18"/>
      <c r="K755" s="18"/>
      <c r="L755" s="27" t="str">
        <f aca="false">IF(C755="","",IF(G755="Concluída",1,N(H755)))</f>
        <v/>
      </c>
      <c r="M755" s="13" t="str">
        <f aca="true">IF(C755="","",IF(G755="Concluída","Concluída",IF(AND(F755&lt;&gt;"",F755&lt;TODAY()),"Atrasada","No prazo")))</f>
        <v/>
      </c>
    </row>
    <row r="756" customFormat="false" ht="15" hidden="false" customHeight="false" outlineLevel="0" collapsed="false">
      <c r="A756" s="18"/>
      <c r="B756" s="18"/>
      <c r="C756" s="18"/>
      <c r="D756" s="18"/>
      <c r="E756" s="25"/>
      <c r="F756" s="25"/>
      <c r="G756" s="18"/>
      <c r="H756" s="26"/>
      <c r="I756" s="18"/>
      <c r="J756" s="18"/>
      <c r="K756" s="18"/>
      <c r="L756" s="27" t="str">
        <f aca="false">IF(C756="","",IF(G756="Concluída",1,N(H756)))</f>
        <v/>
      </c>
      <c r="M756" s="13" t="str">
        <f aca="true">IF(C756="","",IF(G756="Concluída","Concluída",IF(AND(F756&lt;&gt;"",F756&lt;TODAY()),"Atrasada","No prazo")))</f>
        <v/>
      </c>
    </row>
    <row r="757" customFormat="false" ht="15" hidden="false" customHeight="false" outlineLevel="0" collapsed="false">
      <c r="A757" s="18"/>
      <c r="B757" s="18"/>
      <c r="C757" s="18"/>
      <c r="D757" s="18"/>
      <c r="E757" s="25"/>
      <c r="F757" s="25"/>
      <c r="G757" s="18"/>
      <c r="H757" s="26"/>
      <c r="I757" s="18"/>
      <c r="J757" s="18"/>
      <c r="K757" s="18"/>
      <c r="L757" s="27" t="str">
        <f aca="false">IF(C757="","",IF(G757="Concluída",1,N(H757)))</f>
        <v/>
      </c>
      <c r="M757" s="13" t="str">
        <f aca="true">IF(C757="","",IF(G757="Concluída","Concluída",IF(AND(F757&lt;&gt;"",F757&lt;TODAY()),"Atrasada","No prazo")))</f>
        <v/>
      </c>
    </row>
    <row r="758" customFormat="false" ht="15" hidden="false" customHeight="false" outlineLevel="0" collapsed="false">
      <c r="A758" s="18"/>
      <c r="B758" s="18"/>
      <c r="C758" s="18"/>
      <c r="D758" s="18"/>
      <c r="E758" s="25"/>
      <c r="F758" s="25"/>
      <c r="G758" s="18"/>
      <c r="H758" s="26"/>
      <c r="I758" s="18"/>
      <c r="J758" s="18"/>
      <c r="K758" s="18"/>
      <c r="L758" s="27" t="str">
        <f aca="false">IF(C758="","",IF(G758="Concluída",1,N(H758)))</f>
        <v/>
      </c>
      <c r="M758" s="13" t="str">
        <f aca="true">IF(C758="","",IF(G758="Concluída","Concluída",IF(AND(F758&lt;&gt;"",F758&lt;TODAY()),"Atrasada","No prazo")))</f>
        <v/>
      </c>
    </row>
    <row r="759" customFormat="false" ht="15" hidden="false" customHeight="false" outlineLevel="0" collapsed="false">
      <c r="A759" s="18"/>
      <c r="B759" s="18"/>
      <c r="C759" s="18"/>
      <c r="D759" s="18"/>
      <c r="E759" s="25"/>
      <c r="F759" s="25"/>
      <c r="G759" s="18"/>
      <c r="H759" s="26"/>
      <c r="I759" s="18"/>
      <c r="J759" s="18"/>
      <c r="K759" s="18"/>
      <c r="L759" s="27" t="str">
        <f aca="false">IF(C759="","",IF(G759="Concluída",1,N(H759)))</f>
        <v/>
      </c>
      <c r="M759" s="13" t="str">
        <f aca="true">IF(C759="","",IF(G759="Concluída","Concluída",IF(AND(F759&lt;&gt;"",F759&lt;TODAY()),"Atrasada","No prazo")))</f>
        <v/>
      </c>
    </row>
    <row r="760" customFormat="false" ht="15" hidden="false" customHeight="false" outlineLevel="0" collapsed="false">
      <c r="A760" s="18"/>
      <c r="B760" s="18"/>
      <c r="C760" s="18"/>
      <c r="D760" s="18"/>
      <c r="E760" s="25"/>
      <c r="F760" s="25"/>
      <c r="G760" s="18"/>
      <c r="H760" s="26"/>
      <c r="I760" s="18"/>
      <c r="J760" s="18"/>
      <c r="K760" s="18"/>
      <c r="L760" s="27" t="str">
        <f aca="false">IF(C760="","",IF(G760="Concluída",1,N(H760)))</f>
        <v/>
      </c>
      <c r="M760" s="13" t="str">
        <f aca="true">IF(C760="","",IF(G760="Concluída","Concluída",IF(AND(F760&lt;&gt;"",F760&lt;TODAY()),"Atrasada","No prazo")))</f>
        <v/>
      </c>
    </row>
    <row r="761" customFormat="false" ht="15" hidden="false" customHeight="false" outlineLevel="0" collapsed="false">
      <c r="A761" s="18"/>
      <c r="B761" s="18"/>
      <c r="C761" s="18"/>
      <c r="D761" s="18"/>
      <c r="E761" s="25"/>
      <c r="F761" s="25"/>
      <c r="G761" s="18"/>
      <c r="H761" s="26"/>
      <c r="I761" s="18"/>
      <c r="J761" s="18"/>
      <c r="K761" s="18"/>
      <c r="L761" s="27" t="str">
        <f aca="false">IF(C761="","",IF(G761="Concluída",1,N(H761)))</f>
        <v/>
      </c>
      <c r="M761" s="13" t="str">
        <f aca="true">IF(C761="","",IF(G761="Concluída","Concluída",IF(AND(F761&lt;&gt;"",F761&lt;TODAY()),"Atrasada","No prazo")))</f>
        <v/>
      </c>
    </row>
    <row r="762" customFormat="false" ht="15" hidden="false" customHeight="false" outlineLevel="0" collapsed="false">
      <c r="A762" s="18"/>
      <c r="B762" s="18"/>
      <c r="C762" s="18"/>
      <c r="D762" s="18"/>
      <c r="E762" s="25"/>
      <c r="F762" s="25"/>
      <c r="G762" s="18"/>
      <c r="H762" s="26"/>
      <c r="I762" s="18"/>
      <c r="J762" s="18"/>
      <c r="K762" s="18"/>
      <c r="L762" s="27" t="str">
        <f aca="false">IF(C762="","",IF(G762="Concluída",1,N(H762)))</f>
        <v/>
      </c>
      <c r="M762" s="13" t="str">
        <f aca="true">IF(C762="","",IF(G762="Concluída","Concluída",IF(AND(F762&lt;&gt;"",F762&lt;TODAY()),"Atrasada","No prazo")))</f>
        <v/>
      </c>
    </row>
    <row r="763" customFormat="false" ht="15" hidden="false" customHeight="false" outlineLevel="0" collapsed="false">
      <c r="A763" s="18"/>
      <c r="B763" s="18"/>
      <c r="C763" s="18"/>
      <c r="D763" s="18"/>
      <c r="E763" s="25"/>
      <c r="F763" s="25"/>
      <c r="G763" s="18"/>
      <c r="H763" s="26"/>
      <c r="I763" s="18"/>
      <c r="J763" s="18"/>
      <c r="K763" s="18"/>
      <c r="L763" s="27" t="str">
        <f aca="false">IF(C763="","",IF(G763="Concluída",1,N(H763)))</f>
        <v/>
      </c>
      <c r="M763" s="13" t="str">
        <f aca="true">IF(C763="","",IF(G763="Concluída","Concluída",IF(AND(F763&lt;&gt;"",F763&lt;TODAY()),"Atrasada","No prazo")))</f>
        <v/>
      </c>
    </row>
    <row r="764" customFormat="false" ht="15" hidden="false" customHeight="false" outlineLevel="0" collapsed="false">
      <c r="A764" s="18"/>
      <c r="B764" s="18"/>
      <c r="C764" s="18"/>
      <c r="D764" s="18"/>
      <c r="E764" s="25"/>
      <c r="F764" s="25"/>
      <c r="G764" s="18"/>
      <c r="H764" s="26"/>
      <c r="I764" s="18"/>
      <c r="J764" s="18"/>
      <c r="K764" s="18"/>
      <c r="L764" s="27" t="str">
        <f aca="false">IF(C764="","",IF(G764="Concluída",1,N(H764)))</f>
        <v/>
      </c>
      <c r="M764" s="13" t="str">
        <f aca="true">IF(C764="","",IF(G764="Concluída","Concluída",IF(AND(F764&lt;&gt;"",F764&lt;TODAY()),"Atrasada","No prazo")))</f>
        <v/>
      </c>
    </row>
    <row r="765" customFormat="false" ht="15" hidden="false" customHeight="false" outlineLevel="0" collapsed="false">
      <c r="A765" s="18"/>
      <c r="B765" s="18"/>
      <c r="C765" s="18"/>
      <c r="D765" s="18"/>
      <c r="E765" s="25"/>
      <c r="F765" s="25"/>
      <c r="G765" s="18"/>
      <c r="H765" s="26"/>
      <c r="I765" s="18"/>
      <c r="J765" s="18"/>
      <c r="K765" s="18"/>
      <c r="L765" s="27" t="str">
        <f aca="false">IF(C765="","",IF(G765="Concluída",1,N(H765)))</f>
        <v/>
      </c>
      <c r="M765" s="13" t="str">
        <f aca="true">IF(C765="","",IF(G765="Concluída","Concluída",IF(AND(F765&lt;&gt;"",F765&lt;TODAY()),"Atrasada","No prazo")))</f>
        <v/>
      </c>
    </row>
    <row r="766" customFormat="false" ht="15" hidden="false" customHeight="false" outlineLevel="0" collapsed="false">
      <c r="A766" s="18"/>
      <c r="B766" s="18"/>
      <c r="C766" s="18"/>
      <c r="D766" s="18"/>
      <c r="E766" s="25"/>
      <c r="F766" s="25"/>
      <c r="G766" s="18"/>
      <c r="H766" s="26"/>
      <c r="I766" s="18"/>
      <c r="J766" s="18"/>
      <c r="K766" s="18"/>
      <c r="L766" s="27" t="str">
        <f aca="false">IF(C766="","",IF(G766="Concluída",1,N(H766)))</f>
        <v/>
      </c>
      <c r="M766" s="13" t="str">
        <f aca="true">IF(C766="","",IF(G766="Concluída","Concluída",IF(AND(F766&lt;&gt;"",F766&lt;TODAY()),"Atrasada","No prazo")))</f>
        <v/>
      </c>
    </row>
    <row r="767" customFormat="false" ht="15" hidden="false" customHeight="false" outlineLevel="0" collapsed="false">
      <c r="A767" s="18"/>
      <c r="B767" s="18"/>
      <c r="C767" s="18"/>
      <c r="D767" s="18"/>
      <c r="E767" s="25"/>
      <c r="F767" s="25"/>
      <c r="G767" s="18"/>
      <c r="H767" s="26"/>
      <c r="I767" s="18"/>
      <c r="J767" s="18"/>
      <c r="K767" s="18"/>
      <c r="L767" s="27" t="str">
        <f aca="false">IF(C767="","",IF(G767="Concluída",1,N(H767)))</f>
        <v/>
      </c>
      <c r="M767" s="13" t="str">
        <f aca="true">IF(C767="","",IF(G767="Concluída","Concluída",IF(AND(F767&lt;&gt;"",F767&lt;TODAY()),"Atrasada","No prazo")))</f>
        <v/>
      </c>
    </row>
    <row r="768" customFormat="false" ht="15" hidden="false" customHeight="false" outlineLevel="0" collapsed="false">
      <c r="A768" s="18"/>
      <c r="B768" s="18"/>
      <c r="C768" s="18"/>
      <c r="D768" s="18"/>
      <c r="E768" s="25"/>
      <c r="F768" s="25"/>
      <c r="G768" s="18"/>
      <c r="H768" s="26"/>
      <c r="I768" s="18"/>
      <c r="J768" s="18"/>
      <c r="K768" s="18"/>
      <c r="L768" s="27" t="str">
        <f aca="false">IF(C768="","",IF(G768="Concluída",1,N(H768)))</f>
        <v/>
      </c>
      <c r="M768" s="13" t="str">
        <f aca="true">IF(C768="","",IF(G768="Concluída","Concluída",IF(AND(F768&lt;&gt;"",F768&lt;TODAY()),"Atrasada","No prazo")))</f>
        <v/>
      </c>
    </row>
    <row r="769" customFormat="false" ht="15" hidden="false" customHeight="false" outlineLevel="0" collapsed="false">
      <c r="A769" s="18"/>
      <c r="B769" s="18"/>
      <c r="C769" s="18"/>
      <c r="D769" s="18"/>
      <c r="E769" s="25"/>
      <c r="F769" s="25"/>
      <c r="G769" s="18"/>
      <c r="H769" s="26"/>
      <c r="I769" s="18"/>
      <c r="J769" s="18"/>
      <c r="K769" s="18"/>
      <c r="L769" s="27" t="str">
        <f aca="false">IF(C769="","",IF(G769="Concluída",1,N(H769)))</f>
        <v/>
      </c>
      <c r="M769" s="13" t="str">
        <f aca="true">IF(C769="","",IF(G769="Concluída","Concluída",IF(AND(F769&lt;&gt;"",F769&lt;TODAY()),"Atrasada","No prazo")))</f>
        <v/>
      </c>
    </row>
    <row r="770" customFormat="false" ht="15" hidden="false" customHeight="false" outlineLevel="0" collapsed="false">
      <c r="A770" s="18"/>
      <c r="B770" s="18"/>
      <c r="C770" s="18"/>
      <c r="D770" s="18"/>
      <c r="E770" s="25"/>
      <c r="F770" s="25"/>
      <c r="G770" s="18"/>
      <c r="H770" s="26"/>
      <c r="I770" s="18"/>
      <c r="J770" s="18"/>
      <c r="K770" s="18"/>
      <c r="L770" s="27" t="str">
        <f aca="false">IF(C770="","",IF(G770="Concluída",1,N(H770)))</f>
        <v/>
      </c>
      <c r="M770" s="13" t="str">
        <f aca="true">IF(C770="","",IF(G770="Concluída","Concluída",IF(AND(F770&lt;&gt;"",F770&lt;TODAY()),"Atrasada","No prazo")))</f>
        <v/>
      </c>
    </row>
    <row r="771" customFormat="false" ht="15" hidden="false" customHeight="false" outlineLevel="0" collapsed="false">
      <c r="A771" s="18"/>
      <c r="B771" s="18"/>
      <c r="C771" s="18"/>
      <c r="D771" s="18"/>
      <c r="E771" s="25"/>
      <c r="F771" s="25"/>
      <c r="G771" s="18"/>
      <c r="H771" s="26"/>
      <c r="I771" s="18"/>
      <c r="J771" s="18"/>
      <c r="K771" s="18"/>
      <c r="L771" s="27" t="str">
        <f aca="false">IF(C771="","",IF(G771="Concluída",1,N(H771)))</f>
        <v/>
      </c>
      <c r="M771" s="13" t="str">
        <f aca="true">IF(C771="","",IF(G771="Concluída","Concluída",IF(AND(F771&lt;&gt;"",F771&lt;TODAY()),"Atrasada","No prazo")))</f>
        <v/>
      </c>
    </row>
    <row r="772" customFormat="false" ht="15" hidden="false" customHeight="false" outlineLevel="0" collapsed="false">
      <c r="A772" s="18"/>
      <c r="B772" s="18"/>
      <c r="C772" s="18"/>
      <c r="D772" s="18"/>
      <c r="E772" s="25"/>
      <c r="F772" s="25"/>
      <c r="G772" s="18"/>
      <c r="H772" s="26"/>
      <c r="I772" s="18"/>
      <c r="J772" s="18"/>
      <c r="K772" s="18"/>
      <c r="L772" s="27" t="str">
        <f aca="false">IF(C772="","",IF(G772="Concluída",1,N(H772)))</f>
        <v/>
      </c>
      <c r="M772" s="13" t="str">
        <f aca="true">IF(C772="","",IF(G772="Concluída","Concluída",IF(AND(F772&lt;&gt;"",F772&lt;TODAY()),"Atrasada","No prazo")))</f>
        <v/>
      </c>
    </row>
    <row r="773" customFormat="false" ht="15" hidden="false" customHeight="false" outlineLevel="0" collapsed="false">
      <c r="A773" s="18"/>
      <c r="B773" s="18"/>
      <c r="C773" s="18"/>
      <c r="D773" s="18"/>
      <c r="E773" s="25"/>
      <c r="F773" s="25"/>
      <c r="G773" s="18"/>
      <c r="H773" s="26"/>
      <c r="I773" s="18"/>
      <c r="J773" s="18"/>
      <c r="K773" s="18"/>
      <c r="L773" s="27" t="str">
        <f aca="false">IF(C773="","",IF(G773="Concluída",1,N(H773)))</f>
        <v/>
      </c>
      <c r="M773" s="13" t="str">
        <f aca="true">IF(C773="","",IF(G773="Concluída","Concluída",IF(AND(F773&lt;&gt;"",F773&lt;TODAY()),"Atrasada","No prazo")))</f>
        <v/>
      </c>
    </row>
    <row r="774" customFormat="false" ht="15" hidden="false" customHeight="false" outlineLevel="0" collapsed="false">
      <c r="A774" s="18"/>
      <c r="B774" s="18"/>
      <c r="C774" s="18"/>
      <c r="D774" s="18"/>
      <c r="E774" s="25"/>
      <c r="F774" s="25"/>
      <c r="G774" s="18"/>
      <c r="H774" s="26"/>
      <c r="I774" s="18"/>
      <c r="J774" s="18"/>
      <c r="K774" s="18"/>
      <c r="L774" s="27" t="str">
        <f aca="false">IF(C774="","",IF(G774="Concluída",1,N(H774)))</f>
        <v/>
      </c>
      <c r="M774" s="13" t="str">
        <f aca="true">IF(C774="","",IF(G774="Concluída","Concluída",IF(AND(F774&lt;&gt;"",F774&lt;TODAY()),"Atrasada","No prazo")))</f>
        <v/>
      </c>
    </row>
    <row r="775" customFormat="false" ht="15" hidden="false" customHeight="false" outlineLevel="0" collapsed="false">
      <c r="A775" s="18"/>
      <c r="B775" s="18"/>
      <c r="C775" s="18"/>
      <c r="D775" s="18"/>
      <c r="E775" s="25"/>
      <c r="F775" s="25"/>
      <c r="G775" s="18"/>
      <c r="H775" s="26"/>
      <c r="I775" s="18"/>
      <c r="J775" s="18"/>
      <c r="K775" s="18"/>
      <c r="L775" s="27" t="str">
        <f aca="false">IF(C775="","",IF(G775="Concluída",1,N(H775)))</f>
        <v/>
      </c>
      <c r="M775" s="13" t="str">
        <f aca="true">IF(C775="","",IF(G775="Concluída","Concluída",IF(AND(F775&lt;&gt;"",F775&lt;TODAY()),"Atrasada","No prazo")))</f>
        <v/>
      </c>
    </row>
    <row r="776" customFormat="false" ht="15" hidden="false" customHeight="false" outlineLevel="0" collapsed="false">
      <c r="A776" s="18"/>
      <c r="B776" s="18"/>
      <c r="C776" s="18"/>
      <c r="D776" s="18"/>
      <c r="E776" s="25"/>
      <c r="F776" s="25"/>
      <c r="G776" s="18"/>
      <c r="H776" s="26"/>
      <c r="I776" s="18"/>
      <c r="J776" s="18"/>
      <c r="K776" s="18"/>
      <c r="L776" s="27" t="str">
        <f aca="false">IF(C776="","",IF(G776="Concluída",1,N(H776)))</f>
        <v/>
      </c>
      <c r="M776" s="13" t="str">
        <f aca="true">IF(C776="","",IF(G776="Concluída","Concluída",IF(AND(F776&lt;&gt;"",F776&lt;TODAY()),"Atrasada","No prazo")))</f>
        <v/>
      </c>
    </row>
    <row r="777" customFormat="false" ht="15" hidden="false" customHeight="false" outlineLevel="0" collapsed="false">
      <c r="A777" s="18"/>
      <c r="B777" s="18"/>
      <c r="C777" s="18"/>
      <c r="D777" s="18"/>
      <c r="E777" s="25"/>
      <c r="F777" s="25"/>
      <c r="G777" s="18"/>
      <c r="H777" s="26"/>
      <c r="I777" s="18"/>
      <c r="J777" s="18"/>
      <c r="K777" s="18"/>
      <c r="L777" s="27" t="str">
        <f aca="false">IF(C777="","",IF(G777="Concluída",1,N(H777)))</f>
        <v/>
      </c>
      <c r="M777" s="13" t="str">
        <f aca="true">IF(C777="","",IF(G777="Concluída","Concluída",IF(AND(F777&lt;&gt;"",F777&lt;TODAY()),"Atrasada","No prazo")))</f>
        <v/>
      </c>
    </row>
    <row r="778" customFormat="false" ht="15" hidden="false" customHeight="false" outlineLevel="0" collapsed="false">
      <c r="A778" s="18"/>
      <c r="B778" s="18"/>
      <c r="C778" s="18"/>
      <c r="D778" s="18"/>
      <c r="E778" s="25"/>
      <c r="F778" s="25"/>
      <c r="G778" s="18"/>
      <c r="H778" s="26"/>
      <c r="I778" s="18"/>
      <c r="J778" s="18"/>
      <c r="K778" s="18"/>
      <c r="L778" s="27" t="str">
        <f aca="false">IF(C778="","",IF(G778="Concluída",1,N(H778)))</f>
        <v/>
      </c>
      <c r="M778" s="13" t="str">
        <f aca="true">IF(C778="","",IF(G778="Concluída","Concluída",IF(AND(F778&lt;&gt;"",F778&lt;TODAY()),"Atrasada","No prazo")))</f>
        <v/>
      </c>
    </row>
    <row r="779" customFormat="false" ht="15" hidden="false" customHeight="false" outlineLevel="0" collapsed="false">
      <c r="A779" s="18"/>
      <c r="B779" s="18"/>
      <c r="C779" s="18"/>
      <c r="D779" s="18"/>
      <c r="E779" s="25"/>
      <c r="F779" s="25"/>
      <c r="G779" s="18"/>
      <c r="H779" s="26"/>
      <c r="I779" s="18"/>
      <c r="J779" s="18"/>
      <c r="K779" s="18"/>
      <c r="L779" s="27" t="str">
        <f aca="false">IF(C779="","",IF(G779="Concluída",1,N(H779)))</f>
        <v/>
      </c>
      <c r="M779" s="13" t="str">
        <f aca="true">IF(C779="","",IF(G779="Concluída","Concluída",IF(AND(F779&lt;&gt;"",F779&lt;TODAY()),"Atrasada","No prazo")))</f>
        <v/>
      </c>
    </row>
    <row r="780" customFormat="false" ht="15" hidden="false" customHeight="false" outlineLevel="0" collapsed="false">
      <c r="A780" s="18"/>
      <c r="B780" s="18"/>
      <c r="C780" s="18"/>
      <c r="D780" s="18"/>
      <c r="E780" s="25"/>
      <c r="F780" s="25"/>
      <c r="G780" s="18"/>
      <c r="H780" s="26"/>
      <c r="I780" s="18"/>
      <c r="J780" s="18"/>
      <c r="K780" s="18"/>
      <c r="L780" s="27" t="str">
        <f aca="false">IF(C780="","",IF(G780="Concluída",1,N(H780)))</f>
        <v/>
      </c>
      <c r="M780" s="13" t="str">
        <f aca="true">IF(C780="","",IF(G780="Concluída","Concluída",IF(AND(F780&lt;&gt;"",F780&lt;TODAY()),"Atrasada","No prazo")))</f>
        <v/>
      </c>
    </row>
    <row r="781" customFormat="false" ht="15" hidden="false" customHeight="false" outlineLevel="0" collapsed="false">
      <c r="A781" s="18"/>
      <c r="B781" s="18"/>
      <c r="C781" s="18"/>
      <c r="D781" s="18"/>
      <c r="E781" s="25"/>
      <c r="F781" s="25"/>
      <c r="G781" s="18"/>
      <c r="H781" s="26"/>
      <c r="I781" s="18"/>
      <c r="J781" s="18"/>
      <c r="K781" s="18"/>
      <c r="L781" s="27" t="str">
        <f aca="false">IF(C781="","",IF(G781="Concluída",1,N(H781)))</f>
        <v/>
      </c>
      <c r="M781" s="13" t="str">
        <f aca="true">IF(C781="","",IF(G781="Concluída","Concluída",IF(AND(F781&lt;&gt;"",F781&lt;TODAY()),"Atrasada","No prazo")))</f>
        <v/>
      </c>
    </row>
    <row r="782" customFormat="false" ht="15" hidden="false" customHeight="false" outlineLevel="0" collapsed="false">
      <c r="A782" s="18"/>
      <c r="B782" s="18"/>
      <c r="C782" s="18"/>
      <c r="D782" s="18"/>
      <c r="E782" s="25"/>
      <c r="F782" s="25"/>
      <c r="G782" s="18"/>
      <c r="H782" s="26"/>
      <c r="I782" s="18"/>
      <c r="J782" s="18"/>
      <c r="K782" s="18"/>
      <c r="L782" s="27" t="str">
        <f aca="false">IF(C782="","",IF(G782="Concluída",1,N(H782)))</f>
        <v/>
      </c>
      <c r="M782" s="13" t="str">
        <f aca="true">IF(C782="","",IF(G782="Concluída","Concluída",IF(AND(F782&lt;&gt;"",F782&lt;TODAY()),"Atrasada","No prazo")))</f>
        <v/>
      </c>
    </row>
    <row r="783" customFormat="false" ht="15" hidden="false" customHeight="false" outlineLevel="0" collapsed="false">
      <c r="A783" s="18"/>
      <c r="B783" s="18"/>
      <c r="C783" s="18"/>
      <c r="D783" s="18"/>
      <c r="E783" s="25"/>
      <c r="F783" s="25"/>
      <c r="G783" s="18"/>
      <c r="H783" s="26"/>
      <c r="I783" s="18"/>
      <c r="J783" s="18"/>
      <c r="K783" s="18"/>
      <c r="L783" s="27" t="str">
        <f aca="false">IF(C783="","",IF(G783="Concluída",1,N(H783)))</f>
        <v/>
      </c>
      <c r="M783" s="13" t="str">
        <f aca="true">IF(C783="","",IF(G783="Concluída","Concluída",IF(AND(F783&lt;&gt;"",F783&lt;TODAY()),"Atrasada","No prazo")))</f>
        <v/>
      </c>
    </row>
    <row r="784" customFormat="false" ht="15" hidden="false" customHeight="false" outlineLevel="0" collapsed="false">
      <c r="A784" s="18"/>
      <c r="B784" s="18"/>
      <c r="C784" s="18"/>
      <c r="D784" s="18"/>
      <c r="E784" s="25"/>
      <c r="F784" s="25"/>
      <c r="G784" s="18"/>
      <c r="H784" s="26"/>
      <c r="I784" s="18"/>
      <c r="J784" s="18"/>
      <c r="K784" s="18"/>
      <c r="L784" s="27" t="str">
        <f aca="false">IF(C784="","",IF(G784="Concluída",1,N(H784)))</f>
        <v/>
      </c>
      <c r="M784" s="13" t="str">
        <f aca="true">IF(C784="","",IF(G784="Concluída","Concluída",IF(AND(F784&lt;&gt;"",F784&lt;TODAY()),"Atrasada","No prazo")))</f>
        <v/>
      </c>
    </row>
    <row r="785" customFormat="false" ht="15" hidden="false" customHeight="false" outlineLevel="0" collapsed="false">
      <c r="A785" s="18"/>
      <c r="B785" s="18"/>
      <c r="C785" s="18"/>
      <c r="D785" s="18"/>
      <c r="E785" s="25"/>
      <c r="F785" s="25"/>
      <c r="G785" s="18"/>
      <c r="H785" s="26"/>
      <c r="I785" s="18"/>
      <c r="J785" s="18"/>
      <c r="K785" s="18"/>
      <c r="L785" s="27" t="str">
        <f aca="false">IF(C785="","",IF(G785="Concluída",1,N(H785)))</f>
        <v/>
      </c>
      <c r="M785" s="13" t="str">
        <f aca="true">IF(C785="","",IF(G785="Concluída","Concluída",IF(AND(F785&lt;&gt;"",F785&lt;TODAY()),"Atrasada","No prazo")))</f>
        <v/>
      </c>
    </row>
    <row r="786" customFormat="false" ht="15" hidden="false" customHeight="false" outlineLevel="0" collapsed="false">
      <c r="A786" s="18"/>
      <c r="B786" s="18"/>
      <c r="C786" s="18"/>
      <c r="D786" s="18"/>
      <c r="E786" s="25"/>
      <c r="F786" s="25"/>
      <c r="G786" s="18"/>
      <c r="H786" s="26"/>
      <c r="I786" s="18"/>
      <c r="J786" s="18"/>
      <c r="K786" s="18"/>
      <c r="L786" s="27" t="str">
        <f aca="false">IF(C786="","",IF(G786="Concluída",1,N(H786)))</f>
        <v/>
      </c>
      <c r="M786" s="13" t="str">
        <f aca="true">IF(C786="","",IF(G786="Concluída","Concluída",IF(AND(F786&lt;&gt;"",F786&lt;TODAY()),"Atrasada","No prazo")))</f>
        <v/>
      </c>
    </row>
    <row r="787" customFormat="false" ht="15" hidden="false" customHeight="false" outlineLevel="0" collapsed="false">
      <c r="A787" s="18"/>
      <c r="B787" s="18"/>
      <c r="C787" s="18"/>
      <c r="D787" s="18"/>
      <c r="E787" s="25"/>
      <c r="F787" s="25"/>
      <c r="G787" s="18"/>
      <c r="H787" s="26"/>
      <c r="I787" s="18"/>
      <c r="J787" s="18"/>
      <c r="K787" s="18"/>
      <c r="L787" s="27" t="str">
        <f aca="false">IF(C787="","",IF(G787="Concluída",1,N(H787)))</f>
        <v/>
      </c>
      <c r="M787" s="13" t="str">
        <f aca="true">IF(C787="","",IF(G787="Concluída","Concluída",IF(AND(F787&lt;&gt;"",F787&lt;TODAY()),"Atrasada","No prazo")))</f>
        <v/>
      </c>
    </row>
    <row r="788" customFormat="false" ht="15" hidden="false" customHeight="false" outlineLevel="0" collapsed="false">
      <c r="A788" s="18"/>
      <c r="B788" s="18"/>
      <c r="C788" s="18"/>
      <c r="D788" s="18"/>
      <c r="E788" s="25"/>
      <c r="F788" s="25"/>
      <c r="G788" s="18"/>
      <c r="H788" s="26"/>
      <c r="I788" s="18"/>
      <c r="J788" s="18"/>
      <c r="K788" s="18"/>
      <c r="L788" s="27" t="str">
        <f aca="false">IF(C788="","",IF(G788="Concluída",1,N(H788)))</f>
        <v/>
      </c>
      <c r="M788" s="13" t="str">
        <f aca="true">IF(C788="","",IF(G788="Concluída","Concluída",IF(AND(F788&lt;&gt;"",F788&lt;TODAY()),"Atrasada","No prazo")))</f>
        <v/>
      </c>
    </row>
    <row r="789" customFormat="false" ht="15" hidden="false" customHeight="false" outlineLevel="0" collapsed="false">
      <c r="A789" s="18"/>
      <c r="B789" s="18"/>
      <c r="C789" s="18"/>
      <c r="D789" s="18"/>
      <c r="E789" s="25"/>
      <c r="F789" s="25"/>
      <c r="G789" s="18"/>
      <c r="H789" s="26"/>
      <c r="I789" s="18"/>
      <c r="J789" s="18"/>
      <c r="K789" s="18"/>
      <c r="L789" s="27" t="str">
        <f aca="false">IF(C789="","",IF(G789="Concluída",1,N(H789)))</f>
        <v/>
      </c>
      <c r="M789" s="13" t="str">
        <f aca="true">IF(C789="","",IF(G789="Concluída","Concluída",IF(AND(F789&lt;&gt;"",F789&lt;TODAY()),"Atrasada","No prazo")))</f>
        <v/>
      </c>
    </row>
    <row r="790" customFormat="false" ht="15" hidden="false" customHeight="false" outlineLevel="0" collapsed="false">
      <c r="A790" s="18"/>
      <c r="B790" s="18"/>
      <c r="C790" s="18"/>
      <c r="D790" s="18"/>
      <c r="E790" s="25"/>
      <c r="F790" s="25"/>
      <c r="G790" s="18"/>
      <c r="H790" s="26"/>
      <c r="I790" s="18"/>
      <c r="J790" s="18"/>
      <c r="K790" s="18"/>
      <c r="L790" s="27" t="str">
        <f aca="false">IF(C790="","",IF(G790="Concluída",1,N(H790)))</f>
        <v/>
      </c>
      <c r="M790" s="13" t="str">
        <f aca="true">IF(C790="","",IF(G790="Concluída","Concluída",IF(AND(F790&lt;&gt;"",F790&lt;TODAY()),"Atrasada","No prazo")))</f>
        <v/>
      </c>
    </row>
    <row r="791" customFormat="false" ht="15" hidden="false" customHeight="false" outlineLevel="0" collapsed="false">
      <c r="A791" s="18"/>
      <c r="B791" s="18"/>
      <c r="C791" s="18"/>
      <c r="D791" s="18"/>
      <c r="E791" s="25"/>
      <c r="F791" s="25"/>
      <c r="G791" s="18"/>
      <c r="H791" s="26"/>
      <c r="I791" s="18"/>
      <c r="J791" s="18"/>
      <c r="K791" s="18"/>
      <c r="L791" s="27" t="str">
        <f aca="false">IF(C791="","",IF(G791="Concluída",1,N(H791)))</f>
        <v/>
      </c>
      <c r="M791" s="13" t="str">
        <f aca="true">IF(C791="","",IF(G791="Concluída","Concluída",IF(AND(F791&lt;&gt;"",F791&lt;TODAY()),"Atrasada","No prazo")))</f>
        <v/>
      </c>
    </row>
    <row r="792" customFormat="false" ht="15" hidden="false" customHeight="false" outlineLevel="0" collapsed="false">
      <c r="A792" s="18"/>
      <c r="B792" s="18"/>
      <c r="C792" s="18"/>
      <c r="D792" s="18"/>
      <c r="E792" s="25"/>
      <c r="F792" s="25"/>
      <c r="G792" s="18"/>
      <c r="H792" s="26"/>
      <c r="I792" s="18"/>
      <c r="J792" s="18"/>
      <c r="K792" s="18"/>
      <c r="L792" s="27" t="str">
        <f aca="false">IF(C792="","",IF(G792="Concluída",1,N(H792)))</f>
        <v/>
      </c>
      <c r="M792" s="13" t="str">
        <f aca="true">IF(C792="","",IF(G792="Concluída","Concluída",IF(AND(F792&lt;&gt;"",F792&lt;TODAY()),"Atrasada","No prazo")))</f>
        <v/>
      </c>
    </row>
    <row r="793" customFormat="false" ht="15" hidden="false" customHeight="false" outlineLevel="0" collapsed="false">
      <c r="A793" s="18"/>
      <c r="B793" s="18"/>
      <c r="C793" s="18"/>
      <c r="D793" s="18"/>
      <c r="E793" s="25"/>
      <c r="F793" s="25"/>
      <c r="G793" s="18"/>
      <c r="H793" s="26"/>
      <c r="I793" s="18"/>
      <c r="J793" s="18"/>
      <c r="K793" s="18"/>
      <c r="L793" s="27" t="str">
        <f aca="false">IF(C793="","",IF(G793="Concluída",1,N(H793)))</f>
        <v/>
      </c>
      <c r="M793" s="13" t="str">
        <f aca="true">IF(C793="","",IF(G793="Concluída","Concluída",IF(AND(F793&lt;&gt;"",F793&lt;TODAY()),"Atrasada","No prazo")))</f>
        <v/>
      </c>
    </row>
    <row r="794" customFormat="false" ht="15" hidden="false" customHeight="false" outlineLevel="0" collapsed="false">
      <c r="A794" s="18"/>
      <c r="B794" s="18"/>
      <c r="C794" s="18"/>
      <c r="D794" s="18"/>
      <c r="E794" s="25"/>
      <c r="F794" s="25"/>
      <c r="G794" s="18"/>
      <c r="H794" s="26"/>
      <c r="I794" s="18"/>
      <c r="J794" s="18"/>
      <c r="K794" s="18"/>
      <c r="L794" s="27" t="str">
        <f aca="false">IF(C794="","",IF(G794="Concluída",1,N(H794)))</f>
        <v/>
      </c>
      <c r="M794" s="13" t="str">
        <f aca="true">IF(C794="","",IF(G794="Concluída","Concluída",IF(AND(F794&lt;&gt;"",F794&lt;TODAY()),"Atrasada","No prazo")))</f>
        <v/>
      </c>
    </row>
    <row r="795" customFormat="false" ht="15" hidden="false" customHeight="false" outlineLevel="0" collapsed="false">
      <c r="A795" s="18"/>
      <c r="B795" s="18"/>
      <c r="C795" s="18"/>
      <c r="D795" s="18"/>
      <c r="E795" s="25"/>
      <c r="F795" s="25"/>
      <c r="G795" s="18"/>
      <c r="H795" s="26"/>
      <c r="I795" s="18"/>
      <c r="J795" s="18"/>
      <c r="K795" s="18"/>
      <c r="L795" s="27" t="str">
        <f aca="false">IF(C795="","",IF(G795="Concluída",1,N(H795)))</f>
        <v/>
      </c>
      <c r="M795" s="13" t="str">
        <f aca="true">IF(C795="","",IF(G795="Concluída","Concluída",IF(AND(F795&lt;&gt;"",F795&lt;TODAY()),"Atrasada","No prazo")))</f>
        <v/>
      </c>
    </row>
    <row r="796" customFormat="false" ht="15" hidden="false" customHeight="false" outlineLevel="0" collapsed="false">
      <c r="A796" s="18"/>
      <c r="B796" s="18"/>
      <c r="C796" s="18"/>
      <c r="D796" s="18"/>
      <c r="E796" s="25"/>
      <c r="F796" s="25"/>
      <c r="G796" s="18"/>
      <c r="H796" s="26"/>
      <c r="I796" s="18"/>
      <c r="J796" s="18"/>
      <c r="K796" s="18"/>
      <c r="L796" s="27" t="str">
        <f aca="false">IF(C796="","",IF(G796="Concluída",1,N(H796)))</f>
        <v/>
      </c>
      <c r="M796" s="13" t="str">
        <f aca="true">IF(C796="","",IF(G796="Concluída","Concluída",IF(AND(F796&lt;&gt;"",F796&lt;TODAY()),"Atrasada","No prazo")))</f>
        <v/>
      </c>
    </row>
    <row r="797" customFormat="false" ht="15" hidden="false" customHeight="false" outlineLevel="0" collapsed="false">
      <c r="A797" s="18"/>
      <c r="B797" s="18"/>
      <c r="C797" s="18"/>
      <c r="D797" s="18"/>
      <c r="E797" s="25"/>
      <c r="F797" s="25"/>
      <c r="G797" s="18"/>
      <c r="H797" s="26"/>
      <c r="I797" s="18"/>
      <c r="J797" s="18"/>
      <c r="K797" s="18"/>
      <c r="L797" s="27" t="str">
        <f aca="false">IF(C797="","",IF(G797="Concluída",1,N(H797)))</f>
        <v/>
      </c>
      <c r="M797" s="13" t="str">
        <f aca="true">IF(C797="","",IF(G797="Concluída","Concluída",IF(AND(F797&lt;&gt;"",F797&lt;TODAY()),"Atrasada","No prazo")))</f>
        <v/>
      </c>
    </row>
    <row r="798" customFormat="false" ht="15" hidden="false" customHeight="false" outlineLevel="0" collapsed="false">
      <c r="A798" s="18"/>
      <c r="B798" s="18"/>
      <c r="C798" s="18"/>
      <c r="D798" s="18"/>
      <c r="E798" s="25"/>
      <c r="F798" s="25"/>
      <c r="G798" s="18"/>
      <c r="H798" s="26"/>
      <c r="I798" s="18"/>
      <c r="J798" s="18"/>
      <c r="K798" s="18"/>
      <c r="L798" s="27" t="str">
        <f aca="false">IF(C798="","",IF(G798="Concluída",1,N(H798)))</f>
        <v/>
      </c>
      <c r="M798" s="13" t="str">
        <f aca="true">IF(C798="","",IF(G798="Concluída","Concluída",IF(AND(F798&lt;&gt;"",F798&lt;TODAY()),"Atrasada","No prazo")))</f>
        <v/>
      </c>
    </row>
    <row r="799" customFormat="false" ht="15" hidden="false" customHeight="false" outlineLevel="0" collapsed="false">
      <c r="A799" s="18"/>
      <c r="B799" s="18"/>
      <c r="C799" s="18"/>
      <c r="D799" s="18"/>
      <c r="E799" s="25"/>
      <c r="F799" s="25"/>
      <c r="G799" s="18"/>
      <c r="H799" s="26"/>
      <c r="I799" s="18"/>
      <c r="J799" s="18"/>
      <c r="K799" s="18"/>
      <c r="L799" s="27" t="str">
        <f aca="false">IF(C799="","",IF(G799="Concluída",1,N(H799)))</f>
        <v/>
      </c>
      <c r="M799" s="13" t="str">
        <f aca="true">IF(C799="","",IF(G799="Concluída","Concluída",IF(AND(F799&lt;&gt;"",F799&lt;TODAY()),"Atrasada","No prazo")))</f>
        <v/>
      </c>
    </row>
    <row r="800" customFormat="false" ht="15" hidden="false" customHeight="false" outlineLevel="0" collapsed="false">
      <c r="A800" s="18"/>
      <c r="B800" s="18"/>
      <c r="C800" s="18"/>
      <c r="D800" s="18"/>
      <c r="E800" s="25"/>
      <c r="F800" s="25"/>
      <c r="G800" s="18"/>
      <c r="H800" s="26"/>
      <c r="I800" s="18"/>
      <c r="J800" s="18"/>
      <c r="K800" s="18"/>
      <c r="L800" s="27" t="str">
        <f aca="false">IF(C800="","",IF(G800="Concluída",1,N(H800)))</f>
        <v/>
      </c>
      <c r="M800" s="13" t="str">
        <f aca="true">IF(C800="","",IF(G800="Concluída","Concluída",IF(AND(F800&lt;&gt;"",F800&lt;TODAY()),"Atrasada","No prazo")))</f>
        <v/>
      </c>
    </row>
    <row r="801" customFormat="false" ht="15" hidden="false" customHeight="false" outlineLevel="0" collapsed="false">
      <c r="A801" s="18"/>
      <c r="B801" s="18"/>
      <c r="C801" s="18"/>
      <c r="D801" s="18"/>
      <c r="E801" s="25"/>
      <c r="F801" s="25"/>
      <c r="G801" s="18"/>
      <c r="H801" s="26"/>
      <c r="I801" s="18"/>
      <c r="J801" s="18"/>
      <c r="K801" s="18"/>
      <c r="L801" s="27" t="str">
        <f aca="false">IF(C801="","",IF(G801="Concluída",1,N(H801)))</f>
        <v/>
      </c>
      <c r="M801" s="13" t="str">
        <f aca="true">IF(C801="","",IF(G801="Concluída","Concluída",IF(AND(F801&lt;&gt;"",F801&lt;TODAY()),"Atrasada","No prazo")))</f>
        <v/>
      </c>
    </row>
    <row r="802" customFormat="false" ht="15" hidden="false" customHeight="false" outlineLevel="0" collapsed="false">
      <c r="A802" s="18"/>
      <c r="B802" s="18"/>
      <c r="C802" s="18"/>
      <c r="D802" s="18"/>
      <c r="E802" s="25"/>
      <c r="F802" s="25"/>
      <c r="G802" s="18"/>
      <c r="H802" s="26"/>
      <c r="I802" s="18"/>
      <c r="J802" s="18"/>
      <c r="K802" s="18"/>
      <c r="L802" s="27" t="str">
        <f aca="false">IF(C802="","",IF(G802="Concluída",1,N(H802)))</f>
        <v/>
      </c>
      <c r="M802" s="13" t="str">
        <f aca="true">IF(C802="","",IF(G802="Concluída","Concluída",IF(AND(F802&lt;&gt;"",F802&lt;TODAY()),"Atrasada","No prazo")))</f>
        <v/>
      </c>
    </row>
    <row r="803" customFormat="false" ht="15" hidden="false" customHeight="false" outlineLevel="0" collapsed="false">
      <c r="A803" s="18"/>
      <c r="B803" s="18"/>
      <c r="C803" s="18"/>
      <c r="D803" s="18"/>
      <c r="E803" s="25"/>
      <c r="F803" s="25"/>
      <c r="G803" s="18"/>
      <c r="H803" s="26"/>
      <c r="I803" s="18"/>
      <c r="J803" s="18"/>
      <c r="K803" s="18"/>
      <c r="L803" s="27" t="str">
        <f aca="false">IF(C803="","",IF(G803="Concluída",1,N(H803)))</f>
        <v/>
      </c>
      <c r="M803" s="13" t="str">
        <f aca="true">IF(C803="","",IF(G803="Concluída","Concluída",IF(AND(F803&lt;&gt;"",F803&lt;TODAY()),"Atrasada","No prazo")))</f>
        <v/>
      </c>
    </row>
    <row r="804" customFormat="false" ht="15" hidden="false" customHeight="false" outlineLevel="0" collapsed="false">
      <c r="A804" s="18"/>
      <c r="B804" s="18"/>
      <c r="C804" s="18"/>
      <c r="D804" s="18"/>
      <c r="E804" s="25"/>
      <c r="F804" s="25"/>
      <c r="G804" s="18"/>
      <c r="H804" s="26"/>
      <c r="I804" s="18"/>
      <c r="J804" s="18"/>
      <c r="K804" s="18"/>
      <c r="L804" s="27" t="str">
        <f aca="false">IF(C804="","",IF(G804="Concluída",1,N(H804)))</f>
        <v/>
      </c>
      <c r="M804" s="13" t="str">
        <f aca="true">IF(C804="","",IF(G804="Concluída","Concluída",IF(AND(F804&lt;&gt;"",F804&lt;TODAY()),"Atrasada","No prazo")))</f>
        <v/>
      </c>
    </row>
    <row r="805" customFormat="false" ht="15" hidden="false" customHeight="false" outlineLevel="0" collapsed="false">
      <c r="A805" s="18"/>
      <c r="B805" s="18"/>
      <c r="C805" s="18"/>
      <c r="D805" s="18"/>
      <c r="E805" s="25"/>
      <c r="F805" s="25"/>
      <c r="G805" s="18"/>
      <c r="H805" s="26"/>
      <c r="I805" s="18"/>
      <c r="J805" s="18"/>
      <c r="K805" s="18"/>
      <c r="L805" s="27" t="str">
        <f aca="false">IF(C805="","",IF(G805="Concluída",1,N(H805)))</f>
        <v/>
      </c>
      <c r="M805" s="13" t="str">
        <f aca="true">IF(C805="","",IF(G805="Concluída","Concluída",IF(AND(F805&lt;&gt;"",F805&lt;TODAY()),"Atrasada","No prazo")))</f>
        <v/>
      </c>
    </row>
    <row r="806" customFormat="false" ht="15" hidden="false" customHeight="false" outlineLevel="0" collapsed="false">
      <c r="A806" s="18"/>
      <c r="B806" s="18"/>
      <c r="C806" s="18"/>
      <c r="D806" s="18"/>
      <c r="E806" s="25"/>
      <c r="F806" s="25"/>
      <c r="G806" s="18"/>
      <c r="H806" s="26"/>
      <c r="I806" s="18"/>
      <c r="J806" s="18"/>
      <c r="K806" s="18"/>
      <c r="L806" s="27" t="str">
        <f aca="false">IF(C806="","",IF(G806="Concluída",1,N(H806)))</f>
        <v/>
      </c>
      <c r="M806" s="13" t="str">
        <f aca="true">IF(C806="","",IF(G806="Concluída","Concluída",IF(AND(F806&lt;&gt;"",F806&lt;TODAY()),"Atrasada","No prazo")))</f>
        <v/>
      </c>
    </row>
    <row r="807" customFormat="false" ht="15" hidden="false" customHeight="false" outlineLevel="0" collapsed="false">
      <c r="A807" s="18"/>
      <c r="B807" s="18"/>
      <c r="C807" s="18"/>
      <c r="D807" s="18"/>
      <c r="E807" s="25"/>
      <c r="F807" s="25"/>
      <c r="G807" s="18"/>
      <c r="H807" s="26"/>
      <c r="I807" s="18"/>
      <c r="J807" s="18"/>
      <c r="K807" s="18"/>
      <c r="L807" s="27" t="str">
        <f aca="false">IF(C807="","",IF(G807="Concluída",1,N(H807)))</f>
        <v/>
      </c>
      <c r="M807" s="13" t="str">
        <f aca="true">IF(C807="","",IF(G807="Concluída","Concluída",IF(AND(F807&lt;&gt;"",F807&lt;TODAY()),"Atrasada","No prazo")))</f>
        <v/>
      </c>
    </row>
    <row r="808" customFormat="false" ht="15" hidden="false" customHeight="false" outlineLevel="0" collapsed="false">
      <c r="A808" s="18"/>
      <c r="B808" s="18"/>
      <c r="C808" s="18"/>
      <c r="D808" s="18"/>
      <c r="E808" s="25"/>
      <c r="F808" s="25"/>
      <c r="G808" s="18"/>
      <c r="H808" s="26"/>
      <c r="I808" s="18"/>
      <c r="J808" s="18"/>
      <c r="K808" s="18"/>
      <c r="L808" s="27" t="str">
        <f aca="false">IF(C808="","",IF(G808="Concluída",1,N(H808)))</f>
        <v/>
      </c>
      <c r="M808" s="13" t="str">
        <f aca="true">IF(C808="","",IF(G808="Concluída","Concluída",IF(AND(F808&lt;&gt;"",F808&lt;TODAY()),"Atrasada","No prazo")))</f>
        <v/>
      </c>
    </row>
    <row r="809" customFormat="false" ht="15" hidden="false" customHeight="false" outlineLevel="0" collapsed="false">
      <c r="A809" s="18"/>
      <c r="B809" s="18"/>
      <c r="C809" s="18"/>
      <c r="D809" s="18"/>
      <c r="E809" s="25"/>
      <c r="F809" s="25"/>
      <c r="G809" s="18"/>
      <c r="H809" s="26"/>
      <c r="I809" s="18"/>
      <c r="J809" s="18"/>
      <c r="K809" s="18"/>
      <c r="L809" s="27" t="str">
        <f aca="false">IF(C809="","",IF(G809="Concluída",1,N(H809)))</f>
        <v/>
      </c>
      <c r="M809" s="13" t="str">
        <f aca="true">IF(C809="","",IF(G809="Concluída","Concluída",IF(AND(F809&lt;&gt;"",F809&lt;TODAY()),"Atrasada","No prazo")))</f>
        <v/>
      </c>
    </row>
    <row r="810" customFormat="false" ht="15" hidden="false" customHeight="false" outlineLevel="0" collapsed="false">
      <c r="A810" s="18"/>
      <c r="B810" s="18"/>
      <c r="C810" s="18"/>
      <c r="D810" s="18"/>
      <c r="E810" s="25"/>
      <c r="F810" s="25"/>
      <c r="G810" s="18"/>
      <c r="H810" s="26"/>
      <c r="I810" s="18"/>
      <c r="J810" s="18"/>
      <c r="K810" s="18"/>
      <c r="L810" s="27" t="str">
        <f aca="false">IF(C810="","",IF(G810="Concluída",1,N(H810)))</f>
        <v/>
      </c>
      <c r="M810" s="13" t="str">
        <f aca="true">IF(C810="","",IF(G810="Concluída","Concluída",IF(AND(F810&lt;&gt;"",F810&lt;TODAY()),"Atrasada","No prazo")))</f>
        <v/>
      </c>
    </row>
    <row r="811" customFormat="false" ht="15" hidden="false" customHeight="false" outlineLevel="0" collapsed="false">
      <c r="A811" s="18"/>
      <c r="B811" s="18"/>
      <c r="C811" s="18"/>
      <c r="D811" s="18"/>
      <c r="E811" s="25"/>
      <c r="F811" s="25"/>
      <c r="G811" s="18"/>
      <c r="H811" s="26"/>
      <c r="I811" s="18"/>
      <c r="J811" s="18"/>
      <c r="K811" s="18"/>
      <c r="L811" s="27" t="str">
        <f aca="false">IF(C811="","",IF(G811="Concluída",1,N(H811)))</f>
        <v/>
      </c>
      <c r="M811" s="13" t="str">
        <f aca="true">IF(C811="","",IF(G811="Concluída","Concluída",IF(AND(F811&lt;&gt;"",F811&lt;TODAY()),"Atrasada","No prazo")))</f>
        <v/>
      </c>
    </row>
    <row r="812" customFormat="false" ht="15" hidden="false" customHeight="false" outlineLevel="0" collapsed="false">
      <c r="A812" s="18"/>
      <c r="B812" s="18"/>
      <c r="C812" s="18"/>
      <c r="D812" s="18"/>
      <c r="E812" s="25"/>
      <c r="F812" s="25"/>
      <c r="G812" s="18"/>
      <c r="H812" s="26"/>
      <c r="I812" s="18"/>
      <c r="J812" s="18"/>
      <c r="K812" s="18"/>
      <c r="L812" s="27" t="str">
        <f aca="false">IF(C812="","",IF(G812="Concluída",1,N(H812)))</f>
        <v/>
      </c>
      <c r="M812" s="13" t="str">
        <f aca="true">IF(C812="","",IF(G812="Concluída","Concluída",IF(AND(F812&lt;&gt;"",F812&lt;TODAY()),"Atrasada","No prazo")))</f>
        <v/>
      </c>
    </row>
    <row r="813" customFormat="false" ht="15" hidden="false" customHeight="false" outlineLevel="0" collapsed="false">
      <c r="A813" s="18"/>
      <c r="B813" s="18"/>
      <c r="C813" s="18"/>
      <c r="D813" s="18"/>
      <c r="E813" s="25"/>
      <c r="F813" s="25"/>
      <c r="G813" s="18"/>
      <c r="H813" s="26"/>
      <c r="I813" s="18"/>
      <c r="J813" s="18"/>
      <c r="K813" s="18"/>
      <c r="L813" s="27" t="str">
        <f aca="false">IF(C813="","",IF(G813="Concluída",1,N(H813)))</f>
        <v/>
      </c>
      <c r="M813" s="13" t="str">
        <f aca="true">IF(C813="","",IF(G813="Concluída","Concluída",IF(AND(F813&lt;&gt;"",F813&lt;TODAY()),"Atrasada","No prazo")))</f>
        <v/>
      </c>
    </row>
    <row r="814" customFormat="false" ht="15" hidden="false" customHeight="false" outlineLevel="0" collapsed="false">
      <c r="A814" s="18"/>
      <c r="B814" s="18"/>
      <c r="C814" s="18"/>
      <c r="D814" s="18"/>
      <c r="E814" s="25"/>
      <c r="F814" s="25"/>
      <c r="G814" s="18"/>
      <c r="H814" s="26"/>
      <c r="I814" s="18"/>
      <c r="J814" s="18"/>
      <c r="K814" s="18"/>
      <c r="L814" s="27" t="str">
        <f aca="false">IF(C814="","",IF(G814="Concluída",1,N(H814)))</f>
        <v/>
      </c>
      <c r="M814" s="13" t="str">
        <f aca="true">IF(C814="","",IF(G814="Concluída","Concluída",IF(AND(F814&lt;&gt;"",F814&lt;TODAY()),"Atrasada","No prazo")))</f>
        <v/>
      </c>
    </row>
    <row r="815" customFormat="false" ht="15" hidden="false" customHeight="false" outlineLevel="0" collapsed="false">
      <c r="A815" s="18"/>
      <c r="B815" s="18"/>
      <c r="C815" s="18"/>
      <c r="D815" s="18"/>
      <c r="E815" s="25"/>
      <c r="F815" s="25"/>
      <c r="G815" s="18"/>
      <c r="H815" s="26"/>
      <c r="I815" s="18"/>
      <c r="J815" s="18"/>
      <c r="K815" s="18"/>
      <c r="L815" s="27" t="str">
        <f aca="false">IF(C815="","",IF(G815="Concluída",1,N(H815)))</f>
        <v/>
      </c>
      <c r="M815" s="13" t="str">
        <f aca="true">IF(C815="","",IF(G815="Concluída","Concluída",IF(AND(F815&lt;&gt;"",F815&lt;TODAY()),"Atrasada","No prazo")))</f>
        <v/>
      </c>
    </row>
    <row r="816" customFormat="false" ht="15" hidden="false" customHeight="false" outlineLevel="0" collapsed="false">
      <c r="A816" s="18"/>
      <c r="B816" s="18"/>
      <c r="C816" s="18"/>
      <c r="D816" s="18"/>
      <c r="E816" s="25"/>
      <c r="F816" s="25"/>
      <c r="G816" s="18"/>
      <c r="H816" s="26"/>
      <c r="I816" s="18"/>
      <c r="J816" s="18"/>
      <c r="K816" s="18"/>
      <c r="L816" s="27" t="str">
        <f aca="false">IF(C816="","",IF(G816="Concluída",1,N(H816)))</f>
        <v/>
      </c>
      <c r="M816" s="13" t="str">
        <f aca="true">IF(C816="","",IF(G816="Concluída","Concluída",IF(AND(F816&lt;&gt;"",F816&lt;TODAY()),"Atrasada","No prazo")))</f>
        <v/>
      </c>
    </row>
    <row r="817" customFormat="false" ht="15" hidden="false" customHeight="false" outlineLevel="0" collapsed="false">
      <c r="A817" s="18"/>
      <c r="B817" s="18"/>
      <c r="C817" s="18"/>
      <c r="D817" s="18"/>
      <c r="E817" s="25"/>
      <c r="F817" s="25"/>
      <c r="G817" s="18"/>
      <c r="H817" s="26"/>
      <c r="I817" s="18"/>
      <c r="J817" s="18"/>
      <c r="K817" s="18"/>
      <c r="L817" s="27" t="str">
        <f aca="false">IF(C817="","",IF(G817="Concluída",1,N(H817)))</f>
        <v/>
      </c>
      <c r="M817" s="13" t="str">
        <f aca="true">IF(C817="","",IF(G817="Concluída","Concluída",IF(AND(F817&lt;&gt;"",F817&lt;TODAY()),"Atrasada","No prazo")))</f>
        <v/>
      </c>
    </row>
    <row r="818" customFormat="false" ht="15" hidden="false" customHeight="false" outlineLevel="0" collapsed="false">
      <c r="A818" s="18"/>
      <c r="B818" s="18"/>
      <c r="C818" s="18"/>
      <c r="D818" s="18"/>
      <c r="E818" s="25"/>
      <c r="F818" s="25"/>
      <c r="G818" s="18"/>
      <c r="H818" s="26"/>
      <c r="I818" s="18"/>
      <c r="J818" s="18"/>
      <c r="K818" s="18"/>
      <c r="L818" s="27" t="str">
        <f aca="false">IF(C818="","",IF(G818="Concluída",1,N(H818)))</f>
        <v/>
      </c>
      <c r="M818" s="13" t="str">
        <f aca="true">IF(C818="","",IF(G818="Concluída","Concluída",IF(AND(F818&lt;&gt;"",F818&lt;TODAY()),"Atrasada","No prazo")))</f>
        <v/>
      </c>
    </row>
    <row r="819" customFormat="false" ht="15" hidden="false" customHeight="false" outlineLevel="0" collapsed="false">
      <c r="A819" s="18"/>
      <c r="B819" s="18"/>
      <c r="C819" s="18"/>
      <c r="D819" s="18"/>
      <c r="E819" s="25"/>
      <c r="F819" s="25"/>
      <c r="G819" s="18"/>
      <c r="H819" s="26"/>
      <c r="I819" s="18"/>
      <c r="J819" s="18"/>
      <c r="K819" s="18"/>
      <c r="L819" s="27" t="str">
        <f aca="false">IF(C819="","",IF(G819="Concluída",1,N(H819)))</f>
        <v/>
      </c>
      <c r="M819" s="13" t="str">
        <f aca="true">IF(C819="","",IF(G819="Concluída","Concluída",IF(AND(F819&lt;&gt;"",F819&lt;TODAY()),"Atrasada","No prazo")))</f>
        <v/>
      </c>
    </row>
    <row r="820" customFormat="false" ht="15" hidden="false" customHeight="false" outlineLevel="0" collapsed="false">
      <c r="A820" s="18"/>
      <c r="B820" s="18"/>
      <c r="C820" s="18"/>
      <c r="D820" s="18"/>
      <c r="E820" s="25"/>
      <c r="F820" s="25"/>
      <c r="G820" s="18"/>
      <c r="H820" s="26"/>
      <c r="I820" s="18"/>
      <c r="J820" s="18"/>
      <c r="K820" s="18"/>
      <c r="L820" s="27" t="str">
        <f aca="false">IF(C820="","",IF(G820="Concluída",1,N(H820)))</f>
        <v/>
      </c>
      <c r="M820" s="13" t="str">
        <f aca="true">IF(C820="","",IF(G820="Concluída","Concluída",IF(AND(F820&lt;&gt;"",F820&lt;TODAY()),"Atrasada","No prazo")))</f>
        <v/>
      </c>
    </row>
    <row r="821" customFormat="false" ht="15" hidden="false" customHeight="false" outlineLevel="0" collapsed="false">
      <c r="A821" s="18"/>
      <c r="B821" s="18"/>
      <c r="C821" s="18"/>
      <c r="D821" s="18"/>
      <c r="E821" s="25"/>
      <c r="F821" s="25"/>
      <c r="G821" s="18"/>
      <c r="H821" s="26"/>
      <c r="I821" s="18"/>
      <c r="J821" s="18"/>
      <c r="K821" s="18"/>
      <c r="L821" s="27" t="str">
        <f aca="false">IF(C821="","",IF(G821="Concluída",1,N(H821)))</f>
        <v/>
      </c>
      <c r="M821" s="13" t="str">
        <f aca="true">IF(C821="","",IF(G821="Concluída","Concluída",IF(AND(F821&lt;&gt;"",F821&lt;TODAY()),"Atrasada","No prazo")))</f>
        <v/>
      </c>
    </row>
    <row r="822" customFormat="false" ht="15" hidden="false" customHeight="false" outlineLevel="0" collapsed="false">
      <c r="A822" s="18"/>
      <c r="B822" s="18"/>
      <c r="C822" s="18"/>
      <c r="D822" s="18"/>
      <c r="E822" s="25"/>
      <c r="F822" s="25"/>
      <c r="G822" s="18"/>
      <c r="H822" s="26"/>
      <c r="I822" s="18"/>
      <c r="J822" s="18"/>
      <c r="K822" s="18"/>
      <c r="L822" s="27" t="str">
        <f aca="false">IF(C822="","",IF(G822="Concluída",1,N(H822)))</f>
        <v/>
      </c>
      <c r="M822" s="13" t="str">
        <f aca="true">IF(C822="","",IF(G822="Concluída","Concluída",IF(AND(F822&lt;&gt;"",F822&lt;TODAY()),"Atrasada","No prazo")))</f>
        <v/>
      </c>
    </row>
    <row r="823" customFormat="false" ht="15" hidden="false" customHeight="false" outlineLevel="0" collapsed="false">
      <c r="A823" s="18"/>
      <c r="B823" s="18"/>
      <c r="C823" s="18"/>
      <c r="D823" s="18"/>
      <c r="E823" s="25"/>
      <c r="F823" s="25"/>
      <c r="G823" s="18"/>
      <c r="H823" s="26"/>
      <c r="I823" s="18"/>
      <c r="J823" s="18"/>
      <c r="K823" s="18"/>
      <c r="L823" s="27" t="str">
        <f aca="false">IF(C823="","",IF(G823="Concluída",1,N(H823)))</f>
        <v/>
      </c>
      <c r="M823" s="13" t="str">
        <f aca="true">IF(C823="","",IF(G823="Concluída","Concluída",IF(AND(F823&lt;&gt;"",F823&lt;TODAY()),"Atrasada","No prazo")))</f>
        <v/>
      </c>
    </row>
    <row r="824" customFormat="false" ht="15" hidden="false" customHeight="false" outlineLevel="0" collapsed="false">
      <c r="A824" s="18"/>
      <c r="B824" s="18"/>
      <c r="C824" s="18"/>
      <c r="D824" s="18"/>
      <c r="E824" s="25"/>
      <c r="F824" s="25"/>
      <c r="G824" s="18"/>
      <c r="H824" s="26"/>
      <c r="I824" s="18"/>
      <c r="J824" s="18"/>
      <c r="K824" s="18"/>
      <c r="L824" s="27" t="str">
        <f aca="false">IF(C824="","",IF(G824="Concluída",1,N(H824)))</f>
        <v/>
      </c>
      <c r="M824" s="13" t="str">
        <f aca="true">IF(C824="","",IF(G824="Concluída","Concluída",IF(AND(F824&lt;&gt;"",F824&lt;TODAY()),"Atrasada","No prazo")))</f>
        <v/>
      </c>
    </row>
    <row r="825" customFormat="false" ht="15" hidden="false" customHeight="false" outlineLevel="0" collapsed="false">
      <c r="A825" s="18"/>
      <c r="B825" s="18"/>
      <c r="C825" s="18"/>
      <c r="D825" s="18"/>
      <c r="E825" s="25"/>
      <c r="F825" s="25"/>
      <c r="G825" s="18"/>
      <c r="H825" s="26"/>
      <c r="I825" s="18"/>
      <c r="J825" s="18"/>
      <c r="K825" s="18"/>
      <c r="L825" s="27" t="str">
        <f aca="false">IF(C825="","",IF(G825="Concluída",1,N(H825)))</f>
        <v/>
      </c>
      <c r="M825" s="13" t="str">
        <f aca="true">IF(C825="","",IF(G825="Concluída","Concluída",IF(AND(F825&lt;&gt;"",F825&lt;TODAY()),"Atrasada","No prazo")))</f>
        <v/>
      </c>
    </row>
    <row r="826" customFormat="false" ht="15" hidden="false" customHeight="false" outlineLevel="0" collapsed="false">
      <c r="A826" s="18"/>
      <c r="B826" s="18"/>
      <c r="C826" s="18"/>
      <c r="D826" s="18"/>
      <c r="E826" s="25"/>
      <c r="F826" s="25"/>
      <c r="G826" s="18"/>
      <c r="H826" s="26"/>
      <c r="I826" s="18"/>
      <c r="J826" s="18"/>
      <c r="K826" s="18"/>
      <c r="L826" s="27" t="str">
        <f aca="false">IF(C826="","",IF(G826="Concluída",1,N(H826)))</f>
        <v/>
      </c>
      <c r="M826" s="13" t="str">
        <f aca="true">IF(C826="","",IF(G826="Concluída","Concluída",IF(AND(F826&lt;&gt;"",F826&lt;TODAY()),"Atrasada","No prazo")))</f>
        <v/>
      </c>
    </row>
    <row r="827" customFormat="false" ht="15" hidden="false" customHeight="false" outlineLevel="0" collapsed="false">
      <c r="A827" s="18"/>
      <c r="B827" s="18"/>
      <c r="C827" s="18"/>
      <c r="D827" s="18"/>
      <c r="E827" s="25"/>
      <c r="F827" s="25"/>
      <c r="G827" s="18"/>
      <c r="H827" s="26"/>
      <c r="I827" s="18"/>
      <c r="J827" s="18"/>
      <c r="K827" s="18"/>
      <c r="L827" s="27" t="str">
        <f aca="false">IF(C827="","",IF(G827="Concluída",1,N(H827)))</f>
        <v/>
      </c>
      <c r="M827" s="13" t="str">
        <f aca="true">IF(C827="","",IF(G827="Concluída","Concluída",IF(AND(F827&lt;&gt;"",F827&lt;TODAY()),"Atrasada","No prazo")))</f>
        <v/>
      </c>
    </row>
    <row r="828" customFormat="false" ht="15" hidden="false" customHeight="false" outlineLevel="0" collapsed="false">
      <c r="A828" s="18"/>
      <c r="B828" s="18"/>
      <c r="C828" s="18"/>
      <c r="D828" s="18"/>
      <c r="E828" s="25"/>
      <c r="F828" s="25"/>
      <c r="G828" s="18"/>
      <c r="H828" s="26"/>
      <c r="I828" s="18"/>
      <c r="J828" s="18"/>
      <c r="K828" s="18"/>
      <c r="L828" s="27" t="str">
        <f aca="false">IF(C828="","",IF(G828="Concluída",1,N(H828)))</f>
        <v/>
      </c>
      <c r="M828" s="13" t="str">
        <f aca="true">IF(C828="","",IF(G828="Concluída","Concluída",IF(AND(F828&lt;&gt;"",F828&lt;TODAY()),"Atrasada","No prazo")))</f>
        <v/>
      </c>
    </row>
    <row r="829" customFormat="false" ht="15" hidden="false" customHeight="false" outlineLevel="0" collapsed="false">
      <c r="A829" s="18"/>
      <c r="B829" s="18"/>
      <c r="C829" s="18"/>
      <c r="D829" s="18"/>
      <c r="E829" s="25"/>
      <c r="F829" s="25"/>
      <c r="G829" s="18"/>
      <c r="H829" s="26"/>
      <c r="I829" s="18"/>
      <c r="J829" s="18"/>
      <c r="K829" s="18"/>
      <c r="L829" s="27" t="str">
        <f aca="false">IF(C829="","",IF(G829="Concluída",1,N(H829)))</f>
        <v/>
      </c>
      <c r="M829" s="13" t="str">
        <f aca="true">IF(C829="","",IF(G829="Concluída","Concluída",IF(AND(F829&lt;&gt;"",F829&lt;TODAY()),"Atrasada","No prazo")))</f>
        <v/>
      </c>
    </row>
    <row r="830" customFormat="false" ht="15" hidden="false" customHeight="false" outlineLevel="0" collapsed="false">
      <c r="A830" s="18"/>
      <c r="B830" s="18"/>
      <c r="C830" s="18"/>
      <c r="D830" s="18"/>
      <c r="E830" s="25"/>
      <c r="F830" s="25"/>
      <c r="G830" s="18"/>
      <c r="H830" s="26"/>
      <c r="I830" s="18"/>
      <c r="J830" s="18"/>
      <c r="K830" s="18"/>
      <c r="L830" s="27" t="str">
        <f aca="false">IF(C830="","",IF(G830="Concluída",1,N(H830)))</f>
        <v/>
      </c>
      <c r="M830" s="13" t="str">
        <f aca="true">IF(C830="","",IF(G830="Concluída","Concluída",IF(AND(F830&lt;&gt;"",F830&lt;TODAY()),"Atrasada","No prazo")))</f>
        <v/>
      </c>
    </row>
    <row r="831" customFormat="false" ht="15" hidden="false" customHeight="false" outlineLevel="0" collapsed="false">
      <c r="A831" s="18"/>
      <c r="B831" s="18"/>
      <c r="C831" s="18"/>
      <c r="D831" s="18"/>
      <c r="E831" s="25"/>
      <c r="F831" s="25"/>
      <c r="G831" s="18"/>
      <c r="H831" s="26"/>
      <c r="I831" s="18"/>
      <c r="J831" s="18"/>
      <c r="K831" s="18"/>
      <c r="L831" s="27" t="str">
        <f aca="false">IF(C831="","",IF(G831="Concluída",1,N(H831)))</f>
        <v/>
      </c>
      <c r="M831" s="13" t="str">
        <f aca="true">IF(C831="","",IF(G831="Concluída","Concluída",IF(AND(F831&lt;&gt;"",F831&lt;TODAY()),"Atrasada","No prazo")))</f>
        <v/>
      </c>
    </row>
    <row r="832" customFormat="false" ht="15" hidden="false" customHeight="false" outlineLevel="0" collapsed="false">
      <c r="A832" s="18"/>
      <c r="B832" s="18"/>
      <c r="C832" s="18"/>
      <c r="D832" s="18"/>
      <c r="E832" s="25"/>
      <c r="F832" s="25"/>
      <c r="G832" s="18"/>
      <c r="H832" s="26"/>
      <c r="I832" s="18"/>
      <c r="J832" s="18"/>
      <c r="K832" s="18"/>
      <c r="L832" s="27" t="str">
        <f aca="false">IF(C832="","",IF(G832="Concluída",1,N(H832)))</f>
        <v/>
      </c>
      <c r="M832" s="13" t="str">
        <f aca="true">IF(C832="","",IF(G832="Concluída","Concluída",IF(AND(F832&lt;&gt;"",F832&lt;TODAY()),"Atrasada","No prazo")))</f>
        <v/>
      </c>
    </row>
    <row r="833" customFormat="false" ht="15" hidden="false" customHeight="false" outlineLevel="0" collapsed="false">
      <c r="A833" s="18"/>
      <c r="B833" s="18"/>
      <c r="C833" s="18"/>
      <c r="D833" s="18"/>
      <c r="E833" s="25"/>
      <c r="F833" s="25"/>
      <c r="G833" s="18"/>
      <c r="H833" s="26"/>
      <c r="I833" s="18"/>
      <c r="J833" s="18"/>
      <c r="K833" s="18"/>
      <c r="L833" s="27" t="str">
        <f aca="false">IF(C833="","",IF(G833="Concluída",1,N(H833)))</f>
        <v/>
      </c>
      <c r="M833" s="13" t="str">
        <f aca="true">IF(C833="","",IF(G833="Concluída","Concluída",IF(AND(F833&lt;&gt;"",F833&lt;TODAY()),"Atrasada","No prazo")))</f>
        <v/>
      </c>
    </row>
    <row r="834" customFormat="false" ht="15" hidden="false" customHeight="false" outlineLevel="0" collapsed="false">
      <c r="A834" s="18"/>
      <c r="B834" s="18"/>
      <c r="C834" s="18"/>
      <c r="D834" s="18"/>
      <c r="E834" s="25"/>
      <c r="F834" s="25"/>
      <c r="G834" s="18"/>
      <c r="H834" s="26"/>
      <c r="I834" s="18"/>
      <c r="J834" s="18"/>
      <c r="K834" s="18"/>
      <c r="L834" s="27" t="str">
        <f aca="false">IF(C834="","",IF(G834="Concluída",1,N(H834)))</f>
        <v/>
      </c>
      <c r="M834" s="13" t="str">
        <f aca="true">IF(C834="","",IF(G834="Concluída","Concluída",IF(AND(F834&lt;&gt;"",F834&lt;TODAY()),"Atrasada","No prazo")))</f>
        <v/>
      </c>
    </row>
    <row r="835" customFormat="false" ht="15" hidden="false" customHeight="false" outlineLevel="0" collapsed="false">
      <c r="A835" s="18"/>
      <c r="B835" s="18"/>
      <c r="C835" s="18"/>
      <c r="D835" s="18"/>
      <c r="E835" s="25"/>
      <c r="F835" s="25"/>
      <c r="G835" s="18"/>
      <c r="H835" s="26"/>
      <c r="I835" s="18"/>
      <c r="J835" s="18"/>
      <c r="K835" s="18"/>
      <c r="L835" s="27" t="str">
        <f aca="false">IF(C835="","",IF(G835="Concluída",1,N(H835)))</f>
        <v/>
      </c>
      <c r="M835" s="13" t="str">
        <f aca="true">IF(C835="","",IF(G835="Concluída","Concluída",IF(AND(F835&lt;&gt;"",F835&lt;TODAY()),"Atrasada","No prazo")))</f>
        <v/>
      </c>
    </row>
    <row r="836" customFormat="false" ht="15" hidden="false" customHeight="false" outlineLevel="0" collapsed="false">
      <c r="A836" s="18"/>
      <c r="B836" s="18"/>
      <c r="C836" s="18"/>
      <c r="D836" s="18"/>
      <c r="E836" s="25"/>
      <c r="F836" s="25"/>
      <c r="G836" s="18"/>
      <c r="H836" s="26"/>
      <c r="I836" s="18"/>
      <c r="J836" s="18"/>
      <c r="K836" s="18"/>
      <c r="L836" s="27" t="str">
        <f aca="false">IF(C836="","",IF(G836="Concluída",1,N(H836)))</f>
        <v/>
      </c>
      <c r="M836" s="13" t="str">
        <f aca="true">IF(C836="","",IF(G836="Concluída","Concluída",IF(AND(F836&lt;&gt;"",F836&lt;TODAY()),"Atrasada","No prazo")))</f>
        <v/>
      </c>
    </row>
    <row r="837" customFormat="false" ht="15" hidden="false" customHeight="false" outlineLevel="0" collapsed="false">
      <c r="A837" s="18"/>
      <c r="B837" s="18"/>
      <c r="C837" s="18"/>
      <c r="D837" s="18"/>
      <c r="E837" s="25"/>
      <c r="F837" s="25"/>
      <c r="G837" s="18"/>
      <c r="H837" s="26"/>
      <c r="I837" s="18"/>
      <c r="J837" s="18"/>
      <c r="K837" s="18"/>
      <c r="L837" s="27" t="str">
        <f aca="false">IF(C837="","",IF(G837="Concluída",1,N(H837)))</f>
        <v/>
      </c>
      <c r="M837" s="13" t="str">
        <f aca="true">IF(C837="","",IF(G837="Concluída","Concluída",IF(AND(F837&lt;&gt;"",F837&lt;TODAY()),"Atrasada","No prazo")))</f>
        <v/>
      </c>
    </row>
    <row r="838" customFormat="false" ht="15" hidden="false" customHeight="false" outlineLevel="0" collapsed="false">
      <c r="A838" s="18"/>
      <c r="B838" s="18"/>
      <c r="C838" s="18"/>
      <c r="D838" s="18"/>
      <c r="E838" s="25"/>
      <c r="F838" s="25"/>
      <c r="G838" s="18"/>
      <c r="H838" s="26"/>
      <c r="I838" s="18"/>
      <c r="J838" s="18"/>
      <c r="K838" s="18"/>
      <c r="L838" s="27" t="str">
        <f aca="false">IF(C838="","",IF(G838="Concluída",1,N(H838)))</f>
        <v/>
      </c>
      <c r="M838" s="13" t="str">
        <f aca="true">IF(C838="","",IF(G838="Concluída","Concluída",IF(AND(F838&lt;&gt;"",F838&lt;TODAY()),"Atrasada","No prazo")))</f>
        <v/>
      </c>
    </row>
    <row r="839" customFormat="false" ht="15" hidden="false" customHeight="false" outlineLevel="0" collapsed="false">
      <c r="A839" s="18"/>
      <c r="B839" s="18"/>
      <c r="C839" s="18"/>
      <c r="D839" s="18"/>
      <c r="E839" s="25"/>
      <c r="F839" s="25"/>
      <c r="G839" s="18"/>
      <c r="H839" s="26"/>
      <c r="I839" s="18"/>
      <c r="J839" s="18"/>
      <c r="K839" s="18"/>
      <c r="L839" s="27" t="str">
        <f aca="false">IF(C839="","",IF(G839="Concluída",1,N(H839)))</f>
        <v/>
      </c>
      <c r="M839" s="13" t="str">
        <f aca="true">IF(C839="","",IF(G839="Concluída","Concluída",IF(AND(F839&lt;&gt;"",F839&lt;TODAY()),"Atrasada","No prazo")))</f>
        <v/>
      </c>
    </row>
    <row r="840" customFormat="false" ht="15" hidden="false" customHeight="false" outlineLevel="0" collapsed="false">
      <c r="A840" s="18"/>
      <c r="B840" s="18"/>
      <c r="C840" s="18"/>
      <c r="D840" s="18"/>
      <c r="E840" s="25"/>
      <c r="F840" s="25"/>
      <c r="G840" s="18"/>
      <c r="H840" s="26"/>
      <c r="I840" s="18"/>
      <c r="J840" s="18"/>
      <c r="K840" s="18"/>
      <c r="L840" s="27" t="str">
        <f aca="false">IF(C840="","",IF(G840="Concluída",1,N(H840)))</f>
        <v/>
      </c>
      <c r="M840" s="13" t="str">
        <f aca="true">IF(C840="","",IF(G840="Concluída","Concluída",IF(AND(F840&lt;&gt;"",F840&lt;TODAY()),"Atrasada","No prazo")))</f>
        <v/>
      </c>
    </row>
    <row r="841" customFormat="false" ht="15" hidden="false" customHeight="false" outlineLevel="0" collapsed="false">
      <c r="A841" s="18"/>
      <c r="B841" s="18"/>
      <c r="C841" s="18"/>
      <c r="D841" s="18"/>
      <c r="E841" s="25"/>
      <c r="F841" s="25"/>
      <c r="G841" s="18"/>
      <c r="H841" s="26"/>
      <c r="I841" s="18"/>
      <c r="J841" s="18"/>
      <c r="K841" s="18"/>
      <c r="L841" s="27" t="str">
        <f aca="false">IF(C841="","",IF(G841="Concluída",1,N(H841)))</f>
        <v/>
      </c>
      <c r="M841" s="13" t="str">
        <f aca="true">IF(C841="","",IF(G841="Concluída","Concluída",IF(AND(F841&lt;&gt;"",F841&lt;TODAY()),"Atrasada","No prazo")))</f>
        <v/>
      </c>
    </row>
    <row r="842" customFormat="false" ht="15" hidden="false" customHeight="false" outlineLevel="0" collapsed="false">
      <c r="A842" s="18"/>
      <c r="B842" s="18"/>
      <c r="C842" s="18"/>
      <c r="D842" s="18"/>
      <c r="E842" s="25"/>
      <c r="F842" s="25"/>
      <c r="G842" s="18"/>
      <c r="H842" s="26"/>
      <c r="I842" s="18"/>
      <c r="J842" s="18"/>
      <c r="K842" s="18"/>
      <c r="L842" s="27" t="str">
        <f aca="false">IF(C842="","",IF(G842="Concluída",1,N(H842)))</f>
        <v/>
      </c>
      <c r="M842" s="13" t="str">
        <f aca="true">IF(C842="","",IF(G842="Concluída","Concluída",IF(AND(F842&lt;&gt;"",F842&lt;TODAY()),"Atrasada","No prazo")))</f>
        <v/>
      </c>
    </row>
    <row r="843" customFormat="false" ht="15" hidden="false" customHeight="false" outlineLevel="0" collapsed="false">
      <c r="A843" s="18"/>
      <c r="B843" s="18"/>
      <c r="C843" s="18"/>
      <c r="D843" s="18"/>
      <c r="E843" s="25"/>
      <c r="F843" s="25"/>
      <c r="G843" s="18"/>
      <c r="H843" s="26"/>
      <c r="I843" s="18"/>
      <c r="J843" s="18"/>
      <c r="K843" s="18"/>
      <c r="L843" s="27" t="str">
        <f aca="false">IF(C843="","",IF(G843="Concluída",1,N(H843)))</f>
        <v/>
      </c>
      <c r="M843" s="13" t="str">
        <f aca="true">IF(C843="","",IF(G843="Concluída","Concluída",IF(AND(F843&lt;&gt;"",F843&lt;TODAY()),"Atrasada","No prazo")))</f>
        <v/>
      </c>
    </row>
    <row r="844" customFormat="false" ht="15" hidden="false" customHeight="false" outlineLevel="0" collapsed="false">
      <c r="A844" s="18"/>
      <c r="B844" s="18"/>
      <c r="C844" s="18"/>
      <c r="D844" s="18"/>
      <c r="E844" s="25"/>
      <c r="F844" s="25"/>
      <c r="G844" s="18"/>
      <c r="H844" s="26"/>
      <c r="I844" s="18"/>
      <c r="J844" s="18"/>
      <c r="K844" s="18"/>
      <c r="L844" s="27" t="str">
        <f aca="false">IF(C844="","",IF(G844="Concluída",1,N(H844)))</f>
        <v/>
      </c>
      <c r="M844" s="13" t="str">
        <f aca="true">IF(C844="","",IF(G844="Concluída","Concluída",IF(AND(F844&lt;&gt;"",F844&lt;TODAY()),"Atrasada","No prazo")))</f>
        <v/>
      </c>
    </row>
    <row r="845" customFormat="false" ht="15" hidden="false" customHeight="false" outlineLevel="0" collapsed="false">
      <c r="A845" s="18"/>
      <c r="B845" s="18"/>
      <c r="C845" s="18"/>
      <c r="D845" s="18"/>
      <c r="E845" s="25"/>
      <c r="F845" s="25"/>
      <c r="G845" s="18"/>
      <c r="H845" s="26"/>
      <c r="I845" s="18"/>
      <c r="J845" s="18"/>
      <c r="K845" s="18"/>
      <c r="L845" s="27" t="str">
        <f aca="false">IF(C845="","",IF(G845="Concluída",1,N(H845)))</f>
        <v/>
      </c>
      <c r="M845" s="13" t="str">
        <f aca="true">IF(C845="","",IF(G845="Concluída","Concluída",IF(AND(F845&lt;&gt;"",F845&lt;TODAY()),"Atrasada","No prazo")))</f>
        <v/>
      </c>
    </row>
    <row r="846" customFormat="false" ht="15" hidden="false" customHeight="false" outlineLevel="0" collapsed="false">
      <c r="A846" s="18"/>
      <c r="B846" s="18"/>
      <c r="C846" s="18"/>
      <c r="D846" s="18"/>
      <c r="E846" s="25"/>
      <c r="F846" s="25"/>
      <c r="G846" s="18"/>
      <c r="H846" s="26"/>
      <c r="I846" s="18"/>
      <c r="J846" s="18"/>
      <c r="K846" s="18"/>
      <c r="L846" s="27" t="str">
        <f aca="false">IF(C846="","",IF(G846="Concluída",1,N(H846)))</f>
        <v/>
      </c>
      <c r="M846" s="13" t="str">
        <f aca="true">IF(C846="","",IF(G846="Concluída","Concluída",IF(AND(F846&lt;&gt;"",F846&lt;TODAY()),"Atrasada","No prazo")))</f>
        <v/>
      </c>
    </row>
    <row r="847" customFormat="false" ht="15" hidden="false" customHeight="false" outlineLevel="0" collapsed="false">
      <c r="A847" s="18"/>
      <c r="B847" s="18"/>
      <c r="C847" s="18"/>
      <c r="D847" s="18"/>
      <c r="E847" s="25"/>
      <c r="F847" s="25"/>
      <c r="G847" s="18"/>
      <c r="H847" s="26"/>
      <c r="I847" s="18"/>
      <c r="J847" s="18"/>
      <c r="K847" s="18"/>
      <c r="L847" s="27" t="str">
        <f aca="false">IF(C847="","",IF(G847="Concluída",1,N(H847)))</f>
        <v/>
      </c>
      <c r="M847" s="13" t="str">
        <f aca="true">IF(C847="","",IF(G847="Concluída","Concluída",IF(AND(F847&lt;&gt;"",F847&lt;TODAY()),"Atrasada","No prazo")))</f>
        <v/>
      </c>
    </row>
    <row r="848" customFormat="false" ht="15" hidden="false" customHeight="false" outlineLevel="0" collapsed="false">
      <c r="A848" s="18"/>
      <c r="B848" s="18"/>
      <c r="C848" s="18"/>
      <c r="D848" s="18"/>
      <c r="E848" s="25"/>
      <c r="F848" s="25"/>
      <c r="G848" s="18"/>
      <c r="H848" s="26"/>
      <c r="I848" s="18"/>
      <c r="J848" s="18"/>
      <c r="K848" s="18"/>
      <c r="L848" s="27" t="str">
        <f aca="false">IF(C848="","",IF(G848="Concluída",1,N(H848)))</f>
        <v/>
      </c>
      <c r="M848" s="13" t="str">
        <f aca="true">IF(C848="","",IF(G848="Concluída","Concluída",IF(AND(F848&lt;&gt;"",F848&lt;TODAY()),"Atrasada","No prazo")))</f>
        <v/>
      </c>
    </row>
    <row r="849" customFormat="false" ht="15" hidden="false" customHeight="false" outlineLevel="0" collapsed="false">
      <c r="A849" s="18"/>
      <c r="B849" s="18"/>
      <c r="C849" s="18"/>
      <c r="D849" s="18"/>
      <c r="E849" s="25"/>
      <c r="F849" s="25"/>
      <c r="G849" s="18"/>
      <c r="H849" s="26"/>
      <c r="I849" s="18"/>
      <c r="J849" s="18"/>
      <c r="K849" s="18"/>
      <c r="L849" s="27" t="str">
        <f aca="false">IF(C849="","",IF(G849="Concluída",1,N(H849)))</f>
        <v/>
      </c>
      <c r="M849" s="13" t="str">
        <f aca="true">IF(C849="","",IF(G849="Concluída","Concluída",IF(AND(F849&lt;&gt;"",F849&lt;TODAY()),"Atrasada","No prazo")))</f>
        <v/>
      </c>
    </row>
    <row r="850" customFormat="false" ht="15" hidden="false" customHeight="false" outlineLevel="0" collapsed="false">
      <c r="A850" s="18"/>
      <c r="B850" s="18"/>
      <c r="C850" s="18"/>
      <c r="D850" s="18"/>
      <c r="E850" s="25"/>
      <c r="F850" s="25"/>
      <c r="G850" s="18"/>
      <c r="H850" s="26"/>
      <c r="I850" s="18"/>
      <c r="J850" s="18"/>
      <c r="K850" s="18"/>
      <c r="L850" s="27" t="str">
        <f aca="false">IF(C850="","",IF(G850="Concluída",1,N(H850)))</f>
        <v/>
      </c>
      <c r="M850" s="13" t="str">
        <f aca="true">IF(C850="","",IF(G850="Concluída","Concluída",IF(AND(F850&lt;&gt;"",F850&lt;TODAY()),"Atrasada","No prazo")))</f>
        <v/>
      </c>
    </row>
    <row r="851" customFormat="false" ht="15" hidden="false" customHeight="false" outlineLevel="0" collapsed="false">
      <c r="A851" s="18"/>
      <c r="B851" s="18"/>
      <c r="C851" s="18"/>
      <c r="D851" s="18"/>
      <c r="E851" s="25"/>
      <c r="F851" s="25"/>
      <c r="G851" s="18"/>
      <c r="H851" s="26"/>
      <c r="I851" s="18"/>
      <c r="J851" s="18"/>
      <c r="K851" s="18"/>
      <c r="L851" s="27" t="str">
        <f aca="false">IF(C851="","",IF(G851="Concluída",1,N(H851)))</f>
        <v/>
      </c>
      <c r="M851" s="13" t="str">
        <f aca="true">IF(C851="","",IF(G851="Concluída","Concluída",IF(AND(F851&lt;&gt;"",F851&lt;TODAY()),"Atrasada","No prazo")))</f>
        <v/>
      </c>
    </row>
    <row r="852" customFormat="false" ht="15" hidden="false" customHeight="false" outlineLevel="0" collapsed="false">
      <c r="A852" s="18"/>
      <c r="B852" s="18"/>
      <c r="C852" s="18"/>
      <c r="D852" s="18"/>
      <c r="E852" s="25"/>
      <c r="F852" s="25"/>
      <c r="G852" s="18"/>
      <c r="H852" s="26"/>
      <c r="I852" s="18"/>
      <c r="J852" s="18"/>
      <c r="K852" s="18"/>
      <c r="L852" s="27" t="str">
        <f aca="false">IF(C852="","",IF(G852="Concluída",1,N(H852)))</f>
        <v/>
      </c>
      <c r="M852" s="13" t="str">
        <f aca="true">IF(C852="","",IF(G852="Concluída","Concluída",IF(AND(F852&lt;&gt;"",F852&lt;TODAY()),"Atrasada","No prazo")))</f>
        <v/>
      </c>
    </row>
    <row r="853" customFormat="false" ht="15" hidden="false" customHeight="false" outlineLevel="0" collapsed="false">
      <c r="A853" s="18"/>
      <c r="B853" s="18"/>
      <c r="C853" s="18"/>
      <c r="D853" s="18"/>
      <c r="E853" s="25"/>
      <c r="F853" s="25"/>
      <c r="G853" s="18"/>
      <c r="H853" s="26"/>
      <c r="I853" s="18"/>
      <c r="J853" s="18"/>
      <c r="K853" s="18"/>
      <c r="L853" s="27" t="str">
        <f aca="false">IF(C853="","",IF(G853="Concluída",1,N(H853)))</f>
        <v/>
      </c>
      <c r="M853" s="13" t="str">
        <f aca="true">IF(C853="","",IF(G853="Concluída","Concluída",IF(AND(F853&lt;&gt;"",F853&lt;TODAY()),"Atrasada","No prazo")))</f>
        <v/>
      </c>
    </row>
    <row r="854" customFormat="false" ht="15" hidden="false" customHeight="false" outlineLevel="0" collapsed="false">
      <c r="A854" s="18"/>
      <c r="B854" s="18"/>
      <c r="C854" s="18"/>
      <c r="D854" s="18"/>
      <c r="E854" s="25"/>
      <c r="F854" s="25"/>
      <c r="G854" s="18"/>
      <c r="H854" s="26"/>
      <c r="I854" s="18"/>
      <c r="J854" s="18"/>
      <c r="K854" s="18"/>
      <c r="L854" s="27" t="str">
        <f aca="false">IF(C854="","",IF(G854="Concluída",1,N(H854)))</f>
        <v/>
      </c>
      <c r="M854" s="13" t="str">
        <f aca="true">IF(C854="","",IF(G854="Concluída","Concluída",IF(AND(F854&lt;&gt;"",F854&lt;TODAY()),"Atrasada","No prazo")))</f>
        <v/>
      </c>
    </row>
    <row r="855" customFormat="false" ht="15" hidden="false" customHeight="false" outlineLevel="0" collapsed="false">
      <c r="A855" s="18"/>
      <c r="B855" s="18"/>
      <c r="C855" s="18"/>
      <c r="D855" s="18"/>
      <c r="E855" s="25"/>
      <c r="F855" s="25"/>
      <c r="G855" s="18"/>
      <c r="H855" s="26"/>
      <c r="I855" s="18"/>
      <c r="J855" s="18"/>
      <c r="K855" s="18"/>
      <c r="L855" s="27" t="str">
        <f aca="false">IF(C855="","",IF(G855="Concluída",1,N(H855)))</f>
        <v/>
      </c>
      <c r="M855" s="13" t="str">
        <f aca="true">IF(C855="","",IF(G855="Concluída","Concluída",IF(AND(F855&lt;&gt;"",F855&lt;TODAY()),"Atrasada","No prazo")))</f>
        <v/>
      </c>
    </row>
    <row r="856" customFormat="false" ht="15" hidden="false" customHeight="false" outlineLevel="0" collapsed="false">
      <c r="A856" s="18"/>
      <c r="B856" s="18"/>
      <c r="C856" s="18"/>
      <c r="D856" s="18"/>
      <c r="E856" s="25"/>
      <c r="F856" s="25"/>
      <c r="G856" s="18"/>
      <c r="H856" s="26"/>
      <c r="I856" s="18"/>
      <c r="J856" s="18"/>
      <c r="K856" s="18"/>
      <c r="L856" s="27" t="str">
        <f aca="false">IF(C856="","",IF(G856="Concluída",1,N(H856)))</f>
        <v/>
      </c>
      <c r="M856" s="13" t="str">
        <f aca="true">IF(C856="","",IF(G856="Concluída","Concluída",IF(AND(F856&lt;&gt;"",F856&lt;TODAY()),"Atrasada","No prazo")))</f>
        <v/>
      </c>
    </row>
    <row r="857" customFormat="false" ht="15" hidden="false" customHeight="false" outlineLevel="0" collapsed="false">
      <c r="A857" s="18"/>
      <c r="B857" s="18"/>
      <c r="C857" s="18"/>
      <c r="D857" s="18"/>
      <c r="E857" s="25"/>
      <c r="F857" s="25"/>
      <c r="G857" s="18"/>
      <c r="H857" s="26"/>
      <c r="I857" s="18"/>
      <c r="J857" s="18"/>
      <c r="K857" s="18"/>
      <c r="L857" s="27" t="str">
        <f aca="false">IF(C857="","",IF(G857="Concluída",1,N(H857)))</f>
        <v/>
      </c>
      <c r="M857" s="13" t="str">
        <f aca="true">IF(C857="","",IF(G857="Concluída","Concluída",IF(AND(F857&lt;&gt;"",F857&lt;TODAY()),"Atrasada","No prazo")))</f>
        <v/>
      </c>
    </row>
    <row r="858" customFormat="false" ht="15" hidden="false" customHeight="false" outlineLevel="0" collapsed="false">
      <c r="A858" s="18"/>
      <c r="B858" s="18"/>
      <c r="C858" s="18"/>
      <c r="D858" s="18"/>
      <c r="E858" s="25"/>
      <c r="F858" s="25"/>
      <c r="G858" s="18"/>
      <c r="H858" s="26"/>
      <c r="I858" s="18"/>
      <c r="J858" s="18"/>
      <c r="K858" s="18"/>
      <c r="L858" s="27" t="str">
        <f aca="false">IF(C858="","",IF(G858="Concluída",1,N(H858)))</f>
        <v/>
      </c>
      <c r="M858" s="13" t="str">
        <f aca="true">IF(C858="","",IF(G858="Concluída","Concluída",IF(AND(F858&lt;&gt;"",F858&lt;TODAY()),"Atrasada","No prazo")))</f>
        <v/>
      </c>
    </row>
    <row r="859" customFormat="false" ht="15" hidden="false" customHeight="false" outlineLevel="0" collapsed="false">
      <c r="A859" s="18"/>
      <c r="B859" s="18"/>
      <c r="C859" s="18"/>
      <c r="D859" s="18"/>
      <c r="E859" s="25"/>
      <c r="F859" s="25"/>
      <c r="G859" s="18"/>
      <c r="H859" s="26"/>
      <c r="I859" s="18"/>
      <c r="J859" s="18"/>
      <c r="K859" s="18"/>
      <c r="L859" s="27" t="str">
        <f aca="false">IF(C859="","",IF(G859="Concluída",1,N(H859)))</f>
        <v/>
      </c>
      <c r="M859" s="13" t="str">
        <f aca="true">IF(C859="","",IF(G859="Concluída","Concluída",IF(AND(F859&lt;&gt;"",F859&lt;TODAY()),"Atrasada","No prazo")))</f>
        <v/>
      </c>
    </row>
    <row r="860" customFormat="false" ht="15" hidden="false" customHeight="false" outlineLevel="0" collapsed="false">
      <c r="A860" s="18"/>
      <c r="B860" s="18"/>
      <c r="C860" s="18"/>
      <c r="D860" s="18"/>
      <c r="E860" s="25"/>
      <c r="F860" s="25"/>
      <c r="G860" s="18"/>
      <c r="H860" s="26"/>
      <c r="I860" s="18"/>
      <c r="J860" s="18"/>
      <c r="K860" s="18"/>
      <c r="L860" s="27" t="str">
        <f aca="false">IF(C860="","",IF(G860="Concluída",1,N(H860)))</f>
        <v/>
      </c>
      <c r="M860" s="13" t="str">
        <f aca="true">IF(C860="","",IF(G860="Concluída","Concluída",IF(AND(F860&lt;&gt;"",F860&lt;TODAY()),"Atrasada","No prazo")))</f>
        <v/>
      </c>
    </row>
    <row r="861" customFormat="false" ht="15" hidden="false" customHeight="false" outlineLevel="0" collapsed="false">
      <c r="A861" s="18"/>
      <c r="B861" s="18"/>
      <c r="C861" s="18"/>
      <c r="D861" s="18"/>
      <c r="E861" s="25"/>
      <c r="F861" s="25"/>
      <c r="G861" s="18"/>
      <c r="H861" s="26"/>
      <c r="I861" s="18"/>
      <c r="J861" s="18"/>
      <c r="K861" s="18"/>
      <c r="L861" s="27" t="str">
        <f aca="false">IF(C861="","",IF(G861="Concluída",1,N(H861)))</f>
        <v/>
      </c>
      <c r="M861" s="13" t="str">
        <f aca="true">IF(C861="","",IF(G861="Concluída","Concluída",IF(AND(F861&lt;&gt;"",F861&lt;TODAY()),"Atrasada","No prazo")))</f>
        <v/>
      </c>
    </row>
    <row r="862" customFormat="false" ht="15" hidden="false" customHeight="false" outlineLevel="0" collapsed="false">
      <c r="A862" s="18"/>
      <c r="B862" s="18"/>
      <c r="C862" s="18"/>
      <c r="D862" s="18"/>
      <c r="E862" s="25"/>
      <c r="F862" s="25"/>
      <c r="G862" s="18"/>
      <c r="H862" s="26"/>
      <c r="I862" s="18"/>
      <c r="J862" s="18"/>
      <c r="K862" s="18"/>
      <c r="L862" s="27" t="str">
        <f aca="false">IF(C862="","",IF(G862="Concluída",1,N(H862)))</f>
        <v/>
      </c>
      <c r="M862" s="13" t="str">
        <f aca="true">IF(C862="","",IF(G862="Concluída","Concluída",IF(AND(F862&lt;&gt;"",F862&lt;TODAY()),"Atrasada","No prazo")))</f>
        <v/>
      </c>
    </row>
    <row r="863" customFormat="false" ht="15" hidden="false" customHeight="false" outlineLevel="0" collapsed="false">
      <c r="A863" s="18"/>
      <c r="B863" s="18"/>
      <c r="C863" s="18"/>
      <c r="D863" s="18"/>
      <c r="E863" s="25"/>
      <c r="F863" s="25"/>
      <c r="G863" s="18"/>
      <c r="H863" s="26"/>
      <c r="I863" s="18"/>
      <c r="J863" s="18"/>
      <c r="K863" s="18"/>
      <c r="L863" s="27" t="str">
        <f aca="false">IF(C863="","",IF(G863="Concluída",1,N(H863)))</f>
        <v/>
      </c>
      <c r="M863" s="13" t="str">
        <f aca="true">IF(C863="","",IF(G863="Concluída","Concluída",IF(AND(F863&lt;&gt;"",F863&lt;TODAY()),"Atrasada","No prazo")))</f>
        <v/>
      </c>
    </row>
    <row r="864" customFormat="false" ht="15" hidden="false" customHeight="false" outlineLevel="0" collapsed="false">
      <c r="A864" s="18"/>
      <c r="B864" s="18"/>
      <c r="C864" s="18"/>
      <c r="D864" s="18"/>
      <c r="E864" s="25"/>
      <c r="F864" s="25"/>
      <c r="G864" s="18"/>
      <c r="H864" s="26"/>
      <c r="I864" s="18"/>
      <c r="J864" s="18"/>
      <c r="K864" s="18"/>
      <c r="L864" s="27" t="str">
        <f aca="false">IF(C864="","",IF(G864="Concluída",1,N(H864)))</f>
        <v/>
      </c>
      <c r="M864" s="13" t="str">
        <f aca="true">IF(C864="","",IF(G864="Concluída","Concluída",IF(AND(F864&lt;&gt;"",F864&lt;TODAY()),"Atrasada","No prazo")))</f>
        <v/>
      </c>
    </row>
    <row r="865" customFormat="false" ht="15" hidden="false" customHeight="false" outlineLevel="0" collapsed="false">
      <c r="A865" s="18"/>
      <c r="B865" s="18"/>
      <c r="C865" s="18"/>
      <c r="D865" s="18"/>
      <c r="E865" s="25"/>
      <c r="F865" s="25"/>
      <c r="G865" s="18"/>
      <c r="H865" s="26"/>
      <c r="I865" s="18"/>
      <c r="J865" s="18"/>
      <c r="K865" s="18"/>
      <c r="L865" s="27" t="str">
        <f aca="false">IF(C865="","",IF(G865="Concluída",1,N(H865)))</f>
        <v/>
      </c>
      <c r="M865" s="13" t="str">
        <f aca="true">IF(C865="","",IF(G865="Concluída","Concluída",IF(AND(F865&lt;&gt;"",F865&lt;TODAY()),"Atrasada","No prazo")))</f>
        <v/>
      </c>
    </row>
    <row r="866" customFormat="false" ht="15" hidden="false" customHeight="false" outlineLevel="0" collapsed="false">
      <c r="A866" s="18"/>
      <c r="B866" s="18"/>
      <c r="C866" s="18"/>
      <c r="D866" s="18"/>
      <c r="E866" s="25"/>
      <c r="F866" s="25"/>
      <c r="G866" s="18"/>
      <c r="H866" s="26"/>
      <c r="I866" s="18"/>
      <c r="J866" s="18"/>
      <c r="K866" s="18"/>
      <c r="L866" s="27" t="str">
        <f aca="false">IF(C866="","",IF(G866="Concluída",1,N(H866)))</f>
        <v/>
      </c>
      <c r="M866" s="13" t="str">
        <f aca="true">IF(C866="","",IF(G866="Concluída","Concluída",IF(AND(F866&lt;&gt;"",F866&lt;TODAY()),"Atrasada","No prazo")))</f>
        <v/>
      </c>
    </row>
    <row r="867" customFormat="false" ht="15" hidden="false" customHeight="false" outlineLevel="0" collapsed="false">
      <c r="A867" s="18"/>
      <c r="B867" s="18"/>
      <c r="C867" s="18"/>
      <c r="D867" s="18"/>
      <c r="E867" s="25"/>
      <c r="F867" s="25"/>
      <c r="G867" s="18"/>
      <c r="H867" s="26"/>
      <c r="I867" s="18"/>
      <c r="J867" s="18"/>
      <c r="K867" s="18"/>
      <c r="L867" s="27" t="str">
        <f aca="false">IF(C867="","",IF(G867="Concluída",1,N(H867)))</f>
        <v/>
      </c>
      <c r="M867" s="13" t="str">
        <f aca="true">IF(C867="","",IF(G867="Concluída","Concluída",IF(AND(F867&lt;&gt;"",F867&lt;TODAY()),"Atrasada","No prazo")))</f>
        <v/>
      </c>
    </row>
    <row r="868" customFormat="false" ht="15" hidden="false" customHeight="false" outlineLevel="0" collapsed="false">
      <c r="A868" s="18"/>
      <c r="B868" s="18"/>
      <c r="C868" s="18"/>
      <c r="D868" s="18"/>
      <c r="E868" s="25"/>
      <c r="F868" s="25"/>
      <c r="G868" s="18"/>
      <c r="H868" s="26"/>
      <c r="I868" s="18"/>
      <c r="J868" s="18"/>
      <c r="K868" s="18"/>
      <c r="L868" s="27" t="str">
        <f aca="false">IF(C868="","",IF(G868="Concluída",1,N(H868)))</f>
        <v/>
      </c>
      <c r="M868" s="13" t="str">
        <f aca="true">IF(C868="","",IF(G868="Concluída","Concluída",IF(AND(F868&lt;&gt;"",F868&lt;TODAY()),"Atrasada","No prazo")))</f>
        <v/>
      </c>
    </row>
    <row r="869" customFormat="false" ht="15" hidden="false" customHeight="false" outlineLevel="0" collapsed="false">
      <c r="A869" s="18"/>
      <c r="B869" s="18"/>
      <c r="C869" s="18"/>
      <c r="D869" s="18"/>
      <c r="E869" s="25"/>
      <c r="F869" s="25"/>
      <c r="G869" s="18"/>
      <c r="H869" s="26"/>
      <c r="I869" s="18"/>
      <c r="J869" s="18"/>
      <c r="K869" s="18"/>
      <c r="L869" s="27" t="str">
        <f aca="false">IF(C869="","",IF(G869="Concluída",1,N(H869)))</f>
        <v/>
      </c>
      <c r="M869" s="13" t="str">
        <f aca="true">IF(C869="","",IF(G869="Concluída","Concluída",IF(AND(F869&lt;&gt;"",F869&lt;TODAY()),"Atrasada","No prazo")))</f>
        <v/>
      </c>
    </row>
    <row r="870" customFormat="false" ht="15" hidden="false" customHeight="false" outlineLevel="0" collapsed="false">
      <c r="A870" s="18"/>
      <c r="B870" s="18"/>
      <c r="C870" s="18"/>
      <c r="D870" s="18"/>
      <c r="E870" s="25"/>
      <c r="F870" s="25"/>
      <c r="G870" s="18"/>
      <c r="H870" s="26"/>
      <c r="I870" s="18"/>
      <c r="J870" s="18"/>
      <c r="K870" s="18"/>
      <c r="L870" s="27" t="str">
        <f aca="false">IF(C870="","",IF(G870="Concluída",1,N(H870)))</f>
        <v/>
      </c>
      <c r="M870" s="13" t="str">
        <f aca="true">IF(C870="","",IF(G870="Concluída","Concluída",IF(AND(F870&lt;&gt;"",F870&lt;TODAY()),"Atrasada","No prazo")))</f>
        <v/>
      </c>
    </row>
    <row r="871" customFormat="false" ht="15" hidden="false" customHeight="false" outlineLevel="0" collapsed="false">
      <c r="A871" s="18"/>
      <c r="B871" s="18"/>
      <c r="C871" s="18"/>
      <c r="D871" s="18"/>
      <c r="E871" s="25"/>
      <c r="F871" s="25"/>
      <c r="G871" s="18"/>
      <c r="H871" s="26"/>
      <c r="I871" s="18"/>
      <c r="J871" s="18"/>
      <c r="K871" s="18"/>
      <c r="L871" s="27" t="str">
        <f aca="false">IF(C871="","",IF(G871="Concluída",1,N(H871)))</f>
        <v/>
      </c>
      <c r="M871" s="13" t="str">
        <f aca="true">IF(C871="","",IF(G871="Concluída","Concluída",IF(AND(F871&lt;&gt;"",F871&lt;TODAY()),"Atrasada","No prazo")))</f>
        <v/>
      </c>
    </row>
    <row r="872" customFormat="false" ht="15" hidden="false" customHeight="false" outlineLevel="0" collapsed="false">
      <c r="A872" s="18"/>
      <c r="B872" s="18"/>
      <c r="C872" s="18"/>
      <c r="D872" s="18"/>
      <c r="E872" s="25"/>
      <c r="F872" s="25"/>
      <c r="G872" s="18"/>
      <c r="H872" s="26"/>
      <c r="I872" s="18"/>
      <c r="J872" s="18"/>
      <c r="K872" s="18"/>
      <c r="L872" s="27" t="str">
        <f aca="false">IF(C872="","",IF(G872="Concluída",1,N(H872)))</f>
        <v/>
      </c>
      <c r="M872" s="13" t="str">
        <f aca="true">IF(C872="","",IF(G872="Concluída","Concluída",IF(AND(F872&lt;&gt;"",F872&lt;TODAY()),"Atrasada","No prazo")))</f>
        <v/>
      </c>
    </row>
    <row r="873" customFormat="false" ht="15" hidden="false" customHeight="false" outlineLevel="0" collapsed="false">
      <c r="A873" s="18"/>
      <c r="B873" s="18"/>
      <c r="C873" s="18"/>
      <c r="D873" s="18"/>
      <c r="E873" s="25"/>
      <c r="F873" s="25"/>
      <c r="G873" s="18"/>
      <c r="H873" s="26"/>
      <c r="I873" s="18"/>
      <c r="J873" s="18"/>
      <c r="K873" s="18"/>
      <c r="L873" s="27" t="str">
        <f aca="false">IF(C873="","",IF(G873="Concluída",1,N(H873)))</f>
        <v/>
      </c>
      <c r="M873" s="13" t="str">
        <f aca="true">IF(C873="","",IF(G873="Concluída","Concluída",IF(AND(F873&lt;&gt;"",F873&lt;TODAY()),"Atrasada","No prazo")))</f>
        <v/>
      </c>
    </row>
    <row r="874" customFormat="false" ht="15" hidden="false" customHeight="false" outlineLevel="0" collapsed="false">
      <c r="A874" s="18"/>
      <c r="B874" s="18"/>
      <c r="C874" s="18"/>
      <c r="D874" s="18"/>
      <c r="E874" s="25"/>
      <c r="F874" s="25"/>
      <c r="G874" s="18"/>
      <c r="H874" s="26"/>
      <c r="I874" s="18"/>
      <c r="J874" s="18"/>
      <c r="K874" s="18"/>
      <c r="L874" s="27" t="str">
        <f aca="false">IF(C874="","",IF(G874="Concluída",1,N(H874)))</f>
        <v/>
      </c>
      <c r="M874" s="13" t="str">
        <f aca="true">IF(C874="","",IF(G874="Concluída","Concluída",IF(AND(F874&lt;&gt;"",F874&lt;TODAY()),"Atrasada","No prazo")))</f>
        <v/>
      </c>
    </row>
    <row r="875" customFormat="false" ht="15" hidden="false" customHeight="false" outlineLevel="0" collapsed="false">
      <c r="A875" s="18"/>
      <c r="B875" s="18"/>
      <c r="C875" s="18"/>
      <c r="D875" s="18"/>
      <c r="E875" s="25"/>
      <c r="F875" s="25"/>
      <c r="G875" s="18"/>
      <c r="H875" s="26"/>
      <c r="I875" s="18"/>
      <c r="J875" s="18"/>
      <c r="K875" s="18"/>
      <c r="L875" s="27" t="str">
        <f aca="false">IF(C875="","",IF(G875="Concluída",1,N(H875)))</f>
        <v/>
      </c>
      <c r="M875" s="13" t="str">
        <f aca="true">IF(C875="","",IF(G875="Concluída","Concluída",IF(AND(F875&lt;&gt;"",F875&lt;TODAY()),"Atrasada","No prazo")))</f>
        <v/>
      </c>
    </row>
    <row r="876" customFormat="false" ht="15" hidden="false" customHeight="false" outlineLevel="0" collapsed="false">
      <c r="A876" s="18"/>
      <c r="B876" s="18"/>
      <c r="C876" s="18"/>
      <c r="D876" s="18"/>
      <c r="E876" s="25"/>
      <c r="F876" s="25"/>
      <c r="G876" s="18"/>
      <c r="H876" s="26"/>
      <c r="I876" s="18"/>
      <c r="J876" s="18"/>
      <c r="K876" s="18"/>
      <c r="L876" s="27" t="str">
        <f aca="false">IF(C876="","",IF(G876="Concluída",1,N(H876)))</f>
        <v/>
      </c>
      <c r="M876" s="13" t="str">
        <f aca="true">IF(C876="","",IF(G876="Concluída","Concluída",IF(AND(F876&lt;&gt;"",F876&lt;TODAY()),"Atrasada","No prazo")))</f>
        <v/>
      </c>
    </row>
    <row r="877" customFormat="false" ht="15" hidden="false" customHeight="false" outlineLevel="0" collapsed="false">
      <c r="A877" s="18"/>
      <c r="B877" s="18"/>
      <c r="C877" s="18"/>
      <c r="D877" s="18"/>
      <c r="E877" s="25"/>
      <c r="F877" s="25"/>
      <c r="G877" s="18"/>
      <c r="H877" s="26"/>
      <c r="I877" s="18"/>
      <c r="J877" s="18"/>
      <c r="K877" s="18"/>
      <c r="L877" s="27" t="str">
        <f aca="false">IF(C877="","",IF(G877="Concluída",1,N(H877)))</f>
        <v/>
      </c>
      <c r="M877" s="13" t="str">
        <f aca="true">IF(C877="","",IF(G877="Concluída","Concluída",IF(AND(F877&lt;&gt;"",F877&lt;TODAY()),"Atrasada","No prazo")))</f>
        <v/>
      </c>
    </row>
    <row r="878" customFormat="false" ht="15" hidden="false" customHeight="false" outlineLevel="0" collapsed="false">
      <c r="A878" s="18"/>
      <c r="B878" s="18"/>
      <c r="C878" s="18"/>
      <c r="D878" s="18"/>
      <c r="E878" s="25"/>
      <c r="F878" s="25"/>
      <c r="G878" s="18"/>
      <c r="H878" s="26"/>
      <c r="I878" s="18"/>
      <c r="J878" s="18"/>
      <c r="K878" s="18"/>
      <c r="L878" s="27" t="str">
        <f aca="false">IF(C878="","",IF(G878="Concluída",1,N(H878)))</f>
        <v/>
      </c>
      <c r="M878" s="13" t="str">
        <f aca="true">IF(C878="","",IF(G878="Concluída","Concluída",IF(AND(F878&lt;&gt;"",F878&lt;TODAY()),"Atrasada","No prazo")))</f>
        <v/>
      </c>
    </row>
    <row r="879" customFormat="false" ht="15" hidden="false" customHeight="false" outlineLevel="0" collapsed="false">
      <c r="A879" s="18"/>
      <c r="B879" s="18"/>
      <c r="C879" s="18"/>
      <c r="D879" s="18"/>
      <c r="E879" s="25"/>
      <c r="F879" s="25"/>
      <c r="G879" s="18"/>
      <c r="H879" s="26"/>
      <c r="I879" s="18"/>
      <c r="J879" s="18"/>
      <c r="K879" s="18"/>
      <c r="L879" s="27" t="str">
        <f aca="false">IF(C879="","",IF(G879="Concluída",1,N(H879)))</f>
        <v/>
      </c>
      <c r="M879" s="13" t="str">
        <f aca="true">IF(C879="","",IF(G879="Concluída","Concluída",IF(AND(F879&lt;&gt;"",F879&lt;TODAY()),"Atrasada","No prazo")))</f>
        <v/>
      </c>
    </row>
    <row r="880" customFormat="false" ht="15" hidden="false" customHeight="false" outlineLevel="0" collapsed="false">
      <c r="A880" s="18"/>
      <c r="B880" s="18"/>
      <c r="C880" s="18"/>
      <c r="D880" s="18"/>
      <c r="E880" s="25"/>
      <c r="F880" s="25"/>
      <c r="G880" s="18"/>
      <c r="H880" s="26"/>
      <c r="I880" s="18"/>
      <c r="J880" s="18"/>
      <c r="K880" s="18"/>
      <c r="L880" s="27" t="str">
        <f aca="false">IF(C880="","",IF(G880="Concluída",1,N(H880)))</f>
        <v/>
      </c>
      <c r="M880" s="13" t="str">
        <f aca="true">IF(C880="","",IF(G880="Concluída","Concluída",IF(AND(F880&lt;&gt;"",F880&lt;TODAY()),"Atrasada","No prazo")))</f>
        <v/>
      </c>
    </row>
    <row r="881" customFormat="false" ht="15" hidden="false" customHeight="false" outlineLevel="0" collapsed="false">
      <c r="A881" s="18"/>
      <c r="B881" s="18"/>
      <c r="C881" s="18"/>
      <c r="D881" s="18"/>
      <c r="E881" s="25"/>
      <c r="F881" s="25"/>
      <c r="G881" s="18"/>
      <c r="H881" s="26"/>
      <c r="I881" s="18"/>
      <c r="J881" s="18"/>
      <c r="K881" s="18"/>
      <c r="L881" s="27" t="str">
        <f aca="false">IF(C881="","",IF(G881="Concluída",1,N(H881)))</f>
        <v/>
      </c>
      <c r="M881" s="13" t="str">
        <f aca="true">IF(C881="","",IF(G881="Concluída","Concluída",IF(AND(F881&lt;&gt;"",F881&lt;TODAY()),"Atrasada","No prazo")))</f>
        <v/>
      </c>
    </row>
    <row r="882" customFormat="false" ht="15" hidden="false" customHeight="false" outlineLevel="0" collapsed="false">
      <c r="A882" s="18"/>
      <c r="B882" s="18"/>
      <c r="C882" s="18"/>
      <c r="D882" s="18"/>
      <c r="E882" s="25"/>
      <c r="F882" s="25"/>
      <c r="G882" s="18"/>
      <c r="H882" s="26"/>
      <c r="I882" s="18"/>
      <c r="J882" s="18"/>
      <c r="K882" s="18"/>
      <c r="L882" s="27" t="str">
        <f aca="false">IF(C882="","",IF(G882="Concluída",1,N(H882)))</f>
        <v/>
      </c>
      <c r="M882" s="13" t="str">
        <f aca="true">IF(C882="","",IF(G882="Concluída","Concluída",IF(AND(F882&lt;&gt;"",F882&lt;TODAY()),"Atrasada","No prazo")))</f>
        <v/>
      </c>
    </row>
    <row r="883" customFormat="false" ht="15" hidden="false" customHeight="false" outlineLevel="0" collapsed="false">
      <c r="A883" s="18"/>
      <c r="B883" s="18"/>
      <c r="C883" s="18"/>
      <c r="D883" s="18"/>
      <c r="E883" s="25"/>
      <c r="F883" s="25"/>
      <c r="G883" s="18"/>
      <c r="H883" s="26"/>
      <c r="I883" s="18"/>
      <c r="J883" s="18"/>
      <c r="K883" s="18"/>
      <c r="L883" s="27" t="str">
        <f aca="false">IF(C883="","",IF(G883="Concluída",1,N(H883)))</f>
        <v/>
      </c>
      <c r="M883" s="13" t="str">
        <f aca="true">IF(C883="","",IF(G883="Concluída","Concluída",IF(AND(F883&lt;&gt;"",F883&lt;TODAY()),"Atrasada","No prazo")))</f>
        <v/>
      </c>
    </row>
    <row r="884" customFormat="false" ht="15" hidden="false" customHeight="false" outlineLevel="0" collapsed="false">
      <c r="A884" s="18"/>
      <c r="B884" s="18"/>
      <c r="C884" s="18"/>
      <c r="D884" s="18"/>
      <c r="E884" s="25"/>
      <c r="F884" s="25"/>
      <c r="G884" s="18"/>
      <c r="H884" s="26"/>
      <c r="I884" s="18"/>
      <c r="J884" s="18"/>
      <c r="K884" s="18"/>
      <c r="L884" s="27" t="str">
        <f aca="false">IF(C884="","",IF(G884="Concluída",1,N(H884)))</f>
        <v/>
      </c>
      <c r="M884" s="13" t="str">
        <f aca="true">IF(C884="","",IF(G884="Concluída","Concluída",IF(AND(F884&lt;&gt;"",F884&lt;TODAY()),"Atrasada","No prazo")))</f>
        <v/>
      </c>
    </row>
    <row r="885" customFormat="false" ht="15" hidden="false" customHeight="false" outlineLevel="0" collapsed="false">
      <c r="A885" s="18"/>
      <c r="B885" s="18"/>
      <c r="C885" s="18"/>
      <c r="D885" s="18"/>
      <c r="E885" s="25"/>
      <c r="F885" s="25"/>
      <c r="G885" s="18"/>
      <c r="H885" s="26"/>
      <c r="I885" s="18"/>
      <c r="J885" s="18"/>
      <c r="K885" s="18"/>
      <c r="L885" s="27" t="str">
        <f aca="false">IF(C885="","",IF(G885="Concluída",1,N(H885)))</f>
        <v/>
      </c>
      <c r="M885" s="13" t="str">
        <f aca="true">IF(C885="","",IF(G885="Concluída","Concluída",IF(AND(F885&lt;&gt;"",F885&lt;TODAY()),"Atrasada","No prazo")))</f>
        <v/>
      </c>
    </row>
    <row r="886" customFormat="false" ht="15" hidden="false" customHeight="false" outlineLevel="0" collapsed="false">
      <c r="A886" s="18"/>
      <c r="B886" s="18"/>
      <c r="C886" s="18"/>
      <c r="D886" s="18"/>
      <c r="E886" s="25"/>
      <c r="F886" s="25"/>
      <c r="G886" s="18"/>
      <c r="H886" s="26"/>
      <c r="I886" s="18"/>
      <c r="J886" s="18"/>
      <c r="K886" s="18"/>
      <c r="L886" s="27" t="str">
        <f aca="false">IF(C886="","",IF(G886="Concluída",1,N(H886)))</f>
        <v/>
      </c>
      <c r="M886" s="13" t="str">
        <f aca="true">IF(C886="","",IF(G886="Concluída","Concluída",IF(AND(F886&lt;&gt;"",F886&lt;TODAY()),"Atrasada","No prazo")))</f>
        <v/>
      </c>
    </row>
    <row r="887" customFormat="false" ht="15" hidden="false" customHeight="false" outlineLevel="0" collapsed="false">
      <c r="A887" s="18"/>
      <c r="B887" s="18"/>
      <c r="C887" s="18"/>
      <c r="D887" s="18"/>
      <c r="E887" s="25"/>
      <c r="F887" s="25"/>
      <c r="G887" s="18"/>
      <c r="H887" s="26"/>
      <c r="I887" s="18"/>
      <c r="J887" s="18"/>
      <c r="K887" s="18"/>
      <c r="L887" s="27" t="str">
        <f aca="false">IF(C887="","",IF(G887="Concluída",1,N(H887)))</f>
        <v/>
      </c>
      <c r="M887" s="13" t="str">
        <f aca="true">IF(C887="","",IF(G887="Concluída","Concluída",IF(AND(F887&lt;&gt;"",F887&lt;TODAY()),"Atrasada","No prazo")))</f>
        <v/>
      </c>
    </row>
    <row r="888" customFormat="false" ht="15" hidden="false" customHeight="false" outlineLevel="0" collapsed="false">
      <c r="A888" s="18"/>
      <c r="B888" s="18"/>
      <c r="C888" s="18"/>
      <c r="D888" s="18"/>
      <c r="E888" s="25"/>
      <c r="F888" s="25"/>
      <c r="G888" s="18"/>
      <c r="H888" s="26"/>
      <c r="I888" s="18"/>
      <c r="J888" s="18"/>
      <c r="K888" s="18"/>
      <c r="L888" s="27" t="str">
        <f aca="false">IF(C888="","",IF(G888="Concluída",1,N(H888)))</f>
        <v/>
      </c>
      <c r="M888" s="13" t="str">
        <f aca="true">IF(C888="","",IF(G888="Concluída","Concluída",IF(AND(F888&lt;&gt;"",F888&lt;TODAY()),"Atrasada","No prazo")))</f>
        <v/>
      </c>
    </row>
    <row r="889" customFormat="false" ht="15" hidden="false" customHeight="false" outlineLevel="0" collapsed="false">
      <c r="A889" s="18"/>
      <c r="B889" s="18"/>
      <c r="C889" s="18"/>
      <c r="D889" s="18"/>
      <c r="E889" s="25"/>
      <c r="F889" s="25"/>
      <c r="G889" s="18"/>
      <c r="H889" s="26"/>
      <c r="I889" s="18"/>
      <c r="J889" s="18"/>
      <c r="K889" s="18"/>
      <c r="L889" s="27" t="str">
        <f aca="false">IF(C889="","",IF(G889="Concluída",1,N(H889)))</f>
        <v/>
      </c>
      <c r="M889" s="13" t="str">
        <f aca="true">IF(C889="","",IF(G889="Concluída","Concluída",IF(AND(F889&lt;&gt;"",F889&lt;TODAY()),"Atrasada","No prazo")))</f>
        <v/>
      </c>
    </row>
    <row r="890" customFormat="false" ht="15" hidden="false" customHeight="false" outlineLevel="0" collapsed="false">
      <c r="A890" s="18"/>
      <c r="B890" s="18"/>
      <c r="C890" s="18"/>
      <c r="D890" s="18"/>
      <c r="E890" s="25"/>
      <c r="F890" s="25"/>
      <c r="G890" s="18"/>
      <c r="H890" s="26"/>
      <c r="I890" s="18"/>
      <c r="J890" s="18"/>
      <c r="K890" s="18"/>
      <c r="L890" s="27" t="str">
        <f aca="false">IF(C890="","",IF(G890="Concluída",1,N(H890)))</f>
        <v/>
      </c>
      <c r="M890" s="13" t="str">
        <f aca="true">IF(C890="","",IF(G890="Concluída","Concluída",IF(AND(F890&lt;&gt;"",F890&lt;TODAY()),"Atrasada","No prazo")))</f>
        <v/>
      </c>
    </row>
    <row r="891" customFormat="false" ht="15" hidden="false" customHeight="false" outlineLevel="0" collapsed="false">
      <c r="A891" s="18"/>
      <c r="B891" s="18"/>
      <c r="C891" s="18"/>
      <c r="D891" s="18"/>
      <c r="E891" s="25"/>
      <c r="F891" s="25"/>
      <c r="G891" s="18"/>
      <c r="H891" s="26"/>
      <c r="I891" s="18"/>
      <c r="J891" s="18"/>
      <c r="K891" s="18"/>
      <c r="L891" s="27" t="str">
        <f aca="false">IF(C891="","",IF(G891="Concluída",1,N(H891)))</f>
        <v/>
      </c>
      <c r="M891" s="13" t="str">
        <f aca="true">IF(C891="","",IF(G891="Concluída","Concluída",IF(AND(F891&lt;&gt;"",F891&lt;TODAY()),"Atrasada","No prazo")))</f>
        <v/>
      </c>
    </row>
    <row r="892" customFormat="false" ht="15" hidden="false" customHeight="false" outlineLevel="0" collapsed="false">
      <c r="A892" s="18"/>
      <c r="B892" s="18"/>
      <c r="C892" s="18"/>
      <c r="D892" s="18"/>
      <c r="E892" s="25"/>
      <c r="F892" s="25"/>
      <c r="G892" s="18"/>
      <c r="H892" s="26"/>
      <c r="I892" s="18"/>
      <c r="J892" s="18"/>
      <c r="K892" s="18"/>
      <c r="L892" s="27" t="str">
        <f aca="false">IF(C892="","",IF(G892="Concluída",1,N(H892)))</f>
        <v/>
      </c>
      <c r="M892" s="13" t="str">
        <f aca="true">IF(C892="","",IF(G892="Concluída","Concluída",IF(AND(F892&lt;&gt;"",F892&lt;TODAY()),"Atrasada","No prazo")))</f>
        <v/>
      </c>
    </row>
    <row r="893" customFormat="false" ht="15" hidden="false" customHeight="false" outlineLevel="0" collapsed="false">
      <c r="A893" s="18"/>
      <c r="B893" s="18"/>
      <c r="C893" s="18"/>
      <c r="D893" s="18"/>
      <c r="E893" s="25"/>
      <c r="F893" s="25"/>
      <c r="G893" s="18"/>
      <c r="H893" s="26"/>
      <c r="I893" s="18"/>
      <c r="J893" s="18"/>
      <c r="K893" s="18"/>
      <c r="L893" s="27" t="str">
        <f aca="false">IF(C893="","",IF(G893="Concluída",1,N(H893)))</f>
        <v/>
      </c>
      <c r="M893" s="13" t="str">
        <f aca="true">IF(C893="","",IF(G893="Concluída","Concluída",IF(AND(F893&lt;&gt;"",F893&lt;TODAY()),"Atrasada","No prazo")))</f>
        <v/>
      </c>
    </row>
    <row r="894" customFormat="false" ht="15" hidden="false" customHeight="false" outlineLevel="0" collapsed="false">
      <c r="A894" s="18"/>
      <c r="B894" s="18"/>
      <c r="C894" s="18"/>
      <c r="D894" s="18"/>
      <c r="E894" s="25"/>
      <c r="F894" s="25"/>
      <c r="G894" s="18"/>
      <c r="H894" s="26"/>
      <c r="I894" s="18"/>
      <c r="J894" s="18"/>
      <c r="K894" s="18"/>
      <c r="L894" s="27" t="str">
        <f aca="false">IF(C894="","",IF(G894="Concluída",1,N(H894)))</f>
        <v/>
      </c>
      <c r="M894" s="13" t="str">
        <f aca="true">IF(C894="","",IF(G894="Concluída","Concluída",IF(AND(F894&lt;&gt;"",F894&lt;TODAY()),"Atrasada","No prazo")))</f>
        <v/>
      </c>
    </row>
    <row r="895" customFormat="false" ht="15" hidden="false" customHeight="false" outlineLevel="0" collapsed="false">
      <c r="A895" s="18"/>
      <c r="B895" s="18"/>
      <c r="C895" s="18"/>
      <c r="D895" s="18"/>
      <c r="E895" s="25"/>
      <c r="F895" s="25"/>
      <c r="G895" s="18"/>
      <c r="H895" s="26"/>
      <c r="I895" s="18"/>
      <c r="J895" s="18"/>
      <c r="K895" s="18"/>
      <c r="L895" s="27" t="str">
        <f aca="false">IF(C895="","",IF(G895="Concluída",1,N(H895)))</f>
        <v/>
      </c>
      <c r="M895" s="13" t="str">
        <f aca="true">IF(C895="","",IF(G895="Concluída","Concluída",IF(AND(F895&lt;&gt;"",F895&lt;TODAY()),"Atrasada","No prazo")))</f>
        <v/>
      </c>
    </row>
    <row r="896" customFormat="false" ht="15" hidden="false" customHeight="false" outlineLevel="0" collapsed="false">
      <c r="A896" s="18"/>
      <c r="B896" s="18"/>
      <c r="C896" s="18"/>
      <c r="D896" s="18"/>
      <c r="E896" s="25"/>
      <c r="F896" s="25"/>
      <c r="G896" s="18"/>
      <c r="H896" s="26"/>
      <c r="I896" s="18"/>
      <c r="J896" s="18"/>
      <c r="K896" s="18"/>
      <c r="L896" s="27" t="str">
        <f aca="false">IF(C896="","",IF(G896="Concluída",1,N(H896)))</f>
        <v/>
      </c>
      <c r="M896" s="13" t="str">
        <f aca="true">IF(C896="","",IF(G896="Concluída","Concluída",IF(AND(F896&lt;&gt;"",F896&lt;TODAY()),"Atrasada","No prazo")))</f>
        <v/>
      </c>
    </row>
    <row r="897" customFormat="false" ht="15" hidden="false" customHeight="false" outlineLevel="0" collapsed="false">
      <c r="A897" s="18"/>
      <c r="B897" s="18"/>
      <c r="C897" s="18"/>
      <c r="D897" s="18"/>
      <c r="E897" s="25"/>
      <c r="F897" s="25"/>
      <c r="G897" s="18"/>
      <c r="H897" s="26"/>
      <c r="I897" s="18"/>
      <c r="J897" s="18"/>
      <c r="K897" s="18"/>
      <c r="L897" s="27" t="str">
        <f aca="false">IF(C897="","",IF(G897="Concluída",1,N(H897)))</f>
        <v/>
      </c>
      <c r="M897" s="13" t="str">
        <f aca="true">IF(C897="","",IF(G897="Concluída","Concluída",IF(AND(F897&lt;&gt;"",F897&lt;TODAY()),"Atrasada","No prazo")))</f>
        <v/>
      </c>
    </row>
    <row r="898" customFormat="false" ht="15" hidden="false" customHeight="false" outlineLevel="0" collapsed="false">
      <c r="A898" s="18"/>
      <c r="B898" s="18"/>
      <c r="C898" s="18"/>
      <c r="D898" s="18"/>
      <c r="E898" s="25"/>
      <c r="F898" s="25"/>
      <c r="G898" s="18"/>
      <c r="H898" s="26"/>
      <c r="I898" s="18"/>
      <c r="J898" s="18"/>
      <c r="K898" s="18"/>
      <c r="L898" s="27" t="str">
        <f aca="false">IF(C898="","",IF(G898="Concluída",1,N(H898)))</f>
        <v/>
      </c>
      <c r="M898" s="13" t="str">
        <f aca="true">IF(C898="","",IF(G898="Concluída","Concluída",IF(AND(F898&lt;&gt;"",F898&lt;TODAY()),"Atrasada","No prazo")))</f>
        <v/>
      </c>
    </row>
    <row r="899" customFormat="false" ht="15" hidden="false" customHeight="false" outlineLevel="0" collapsed="false">
      <c r="A899" s="18"/>
      <c r="B899" s="18"/>
      <c r="C899" s="18"/>
      <c r="D899" s="18"/>
      <c r="E899" s="25"/>
      <c r="F899" s="25"/>
      <c r="G899" s="18"/>
      <c r="H899" s="26"/>
      <c r="I899" s="18"/>
      <c r="J899" s="18"/>
      <c r="K899" s="18"/>
      <c r="L899" s="27" t="str">
        <f aca="false">IF(C899="","",IF(G899="Concluída",1,N(H899)))</f>
        <v/>
      </c>
      <c r="M899" s="13" t="str">
        <f aca="true">IF(C899="","",IF(G899="Concluída","Concluída",IF(AND(F899&lt;&gt;"",F899&lt;TODAY()),"Atrasada","No prazo")))</f>
        <v/>
      </c>
    </row>
    <row r="900" customFormat="false" ht="15" hidden="false" customHeight="false" outlineLevel="0" collapsed="false">
      <c r="A900" s="18"/>
      <c r="B900" s="18"/>
      <c r="C900" s="18"/>
      <c r="D900" s="18"/>
      <c r="E900" s="25"/>
      <c r="F900" s="25"/>
      <c r="G900" s="18"/>
      <c r="H900" s="26"/>
      <c r="I900" s="18"/>
      <c r="J900" s="18"/>
      <c r="K900" s="18"/>
      <c r="L900" s="27" t="str">
        <f aca="false">IF(C900="","",IF(G900="Concluída",1,N(H900)))</f>
        <v/>
      </c>
      <c r="M900" s="13" t="str">
        <f aca="true">IF(C900="","",IF(G900="Concluída","Concluída",IF(AND(F900&lt;&gt;"",F900&lt;TODAY()),"Atrasada","No prazo")))</f>
        <v/>
      </c>
    </row>
    <row r="901" customFormat="false" ht="15" hidden="false" customHeight="false" outlineLevel="0" collapsed="false">
      <c r="A901" s="18"/>
      <c r="B901" s="18"/>
      <c r="C901" s="18"/>
      <c r="D901" s="18"/>
      <c r="E901" s="25"/>
      <c r="F901" s="25"/>
      <c r="G901" s="18"/>
      <c r="H901" s="26"/>
      <c r="I901" s="18"/>
      <c r="J901" s="18"/>
      <c r="K901" s="18"/>
      <c r="L901" s="27" t="str">
        <f aca="false">IF(C901="","",IF(G901="Concluída",1,N(H901)))</f>
        <v/>
      </c>
      <c r="M901" s="13" t="str">
        <f aca="true">IF(C901="","",IF(G901="Concluída","Concluída",IF(AND(F901&lt;&gt;"",F901&lt;TODAY()),"Atrasada","No prazo")))</f>
        <v/>
      </c>
    </row>
    <row r="902" customFormat="false" ht="15" hidden="false" customHeight="false" outlineLevel="0" collapsed="false">
      <c r="A902" s="18"/>
      <c r="B902" s="18"/>
      <c r="C902" s="18"/>
      <c r="D902" s="18"/>
      <c r="E902" s="25"/>
      <c r="F902" s="25"/>
      <c r="G902" s="18"/>
      <c r="H902" s="26"/>
      <c r="I902" s="18"/>
      <c r="J902" s="18"/>
      <c r="K902" s="18"/>
      <c r="L902" s="27" t="str">
        <f aca="false">IF(C902="","",IF(G902="Concluída",1,N(H902)))</f>
        <v/>
      </c>
      <c r="M902" s="13" t="str">
        <f aca="true">IF(C902="","",IF(G902="Concluída","Concluída",IF(AND(F902&lt;&gt;"",F902&lt;TODAY()),"Atrasada","No prazo")))</f>
        <v/>
      </c>
    </row>
    <row r="903" customFormat="false" ht="15" hidden="false" customHeight="false" outlineLevel="0" collapsed="false">
      <c r="A903" s="18"/>
      <c r="B903" s="18"/>
      <c r="C903" s="18"/>
      <c r="D903" s="18"/>
      <c r="E903" s="25"/>
      <c r="F903" s="25"/>
      <c r="G903" s="18"/>
      <c r="H903" s="26"/>
      <c r="I903" s="18"/>
      <c r="J903" s="18"/>
      <c r="K903" s="18"/>
      <c r="L903" s="27" t="str">
        <f aca="false">IF(C903="","",IF(G903="Concluída",1,N(H903)))</f>
        <v/>
      </c>
      <c r="M903" s="13" t="str">
        <f aca="true">IF(C903="","",IF(G903="Concluída","Concluída",IF(AND(F903&lt;&gt;"",F903&lt;TODAY()),"Atrasada","No prazo")))</f>
        <v/>
      </c>
    </row>
    <row r="904" customFormat="false" ht="15" hidden="false" customHeight="false" outlineLevel="0" collapsed="false">
      <c r="A904" s="18"/>
      <c r="B904" s="18"/>
      <c r="C904" s="18"/>
      <c r="D904" s="18"/>
      <c r="E904" s="25"/>
      <c r="F904" s="25"/>
      <c r="G904" s="18"/>
      <c r="H904" s="26"/>
      <c r="I904" s="18"/>
      <c r="J904" s="18"/>
      <c r="K904" s="18"/>
      <c r="L904" s="27" t="str">
        <f aca="false">IF(C904="","",IF(G904="Concluída",1,N(H904)))</f>
        <v/>
      </c>
      <c r="M904" s="13" t="str">
        <f aca="true">IF(C904="","",IF(G904="Concluída","Concluída",IF(AND(F904&lt;&gt;"",F904&lt;TODAY()),"Atrasada","No prazo")))</f>
        <v/>
      </c>
    </row>
    <row r="905" customFormat="false" ht="15" hidden="false" customHeight="false" outlineLevel="0" collapsed="false">
      <c r="A905" s="18"/>
      <c r="B905" s="18"/>
      <c r="C905" s="18"/>
      <c r="D905" s="18"/>
      <c r="E905" s="25"/>
      <c r="F905" s="25"/>
      <c r="G905" s="18"/>
      <c r="H905" s="26"/>
      <c r="I905" s="18"/>
      <c r="J905" s="18"/>
      <c r="K905" s="18"/>
      <c r="L905" s="27" t="str">
        <f aca="false">IF(C905="","",IF(G905="Concluída",1,N(H905)))</f>
        <v/>
      </c>
      <c r="M905" s="13" t="str">
        <f aca="true">IF(C905="","",IF(G905="Concluída","Concluída",IF(AND(F905&lt;&gt;"",F905&lt;TODAY()),"Atrasada","No prazo")))</f>
        <v/>
      </c>
    </row>
    <row r="906" customFormat="false" ht="15" hidden="false" customHeight="false" outlineLevel="0" collapsed="false">
      <c r="A906" s="18"/>
      <c r="B906" s="18"/>
      <c r="C906" s="18"/>
      <c r="D906" s="18"/>
      <c r="E906" s="25"/>
      <c r="F906" s="25"/>
      <c r="G906" s="18"/>
      <c r="H906" s="26"/>
      <c r="I906" s="18"/>
      <c r="J906" s="18"/>
      <c r="K906" s="18"/>
      <c r="L906" s="27" t="str">
        <f aca="false">IF(C906="","",IF(G906="Concluída",1,N(H906)))</f>
        <v/>
      </c>
      <c r="M906" s="13" t="str">
        <f aca="true">IF(C906="","",IF(G906="Concluída","Concluída",IF(AND(F906&lt;&gt;"",F906&lt;TODAY()),"Atrasada","No prazo")))</f>
        <v/>
      </c>
    </row>
    <row r="907" customFormat="false" ht="15" hidden="false" customHeight="false" outlineLevel="0" collapsed="false">
      <c r="A907" s="18"/>
      <c r="B907" s="18"/>
      <c r="C907" s="18"/>
      <c r="D907" s="18"/>
      <c r="E907" s="25"/>
      <c r="F907" s="25"/>
      <c r="G907" s="18"/>
      <c r="H907" s="26"/>
      <c r="I907" s="18"/>
      <c r="J907" s="18"/>
      <c r="K907" s="18"/>
      <c r="L907" s="27" t="str">
        <f aca="false">IF(C907="","",IF(G907="Concluída",1,N(H907)))</f>
        <v/>
      </c>
      <c r="M907" s="13" t="str">
        <f aca="true">IF(C907="","",IF(G907="Concluída","Concluída",IF(AND(F907&lt;&gt;"",F907&lt;TODAY()),"Atrasada","No prazo")))</f>
        <v/>
      </c>
    </row>
    <row r="908" customFormat="false" ht="15" hidden="false" customHeight="false" outlineLevel="0" collapsed="false">
      <c r="A908" s="18"/>
      <c r="B908" s="18"/>
      <c r="C908" s="18"/>
      <c r="D908" s="18"/>
      <c r="E908" s="25"/>
      <c r="F908" s="25"/>
      <c r="G908" s="18"/>
      <c r="H908" s="26"/>
      <c r="I908" s="18"/>
      <c r="J908" s="18"/>
      <c r="K908" s="18"/>
      <c r="L908" s="27" t="str">
        <f aca="false">IF(C908="","",IF(G908="Concluída",1,N(H908)))</f>
        <v/>
      </c>
      <c r="M908" s="13" t="str">
        <f aca="true">IF(C908="","",IF(G908="Concluída","Concluída",IF(AND(F908&lt;&gt;"",F908&lt;TODAY()),"Atrasada","No prazo")))</f>
        <v/>
      </c>
    </row>
    <row r="909" customFormat="false" ht="15" hidden="false" customHeight="false" outlineLevel="0" collapsed="false">
      <c r="A909" s="18"/>
      <c r="B909" s="18"/>
      <c r="C909" s="18"/>
      <c r="D909" s="18"/>
      <c r="E909" s="25"/>
      <c r="F909" s="25"/>
      <c r="G909" s="18"/>
      <c r="H909" s="26"/>
      <c r="I909" s="18"/>
      <c r="J909" s="18"/>
      <c r="K909" s="18"/>
      <c r="L909" s="27" t="str">
        <f aca="false">IF(C909="","",IF(G909="Concluída",1,N(H909)))</f>
        <v/>
      </c>
      <c r="M909" s="13" t="str">
        <f aca="true">IF(C909="","",IF(G909="Concluída","Concluída",IF(AND(F909&lt;&gt;"",F909&lt;TODAY()),"Atrasada","No prazo")))</f>
        <v/>
      </c>
    </row>
    <row r="910" customFormat="false" ht="15" hidden="false" customHeight="false" outlineLevel="0" collapsed="false">
      <c r="A910" s="18"/>
      <c r="B910" s="18"/>
      <c r="C910" s="18"/>
      <c r="D910" s="18"/>
      <c r="E910" s="25"/>
      <c r="F910" s="25"/>
      <c r="G910" s="18"/>
      <c r="H910" s="26"/>
      <c r="I910" s="18"/>
      <c r="J910" s="18"/>
      <c r="K910" s="18"/>
      <c r="L910" s="27" t="str">
        <f aca="false">IF(C910="","",IF(G910="Concluída",1,N(H910)))</f>
        <v/>
      </c>
      <c r="M910" s="13" t="str">
        <f aca="true">IF(C910="","",IF(G910="Concluída","Concluída",IF(AND(F910&lt;&gt;"",F910&lt;TODAY()),"Atrasada","No prazo")))</f>
        <v/>
      </c>
    </row>
    <row r="911" customFormat="false" ht="15" hidden="false" customHeight="false" outlineLevel="0" collapsed="false">
      <c r="A911" s="18"/>
      <c r="B911" s="18"/>
      <c r="C911" s="18"/>
      <c r="D911" s="18"/>
      <c r="E911" s="25"/>
      <c r="F911" s="25"/>
      <c r="G911" s="18"/>
      <c r="H911" s="26"/>
      <c r="I911" s="18"/>
      <c r="J911" s="18"/>
      <c r="K911" s="18"/>
      <c r="L911" s="27" t="str">
        <f aca="false">IF(C911="","",IF(G911="Concluída",1,N(H911)))</f>
        <v/>
      </c>
      <c r="M911" s="13" t="str">
        <f aca="true">IF(C911="","",IF(G911="Concluída","Concluída",IF(AND(F911&lt;&gt;"",F911&lt;TODAY()),"Atrasada","No prazo")))</f>
        <v/>
      </c>
    </row>
    <row r="912" customFormat="false" ht="15" hidden="false" customHeight="false" outlineLevel="0" collapsed="false">
      <c r="A912" s="18"/>
      <c r="B912" s="18"/>
      <c r="C912" s="18"/>
      <c r="D912" s="18"/>
      <c r="E912" s="25"/>
      <c r="F912" s="25"/>
      <c r="G912" s="18"/>
      <c r="H912" s="26"/>
      <c r="I912" s="18"/>
      <c r="J912" s="18"/>
      <c r="K912" s="18"/>
      <c r="L912" s="27" t="str">
        <f aca="false">IF(C912="","",IF(G912="Concluída",1,N(H912)))</f>
        <v/>
      </c>
      <c r="M912" s="13" t="str">
        <f aca="true">IF(C912="","",IF(G912="Concluída","Concluída",IF(AND(F912&lt;&gt;"",F912&lt;TODAY()),"Atrasada","No prazo")))</f>
        <v/>
      </c>
    </row>
    <row r="913" customFormat="false" ht="15" hidden="false" customHeight="false" outlineLevel="0" collapsed="false">
      <c r="A913" s="18"/>
      <c r="B913" s="18"/>
      <c r="C913" s="18"/>
      <c r="D913" s="18"/>
      <c r="E913" s="25"/>
      <c r="F913" s="25"/>
      <c r="G913" s="18"/>
      <c r="H913" s="26"/>
      <c r="I913" s="18"/>
      <c r="J913" s="18"/>
      <c r="K913" s="18"/>
      <c r="L913" s="27" t="str">
        <f aca="false">IF(C913="","",IF(G913="Concluída",1,N(H913)))</f>
        <v/>
      </c>
      <c r="M913" s="13" t="str">
        <f aca="true">IF(C913="","",IF(G913="Concluída","Concluída",IF(AND(F913&lt;&gt;"",F913&lt;TODAY()),"Atrasada","No prazo")))</f>
        <v/>
      </c>
    </row>
    <row r="914" customFormat="false" ht="15" hidden="false" customHeight="false" outlineLevel="0" collapsed="false">
      <c r="A914" s="18"/>
      <c r="B914" s="18"/>
      <c r="C914" s="18"/>
      <c r="D914" s="18"/>
      <c r="E914" s="25"/>
      <c r="F914" s="25"/>
      <c r="G914" s="18"/>
      <c r="H914" s="26"/>
      <c r="I914" s="18"/>
      <c r="J914" s="18"/>
      <c r="K914" s="18"/>
      <c r="L914" s="27" t="str">
        <f aca="false">IF(C914="","",IF(G914="Concluída",1,N(H914)))</f>
        <v/>
      </c>
      <c r="M914" s="13" t="str">
        <f aca="true">IF(C914="","",IF(G914="Concluída","Concluída",IF(AND(F914&lt;&gt;"",F914&lt;TODAY()),"Atrasada","No prazo")))</f>
        <v/>
      </c>
    </row>
    <row r="915" customFormat="false" ht="15" hidden="false" customHeight="false" outlineLevel="0" collapsed="false">
      <c r="A915" s="18"/>
      <c r="B915" s="18"/>
      <c r="C915" s="18"/>
      <c r="D915" s="18"/>
      <c r="E915" s="25"/>
      <c r="F915" s="25"/>
      <c r="G915" s="18"/>
      <c r="H915" s="26"/>
      <c r="I915" s="18"/>
      <c r="J915" s="18"/>
      <c r="K915" s="18"/>
      <c r="L915" s="27" t="str">
        <f aca="false">IF(C915="","",IF(G915="Concluída",1,N(H915)))</f>
        <v/>
      </c>
      <c r="M915" s="13" t="str">
        <f aca="true">IF(C915="","",IF(G915="Concluída","Concluída",IF(AND(F915&lt;&gt;"",F915&lt;TODAY()),"Atrasada","No prazo")))</f>
        <v/>
      </c>
    </row>
    <row r="916" customFormat="false" ht="15" hidden="false" customHeight="false" outlineLevel="0" collapsed="false">
      <c r="A916" s="18"/>
      <c r="B916" s="18"/>
      <c r="C916" s="18"/>
      <c r="D916" s="18"/>
      <c r="E916" s="25"/>
      <c r="F916" s="25"/>
      <c r="G916" s="18"/>
      <c r="H916" s="26"/>
      <c r="I916" s="18"/>
      <c r="J916" s="18"/>
      <c r="K916" s="18"/>
      <c r="L916" s="27" t="str">
        <f aca="false">IF(C916="","",IF(G916="Concluída",1,N(H916)))</f>
        <v/>
      </c>
      <c r="M916" s="13" t="str">
        <f aca="true">IF(C916="","",IF(G916="Concluída","Concluída",IF(AND(F916&lt;&gt;"",F916&lt;TODAY()),"Atrasada","No prazo")))</f>
        <v/>
      </c>
    </row>
    <row r="917" customFormat="false" ht="15" hidden="false" customHeight="false" outlineLevel="0" collapsed="false">
      <c r="A917" s="18"/>
      <c r="B917" s="18"/>
      <c r="C917" s="18"/>
      <c r="D917" s="18"/>
      <c r="E917" s="25"/>
      <c r="F917" s="25"/>
      <c r="G917" s="18"/>
      <c r="H917" s="26"/>
      <c r="I917" s="18"/>
      <c r="J917" s="18"/>
      <c r="K917" s="18"/>
      <c r="L917" s="27" t="str">
        <f aca="false">IF(C917="","",IF(G917="Concluída",1,N(H917)))</f>
        <v/>
      </c>
      <c r="M917" s="13" t="str">
        <f aca="true">IF(C917="","",IF(G917="Concluída","Concluída",IF(AND(F917&lt;&gt;"",F917&lt;TODAY()),"Atrasada","No prazo")))</f>
        <v/>
      </c>
    </row>
    <row r="918" customFormat="false" ht="15" hidden="false" customHeight="false" outlineLevel="0" collapsed="false">
      <c r="A918" s="18"/>
      <c r="B918" s="18"/>
      <c r="C918" s="18"/>
      <c r="D918" s="18"/>
      <c r="E918" s="25"/>
      <c r="F918" s="25"/>
      <c r="G918" s="18"/>
      <c r="H918" s="26"/>
      <c r="I918" s="18"/>
      <c r="J918" s="18"/>
      <c r="K918" s="18"/>
      <c r="L918" s="27" t="str">
        <f aca="false">IF(C918="","",IF(G918="Concluída",1,N(H918)))</f>
        <v/>
      </c>
      <c r="M918" s="13" t="str">
        <f aca="true">IF(C918="","",IF(G918="Concluída","Concluída",IF(AND(F918&lt;&gt;"",F918&lt;TODAY()),"Atrasada","No prazo")))</f>
        <v/>
      </c>
    </row>
    <row r="919" customFormat="false" ht="15" hidden="false" customHeight="false" outlineLevel="0" collapsed="false">
      <c r="A919" s="18"/>
      <c r="B919" s="18"/>
      <c r="C919" s="18"/>
      <c r="D919" s="18"/>
      <c r="E919" s="25"/>
      <c r="F919" s="25"/>
      <c r="G919" s="18"/>
      <c r="H919" s="26"/>
      <c r="I919" s="18"/>
      <c r="J919" s="18"/>
      <c r="K919" s="18"/>
      <c r="L919" s="27" t="str">
        <f aca="false">IF(C919="","",IF(G919="Concluída",1,N(H919)))</f>
        <v/>
      </c>
      <c r="M919" s="13" t="str">
        <f aca="true">IF(C919="","",IF(G919="Concluída","Concluída",IF(AND(F919&lt;&gt;"",F919&lt;TODAY()),"Atrasada","No prazo")))</f>
        <v/>
      </c>
    </row>
    <row r="920" customFormat="false" ht="15" hidden="false" customHeight="false" outlineLevel="0" collapsed="false">
      <c r="A920" s="18"/>
      <c r="B920" s="18"/>
      <c r="C920" s="18"/>
      <c r="D920" s="18"/>
      <c r="E920" s="25"/>
      <c r="F920" s="25"/>
      <c r="G920" s="18"/>
      <c r="H920" s="26"/>
      <c r="I920" s="18"/>
      <c r="J920" s="18"/>
      <c r="K920" s="18"/>
      <c r="L920" s="27" t="str">
        <f aca="false">IF(C920="","",IF(G920="Concluída",1,N(H920)))</f>
        <v/>
      </c>
      <c r="M920" s="13" t="str">
        <f aca="true">IF(C920="","",IF(G920="Concluída","Concluída",IF(AND(F920&lt;&gt;"",F920&lt;TODAY()),"Atrasada","No prazo")))</f>
        <v/>
      </c>
    </row>
    <row r="921" customFormat="false" ht="15" hidden="false" customHeight="false" outlineLevel="0" collapsed="false">
      <c r="A921" s="18"/>
      <c r="B921" s="18"/>
      <c r="C921" s="18"/>
      <c r="D921" s="18"/>
      <c r="E921" s="25"/>
      <c r="F921" s="25"/>
      <c r="G921" s="18"/>
      <c r="H921" s="26"/>
      <c r="I921" s="18"/>
      <c r="J921" s="18"/>
      <c r="K921" s="18"/>
      <c r="L921" s="27" t="str">
        <f aca="false">IF(C921="","",IF(G921="Concluída",1,N(H921)))</f>
        <v/>
      </c>
      <c r="M921" s="13" t="str">
        <f aca="true">IF(C921="","",IF(G921="Concluída","Concluída",IF(AND(F921&lt;&gt;"",F921&lt;TODAY()),"Atrasada","No prazo")))</f>
        <v/>
      </c>
    </row>
    <row r="922" customFormat="false" ht="15" hidden="false" customHeight="false" outlineLevel="0" collapsed="false">
      <c r="A922" s="18"/>
      <c r="B922" s="18"/>
      <c r="C922" s="18"/>
      <c r="D922" s="18"/>
      <c r="E922" s="25"/>
      <c r="F922" s="25"/>
      <c r="G922" s="18"/>
      <c r="H922" s="26"/>
      <c r="I922" s="18"/>
      <c r="J922" s="18"/>
      <c r="K922" s="18"/>
      <c r="L922" s="27" t="str">
        <f aca="false">IF(C922="","",IF(G922="Concluída",1,N(H922)))</f>
        <v/>
      </c>
      <c r="M922" s="13" t="str">
        <f aca="true">IF(C922="","",IF(G922="Concluída","Concluída",IF(AND(F922&lt;&gt;"",F922&lt;TODAY()),"Atrasada","No prazo")))</f>
        <v/>
      </c>
    </row>
    <row r="923" customFormat="false" ht="15" hidden="false" customHeight="false" outlineLevel="0" collapsed="false">
      <c r="A923" s="18"/>
      <c r="B923" s="18"/>
      <c r="C923" s="18"/>
      <c r="D923" s="18"/>
      <c r="E923" s="25"/>
      <c r="F923" s="25"/>
      <c r="G923" s="18"/>
      <c r="H923" s="26"/>
      <c r="I923" s="18"/>
      <c r="J923" s="18"/>
      <c r="K923" s="18"/>
      <c r="L923" s="27" t="str">
        <f aca="false">IF(C923="","",IF(G923="Concluída",1,N(H923)))</f>
        <v/>
      </c>
      <c r="M923" s="13" t="str">
        <f aca="true">IF(C923="","",IF(G923="Concluída","Concluída",IF(AND(F923&lt;&gt;"",F923&lt;TODAY()),"Atrasada","No prazo")))</f>
        <v/>
      </c>
    </row>
    <row r="924" customFormat="false" ht="15" hidden="false" customHeight="false" outlineLevel="0" collapsed="false">
      <c r="A924" s="18"/>
      <c r="B924" s="18"/>
      <c r="C924" s="18"/>
      <c r="D924" s="18"/>
      <c r="E924" s="25"/>
      <c r="F924" s="25"/>
      <c r="G924" s="18"/>
      <c r="H924" s="26"/>
      <c r="I924" s="18"/>
      <c r="J924" s="18"/>
      <c r="K924" s="18"/>
      <c r="L924" s="27" t="str">
        <f aca="false">IF(C924="","",IF(G924="Concluída",1,N(H924)))</f>
        <v/>
      </c>
      <c r="M924" s="13" t="str">
        <f aca="true">IF(C924="","",IF(G924="Concluída","Concluída",IF(AND(F924&lt;&gt;"",F924&lt;TODAY()),"Atrasada","No prazo")))</f>
        <v/>
      </c>
    </row>
    <row r="925" customFormat="false" ht="15" hidden="false" customHeight="false" outlineLevel="0" collapsed="false">
      <c r="A925" s="18"/>
      <c r="B925" s="18"/>
      <c r="C925" s="18"/>
      <c r="D925" s="18"/>
      <c r="E925" s="25"/>
      <c r="F925" s="25"/>
      <c r="G925" s="18"/>
      <c r="H925" s="26"/>
      <c r="I925" s="18"/>
      <c r="J925" s="18"/>
      <c r="K925" s="18"/>
      <c r="L925" s="27" t="str">
        <f aca="false">IF(C925="","",IF(G925="Concluída",1,N(H925)))</f>
        <v/>
      </c>
      <c r="M925" s="13" t="str">
        <f aca="true">IF(C925="","",IF(G925="Concluída","Concluída",IF(AND(F925&lt;&gt;"",F925&lt;TODAY()),"Atrasada","No prazo")))</f>
        <v/>
      </c>
    </row>
    <row r="926" customFormat="false" ht="15" hidden="false" customHeight="false" outlineLevel="0" collapsed="false">
      <c r="A926" s="18"/>
      <c r="B926" s="18"/>
      <c r="C926" s="18"/>
      <c r="D926" s="18"/>
      <c r="E926" s="25"/>
      <c r="F926" s="25"/>
      <c r="G926" s="18"/>
      <c r="H926" s="26"/>
      <c r="I926" s="18"/>
      <c r="J926" s="18"/>
      <c r="K926" s="18"/>
      <c r="L926" s="27" t="str">
        <f aca="false">IF(C926="","",IF(G926="Concluída",1,N(H926)))</f>
        <v/>
      </c>
      <c r="M926" s="13" t="str">
        <f aca="true">IF(C926="","",IF(G926="Concluída","Concluída",IF(AND(F926&lt;&gt;"",F926&lt;TODAY()),"Atrasada","No prazo")))</f>
        <v/>
      </c>
    </row>
    <row r="927" customFormat="false" ht="15" hidden="false" customHeight="false" outlineLevel="0" collapsed="false">
      <c r="A927" s="18"/>
      <c r="B927" s="18"/>
      <c r="C927" s="18"/>
      <c r="D927" s="18"/>
      <c r="E927" s="25"/>
      <c r="F927" s="25"/>
      <c r="G927" s="18"/>
      <c r="H927" s="26"/>
      <c r="I927" s="18"/>
      <c r="J927" s="18"/>
      <c r="K927" s="18"/>
      <c r="L927" s="27" t="str">
        <f aca="false">IF(C927="","",IF(G927="Concluída",1,N(H927)))</f>
        <v/>
      </c>
      <c r="M927" s="13" t="str">
        <f aca="true">IF(C927="","",IF(G927="Concluída","Concluída",IF(AND(F927&lt;&gt;"",F927&lt;TODAY()),"Atrasada","No prazo")))</f>
        <v/>
      </c>
    </row>
    <row r="928" customFormat="false" ht="15" hidden="false" customHeight="false" outlineLevel="0" collapsed="false">
      <c r="A928" s="18"/>
      <c r="B928" s="18"/>
      <c r="C928" s="18"/>
      <c r="D928" s="18"/>
      <c r="E928" s="25"/>
      <c r="F928" s="25"/>
      <c r="G928" s="18"/>
      <c r="H928" s="26"/>
      <c r="I928" s="18"/>
      <c r="J928" s="18"/>
      <c r="K928" s="18"/>
      <c r="L928" s="27" t="str">
        <f aca="false">IF(C928="","",IF(G928="Concluída",1,N(H928)))</f>
        <v/>
      </c>
      <c r="M928" s="13" t="str">
        <f aca="true">IF(C928="","",IF(G928="Concluída","Concluída",IF(AND(F928&lt;&gt;"",F928&lt;TODAY()),"Atrasada","No prazo")))</f>
        <v/>
      </c>
    </row>
    <row r="929" customFormat="false" ht="15" hidden="false" customHeight="false" outlineLevel="0" collapsed="false">
      <c r="A929" s="18"/>
      <c r="B929" s="18"/>
      <c r="C929" s="18"/>
      <c r="D929" s="18"/>
      <c r="E929" s="25"/>
      <c r="F929" s="25"/>
      <c r="G929" s="18"/>
      <c r="H929" s="26"/>
      <c r="I929" s="18"/>
      <c r="J929" s="18"/>
      <c r="K929" s="18"/>
      <c r="L929" s="27" t="str">
        <f aca="false">IF(C929="","",IF(G929="Concluída",1,N(H929)))</f>
        <v/>
      </c>
      <c r="M929" s="13" t="str">
        <f aca="true">IF(C929="","",IF(G929="Concluída","Concluída",IF(AND(F929&lt;&gt;"",F929&lt;TODAY()),"Atrasada","No prazo")))</f>
        <v/>
      </c>
    </row>
    <row r="930" customFormat="false" ht="15" hidden="false" customHeight="false" outlineLevel="0" collapsed="false">
      <c r="A930" s="18"/>
      <c r="B930" s="18"/>
      <c r="C930" s="18"/>
      <c r="D930" s="18"/>
      <c r="E930" s="25"/>
      <c r="F930" s="25"/>
      <c r="G930" s="18"/>
      <c r="H930" s="26"/>
      <c r="I930" s="18"/>
      <c r="J930" s="18"/>
      <c r="K930" s="18"/>
      <c r="L930" s="27" t="str">
        <f aca="false">IF(C930="","",IF(G930="Concluída",1,N(H930)))</f>
        <v/>
      </c>
      <c r="M930" s="13" t="str">
        <f aca="true">IF(C930="","",IF(G930="Concluída","Concluída",IF(AND(F930&lt;&gt;"",F930&lt;TODAY()),"Atrasada","No prazo")))</f>
        <v/>
      </c>
    </row>
    <row r="931" customFormat="false" ht="15" hidden="false" customHeight="false" outlineLevel="0" collapsed="false">
      <c r="A931" s="18"/>
      <c r="B931" s="18"/>
      <c r="C931" s="18"/>
      <c r="D931" s="18"/>
      <c r="E931" s="25"/>
      <c r="F931" s="25"/>
      <c r="G931" s="18"/>
      <c r="H931" s="26"/>
      <c r="I931" s="18"/>
      <c r="J931" s="18"/>
      <c r="K931" s="18"/>
      <c r="L931" s="27" t="str">
        <f aca="false">IF(C931="","",IF(G931="Concluída",1,N(H931)))</f>
        <v/>
      </c>
      <c r="M931" s="13" t="str">
        <f aca="true">IF(C931="","",IF(G931="Concluída","Concluída",IF(AND(F931&lt;&gt;"",F931&lt;TODAY()),"Atrasada","No prazo")))</f>
        <v/>
      </c>
    </row>
    <row r="932" customFormat="false" ht="15" hidden="false" customHeight="false" outlineLevel="0" collapsed="false">
      <c r="A932" s="18"/>
      <c r="B932" s="18"/>
      <c r="C932" s="18"/>
      <c r="D932" s="18"/>
      <c r="E932" s="25"/>
      <c r="F932" s="25"/>
      <c r="G932" s="18"/>
      <c r="H932" s="26"/>
      <c r="I932" s="18"/>
      <c r="J932" s="18"/>
      <c r="K932" s="18"/>
      <c r="L932" s="27" t="str">
        <f aca="false">IF(C932="","",IF(G932="Concluída",1,N(H932)))</f>
        <v/>
      </c>
      <c r="M932" s="13" t="str">
        <f aca="true">IF(C932="","",IF(G932="Concluída","Concluída",IF(AND(F932&lt;&gt;"",F932&lt;TODAY()),"Atrasada","No prazo")))</f>
        <v/>
      </c>
    </row>
    <row r="933" customFormat="false" ht="15" hidden="false" customHeight="false" outlineLevel="0" collapsed="false">
      <c r="A933" s="18"/>
      <c r="B933" s="18"/>
      <c r="C933" s="18"/>
      <c r="D933" s="18"/>
      <c r="E933" s="25"/>
      <c r="F933" s="25"/>
      <c r="G933" s="18"/>
      <c r="H933" s="26"/>
      <c r="I933" s="18"/>
      <c r="J933" s="18"/>
      <c r="K933" s="18"/>
      <c r="L933" s="27" t="str">
        <f aca="false">IF(C933="","",IF(G933="Concluída",1,N(H933)))</f>
        <v/>
      </c>
      <c r="M933" s="13" t="str">
        <f aca="true">IF(C933="","",IF(G933="Concluída","Concluída",IF(AND(F933&lt;&gt;"",F933&lt;TODAY()),"Atrasada","No prazo")))</f>
        <v/>
      </c>
    </row>
    <row r="934" customFormat="false" ht="15" hidden="false" customHeight="false" outlineLevel="0" collapsed="false">
      <c r="A934" s="18"/>
      <c r="B934" s="18"/>
      <c r="C934" s="18"/>
      <c r="D934" s="18"/>
      <c r="E934" s="25"/>
      <c r="F934" s="25"/>
      <c r="G934" s="18"/>
      <c r="H934" s="26"/>
      <c r="I934" s="18"/>
      <c r="J934" s="18"/>
      <c r="K934" s="18"/>
      <c r="L934" s="27" t="str">
        <f aca="false">IF(C934="","",IF(G934="Concluída",1,N(H934)))</f>
        <v/>
      </c>
      <c r="M934" s="13" t="str">
        <f aca="true">IF(C934="","",IF(G934="Concluída","Concluída",IF(AND(F934&lt;&gt;"",F934&lt;TODAY()),"Atrasada","No prazo")))</f>
        <v/>
      </c>
    </row>
    <row r="935" customFormat="false" ht="15" hidden="false" customHeight="false" outlineLevel="0" collapsed="false">
      <c r="A935" s="18"/>
      <c r="B935" s="18"/>
      <c r="C935" s="18"/>
      <c r="D935" s="18"/>
      <c r="E935" s="25"/>
      <c r="F935" s="25"/>
      <c r="G935" s="18"/>
      <c r="H935" s="26"/>
      <c r="I935" s="18"/>
      <c r="J935" s="18"/>
      <c r="K935" s="18"/>
      <c r="L935" s="27" t="str">
        <f aca="false">IF(C935="","",IF(G935="Concluída",1,N(H935)))</f>
        <v/>
      </c>
      <c r="M935" s="13" t="str">
        <f aca="true">IF(C935="","",IF(G935="Concluída","Concluída",IF(AND(F935&lt;&gt;"",F935&lt;TODAY()),"Atrasada","No prazo")))</f>
        <v/>
      </c>
    </row>
    <row r="936" customFormat="false" ht="15" hidden="false" customHeight="false" outlineLevel="0" collapsed="false">
      <c r="A936" s="18"/>
      <c r="B936" s="18"/>
      <c r="C936" s="18"/>
      <c r="D936" s="18"/>
      <c r="E936" s="25"/>
      <c r="F936" s="25"/>
      <c r="G936" s="18"/>
      <c r="H936" s="26"/>
      <c r="I936" s="18"/>
      <c r="J936" s="18"/>
      <c r="K936" s="18"/>
      <c r="L936" s="27" t="str">
        <f aca="false">IF(C936="","",IF(G936="Concluída",1,N(H936)))</f>
        <v/>
      </c>
      <c r="M936" s="13" t="str">
        <f aca="true">IF(C936="","",IF(G936="Concluída","Concluída",IF(AND(F936&lt;&gt;"",F936&lt;TODAY()),"Atrasada","No prazo")))</f>
        <v/>
      </c>
    </row>
    <row r="937" customFormat="false" ht="15" hidden="false" customHeight="false" outlineLevel="0" collapsed="false">
      <c r="A937" s="18"/>
      <c r="B937" s="18"/>
      <c r="C937" s="18"/>
      <c r="D937" s="18"/>
      <c r="E937" s="25"/>
      <c r="F937" s="25"/>
      <c r="G937" s="18"/>
      <c r="H937" s="26"/>
      <c r="I937" s="18"/>
      <c r="J937" s="18"/>
      <c r="K937" s="18"/>
      <c r="L937" s="27" t="str">
        <f aca="false">IF(C937="","",IF(G937="Concluída",1,N(H937)))</f>
        <v/>
      </c>
      <c r="M937" s="13" t="str">
        <f aca="true">IF(C937="","",IF(G937="Concluída","Concluída",IF(AND(F937&lt;&gt;"",F937&lt;TODAY()),"Atrasada","No prazo")))</f>
        <v/>
      </c>
    </row>
    <row r="938" customFormat="false" ht="15" hidden="false" customHeight="false" outlineLevel="0" collapsed="false">
      <c r="A938" s="18"/>
      <c r="B938" s="18"/>
      <c r="C938" s="18"/>
      <c r="D938" s="18"/>
      <c r="E938" s="25"/>
      <c r="F938" s="25"/>
      <c r="G938" s="18"/>
      <c r="H938" s="26"/>
      <c r="I938" s="18"/>
      <c r="J938" s="18"/>
      <c r="K938" s="18"/>
      <c r="L938" s="27" t="str">
        <f aca="false">IF(C938="","",IF(G938="Concluída",1,N(H938)))</f>
        <v/>
      </c>
      <c r="M938" s="13" t="str">
        <f aca="true">IF(C938="","",IF(G938="Concluída","Concluída",IF(AND(F938&lt;&gt;"",F938&lt;TODAY()),"Atrasada","No prazo")))</f>
        <v/>
      </c>
    </row>
    <row r="939" customFormat="false" ht="15" hidden="false" customHeight="false" outlineLevel="0" collapsed="false">
      <c r="A939" s="18"/>
      <c r="B939" s="18"/>
      <c r="C939" s="18"/>
      <c r="D939" s="18"/>
      <c r="E939" s="25"/>
      <c r="F939" s="25"/>
      <c r="G939" s="18"/>
      <c r="H939" s="26"/>
      <c r="I939" s="18"/>
      <c r="J939" s="18"/>
      <c r="K939" s="18"/>
      <c r="L939" s="27" t="str">
        <f aca="false">IF(C939="","",IF(G939="Concluída",1,N(H939)))</f>
        <v/>
      </c>
      <c r="M939" s="13" t="str">
        <f aca="true">IF(C939="","",IF(G939="Concluída","Concluída",IF(AND(F939&lt;&gt;"",F939&lt;TODAY()),"Atrasada","No prazo")))</f>
        <v/>
      </c>
    </row>
    <row r="940" customFormat="false" ht="15" hidden="false" customHeight="false" outlineLevel="0" collapsed="false">
      <c r="A940" s="18"/>
      <c r="B940" s="18"/>
      <c r="C940" s="18"/>
      <c r="D940" s="18"/>
      <c r="E940" s="25"/>
      <c r="F940" s="25"/>
      <c r="G940" s="18"/>
      <c r="H940" s="26"/>
      <c r="I940" s="18"/>
      <c r="J940" s="18"/>
      <c r="K940" s="18"/>
      <c r="L940" s="27" t="str">
        <f aca="false">IF(C940="","",IF(G940="Concluída",1,N(H940)))</f>
        <v/>
      </c>
      <c r="M940" s="13" t="str">
        <f aca="true">IF(C940="","",IF(G940="Concluída","Concluída",IF(AND(F940&lt;&gt;"",F940&lt;TODAY()),"Atrasada","No prazo")))</f>
        <v/>
      </c>
    </row>
    <row r="941" customFormat="false" ht="15" hidden="false" customHeight="false" outlineLevel="0" collapsed="false">
      <c r="A941" s="18"/>
      <c r="B941" s="18"/>
      <c r="C941" s="18"/>
      <c r="D941" s="18"/>
      <c r="E941" s="25"/>
      <c r="F941" s="25"/>
      <c r="G941" s="18"/>
      <c r="H941" s="26"/>
      <c r="I941" s="18"/>
      <c r="J941" s="18"/>
      <c r="K941" s="18"/>
      <c r="L941" s="27" t="str">
        <f aca="false">IF(C941="","",IF(G941="Concluída",1,N(H941)))</f>
        <v/>
      </c>
      <c r="M941" s="13" t="str">
        <f aca="true">IF(C941="","",IF(G941="Concluída","Concluída",IF(AND(F941&lt;&gt;"",F941&lt;TODAY()),"Atrasada","No prazo")))</f>
        <v/>
      </c>
    </row>
    <row r="942" customFormat="false" ht="15" hidden="false" customHeight="false" outlineLevel="0" collapsed="false">
      <c r="A942" s="18"/>
      <c r="B942" s="18"/>
      <c r="C942" s="18"/>
      <c r="D942" s="18"/>
      <c r="E942" s="25"/>
      <c r="F942" s="25"/>
      <c r="G942" s="18"/>
      <c r="H942" s="26"/>
      <c r="I942" s="18"/>
      <c r="J942" s="18"/>
      <c r="K942" s="18"/>
      <c r="L942" s="27" t="str">
        <f aca="false">IF(C942="","",IF(G942="Concluída",1,N(H942)))</f>
        <v/>
      </c>
      <c r="M942" s="13" t="str">
        <f aca="true">IF(C942="","",IF(G942="Concluída","Concluída",IF(AND(F942&lt;&gt;"",F942&lt;TODAY()),"Atrasada","No prazo")))</f>
        <v/>
      </c>
    </row>
    <row r="943" customFormat="false" ht="15" hidden="false" customHeight="false" outlineLevel="0" collapsed="false">
      <c r="A943" s="18"/>
      <c r="B943" s="18"/>
      <c r="C943" s="18"/>
      <c r="D943" s="18"/>
      <c r="E943" s="25"/>
      <c r="F943" s="25"/>
      <c r="G943" s="18"/>
      <c r="H943" s="26"/>
      <c r="I943" s="18"/>
      <c r="J943" s="18"/>
      <c r="K943" s="18"/>
      <c r="L943" s="27" t="str">
        <f aca="false">IF(C943="","",IF(G943="Concluída",1,N(H943)))</f>
        <v/>
      </c>
      <c r="M943" s="13" t="str">
        <f aca="true">IF(C943="","",IF(G943="Concluída","Concluída",IF(AND(F943&lt;&gt;"",F943&lt;TODAY()),"Atrasada","No prazo")))</f>
        <v/>
      </c>
    </row>
    <row r="944" customFormat="false" ht="15" hidden="false" customHeight="false" outlineLevel="0" collapsed="false">
      <c r="A944" s="18"/>
      <c r="B944" s="18"/>
      <c r="C944" s="18"/>
      <c r="D944" s="18"/>
      <c r="E944" s="25"/>
      <c r="F944" s="25"/>
      <c r="G944" s="18"/>
      <c r="H944" s="26"/>
      <c r="I944" s="18"/>
      <c r="J944" s="18"/>
      <c r="K944" s="18"/>
      <c r="L944" s="27" t="str">
        <f aca="false">IF(C944="","",IF(G944="Concluída",1,N(H944)))</f>
        <v/>
      </c>
      <c r="M944" s="13" t="str">
        <f aca="true">IF(C944="","",IF(G944="Concluída","Concluída",IF(AND(F944&lt;&gt;"",F944&lt;TODAY()),"Atrasada","No prazo")))</f>
        <v/>
      </c>
    </row>
    <row r="945" customFormat="false" ht="15" hidden="false" customHeight="false" outlineLevel="0" collapsed="false">
      <c r="A945" s="18"/>
      <c r="B945" s="18"/>
      <c r="C945" s="18"/>
      <c r="D945" s="18"/>
      <c r="E945" s="25"/>
      <c r="F945" s="25"/>
      <c r="G945" s="18"/>
      <c r="H945" s="26"/>
      <c r="I945" s="18"/>
      <c r="J945" s="18"/>
      <c r="K945" s="18"/>
      <c r="L945" s="27" t="str">
        <f aca="false">IF(C945="","",IF(G945="Concluída",1,N(H945)))</f>
        <v/>
      </c>
      <c r="M945" s="13" t="str">
        <f aca="true">IF(C945="","",IF(G945="Concluída","Concluída",IF(AND(F945&lt;&gt;"",F945&lt;TODAY()),"Atrasada","No prazo")))</f>
        <v/>
      </c>
    </row>
    <row r="946" customFormat="false" ht="15" hidden="false" customHeight="false" outlineLevel="0" collapsed="false">
      <c r="A946" s="18"/>
      <c r="B946" s="18"/>
      <c r="C946" s="18"/>
      <c r="D946" s="18"/>
      <c r="E946" s="25"/>
      <c r="F946" s="25"/>
      <c r="G946" s="18"/>
      <c r="H946" s="26"/>
      <c r="I946" s="18"/>
      <c r="J946" s="18"/>
      <c r="K946" s="18"/>
      <c r="L946" s="27" t="str">
        <f aca="false">IF(C946="","",IF(G946="Concluída",1,N(H946)))</f>
        <v/>
      </c>
      <c r="M946" s="13" t="str">
        <f aca="true">IF(C946="","",IF(G946="Concluída","Concluída",IF(AND(F946&lt;&gt;"",F946&lt;TODAY()),"Atrasada","No prazo")))</f>
        <v/>
      </c>
    </row>
    <row r="947" customFormat="false" ht="15" hidden="false" customHeight="false" outlineLevel="0" collapsed="false">
      <c r="A947" s="18"/>
      <c r="B947" s="18"/>
      <c r="C947" s="18"/>
      <c r="D947" s="18"/>
      <c r="E947" s="25"/>
      <c r="F947" s="25"/>
      <c r="G947" s="18"/>
      <c r="H947" s="26"/>
      <c r="I947" s="18"/>
      <c r="J947" s="18"/>
      <c r="K947" s="18"/>
      <c r="L947" s="27" t="str">
        <f aca="false">IF(C947="","",IF(G947="Concluída",1,N(H947)))</f>
        <v/>
      </c>
      <c r="M947" s="13" t="str">
        <f aca="true">IF(C947="","",IF(G947="Concluída","Concluída",IF(AND(F947&lt;&gt;"",F947&lt;TODAY()),"Atrasada","No prazo")))</f>
        <v/>
      </c>
    </row>
    <row r="948" customFormat="false" ht="15" hidden="false" customHeight="false" outlineLevel="0" collapsed="false">
      <c r="A948" s="18"/>
      <c r="B948" s="18"/>
      <c r="C948" s="18"/>
      <c r="D948" s="18"/>
      <c r="E948" s="25"/>
      <c r="F948" s="25"/>
      <c r="G948" s="18"/>
      <c r="H948" s="26"/>
      <c r="I948" s="18"/>
      <c r="J948" s="18"/>
      <c r="K948" s="18"/>
      <c r="L948" s="27" t="str">
        <f aca="false">IF(C948="","",IF(G948="Concluída",1,N(H948)))</f>
        <v/>
      </c>
      <c r="M948" s="13" t="str">
        <f aca="true">IF(C948="","",IF(G948="Concluída","Concluída",IF(AND(F948&lt;&gt;"",F948&lt;TODAY()),"Atrasada","No prazo")))</f>
        <v/>
      </c>
    </row>
    <row r="949" customFormat="false" ht="15" hidden="false" customHeight="false" outlineLevel="0" collapsed="false">
      <c r="A949" s="18"/>
      <c r="B949" s="18"/>
      <c r="C949" s="18"/>
      <c r="D949" s="18"/>
      <c r="E949" s="25"/>
      <c r="F949" s="25"/>
      <c r="G949" s="18"/>
      <c r="H949" s="26"/>
      <c r="I949" s="18"/>
      <c r="J949" s="18"/>
      <c r="K949" s="18"/>
      <c r="L949" s="27" t="str">
        <f aca="false">IF(C949="","",IF(G949="Concluída",1,N(H949)))</f>
        <v/>
      </c>
      <c r="M949" s="13" t="str">
        <f aca="true">IF(C949="","",IF(G949="Concluída","Concluída",IF(AND(F949&lt;&gt;"",F949&lt;TODAY()),"Atrasada","No prazo")))</f>
        <v/>
      </c>
    </row>
    <row r="950" customFormat="false" ht="15" hidden="false" customHeight="false" outlineLevel="0" collapsed="false">
      <c r="A950" s="18"/>
      <c r="B950" s="18"/>
      <c r="C950" s="18"/>
      <c r="D950" s="18"/>
      <c r="E950" s="25"/>
      <c r="F950" s="25"/>
      <c r="G950" s="18"/>
      <c r="H950" s="26"/>
      <c r="I950" s="18"/>
      <c r="J950" s="18"/>
      <c r="K950" s="18"/>
      <c r="L950" s="27" t="str">
        <f aca="false">IF(C950="","",IF(G950="Concluída",1,N(H950)))</f>
        <v/>
      </c>
      <c r="M950" s="13" t="str">
        <f aca="true">IF(C950="","",IF(G950="Concluída","Concluída",IF(AND(F950&lt;&gt;"",F950&lt;TODAY()),"Atrasada","No prazo")))</f>
        <v/>
      </c>
    </row>
    <row r="951" customFormat="false" ht="15" hidden="false" customHeight="false" outlineLevel="0" collapsed="false">
      <c r="A951" s="18"/>
      <c r="B951" s="18"/>
      <c r="C951" s="18"/>
      <c r="D951" s="18"/>
      <c r="E951" s="25"/>
      <c r="F951" s="25"/>
      <c r="G951" s="18"/>
      <c r="H951" s="26"/>
      <c r="I951" s="18"/>
      <c r="J951" s="18"/>
      <c r="K951" s="18"/>
      <c r="L951" s="27" t="str">
        <f aca="false">IF(C951="","",IF(G951="Concluída",1,N(H951)))</f>
        <v/>
      </c>
      <c r="M951" s="13" t="str">
        <f aca="true">IF(C951="","",IF(G951="Concluída","Concluída",IF(AND(F951&lt;&gt;"",F951&lt;TODAY()),"Atrasada","No prazo")))</f>
        <v/>
      </c>
    </row>
    <row r="952" customFormat="false" ht="15" hidden="false" customHeight="false" outlineLevel="0" collapsed="false">
      <c r="A952" s="18"/>
      <c r="B952" s="18"/>
      <c r="C952" s="18"/>
      <c r="D952" s="18"/>
      <c r="E952" s="25"/>
      <c r="F952" s="25"/>
      <c r="G952" s="18"/>
      <c r="H952" s="26"/>
      <c r="I952" s="18"/>
      <c r="J952" s="18"/>
      <c r="K952" s="18"/>
      <c r="L952" s="27" t="str">
        <f aca="false">IF(C952="","",IF(G952="Concluída",1,N(H952)))</f>
        <v/>
      </c>
      <c r="M952" s="13" t="str">
        <f aca="true">IF(C952="","",IF(G952="Concluída","Concluída",IF(AND(F952&lt;&gt;"",F952&lt;TODAY()),"Atrasada","No prazo")))</f>
        <v/>
      </c>
    </row>
    <row r="953" customFormat="false" ht="15" hidden="false" customHeight="false" outlineLevel="0" collapsed="false">
      <c r="A953" s="18"/>
      <c r="B953" s="18"/>
      <c r="C953" s="18"/>
      <c r="D953" s="18"/>
      <c r="E953" s="25"/>
      <c r="F953" s="25"/>
      <c r="G953" s="18"/>
      <c r="H953" s="26"/>
      <c r="I953" s="18"/>
      <c r="J953" s="18"/>
      <c r="K953" s="18"/>
      <c r="L953" s="27" t="str">
        <f aca="false">IF(C953="","",IF(G953="Concluída",1,N(H953)))</f>
        <v/>
      </c>
      <c r="M953" s="13" t="str">
        <f aca="true">IF(C953="","",IF(G953="Concluída","Concluída",IF(AND(F953&lt;&gt;"",F953&lt;TODAY()),"Atrasada","No prazo")))</f>
        <v/>
      </c>
    </row>
    <row r="954" customFormat="false" ht="15" hidden="false" customHeight="false" outlineLevel="0" collapsed="false">
      <c r="A954" s="18"/>
      <c r="B954" s="18"/>
      <c r="C954" s="18"/>
      <c r="D954" s="18"/>
      <c r="E954" s="25"/>
      <c r="F954" s="25"/>
      <c r="G954" s="18"/>
      <c r="H954" s="26"/>
      <c r="I954" s="18"/>
      <c r="J954" s="18"/>
      <c r="K954" s="18"/>
      <c r="L954" s="27" t="str">
        <f aca="false">IF(C954="","",IF(G954="Concluída",1,N(H954)))</f>
        <v/>
      </c>
      <c r="M954" s="13" t="str">
        <f aca="true">IF(C954="","",IF(G954="Concluída","Concluída",IF(AND(F954&lt;&gt;"",F954&lt;TODAY()),"Atrasada","No prazo")))</f>
        <v/>
      </c>
    </row>
    <row r="955" customFormat="false" ht="15" hidden="false" customHeight="false" outlineLevel="0" collapsed="false">
      <c r="A955" s="18"/>
      <c r="B955" s="18"/>
      <c r="C955" s="18"/>
      <c r="D955" s="18"/>
      <c r="E955" s="25"/>
      <c r="F955" s="25"/>
      <c r="G955" s="18"/>
      <c r="H955" s="26"/>
      <c r="I955" s="18"/>
      <c r="J955" s="18"/>
      <c r="K955" s="18"/>
      <c r="L955" s="27" t="str">
        <f aca="false">IF(C955="","",IF(G955="Concluída",1,N(H955)))</f>
        <v/>
      </c>
      <c r="M955" s="13" t="str">
        <f aca="true">IF(C955="","",IF(G955="Concluída","Concluída",IF(AND(F955&lt;&gt;"",F955&lt;TODAY()),"Atrasada","No prazo")))</f>
        <v/>
      </c>
    </row>
    <row r="956" customFormat="false" ht="15" hidden="false" customHeight="false" outlineLevel="0" collapsed="false">
      <c r="A956" s="18"/>
      <c r="B956" s="18"/>
      <c r="C956" s="18"/>
      <c r="D956" s="18"/>
      <c r="E956" s="25"/>
      <c r="F956" s="25"/>
      <c r="G956" s="18"/>
      <c r="H956" s="26"/>
      <c r="I956" s="18"/>
      <c r="J956" s="18"/>
      <c r="K956" s="18"/>
      <c r="L956" s="27" t="str">
        <f aca="false">IF(C956="","",IF(G956="Concluída",1,N(H956)))</f>
        <v/>
      </c>
      <c r="M956" s="13" t="str">
        <f aca="true">IF(C956="","",IF(G956="Concluída","Concluída",IF(AND(F956&lt;&gt;"",F956&lt;TODAY()),"Atrasada","No prazo")))</f>
        <v/>
      </c>
    </row>
    <row r="957" customFormat="false" ht="15" hidden="false" customHeight="false" outlineLevel="0" collapsed="false">
      <c r="A957" s="18"/>
      <c r="B957" s="18"/>
      <c r="C957" s="18"/>
      <c r="D957" s="18"/>
      <c r="E957" s="25"/>
      <c r="F957" s="25"/>
      <c r="G957" s="18"/>
      <c r="H957" s="26"/>
      <c r="I957" s="18"/>
      <c r="J957" s="18"/>
      <c r="K957" s="18"/>
      <c r="L957" s="27" t="str">
        <f aca="false">IF(C957="","",IF(G957="Concluída",1,N(H957)))</f>
        <v/>
      </c>
      <c r="M957" s="13" t="str">
        <f aca="true">IF(C957="","",IF(G957="Concluída","Concluída",IF(AND(F957&lt;&gt;"",F957&lt;TODAY()),"Atrasada","No prazo")))</f>
        <v/>
      </c>
    </row>
    <row r="958" customFormat="false" ht="15" hidden="false" customHeight="false" outlineLevel="0" collapsed="false">
      <c r="A958" s="18"/>
      <c r="B958" s="18"/>
      <c r="C958" s="18"/>
      <c r="D958" s="18"/>
      <c r="E958" s="25"/>
      <c r="F958" s="25"/>
      <c r="G958" s="18"/>
      <c r="H958" s="26"/>
      <c r="I958" s="18"/>
      <c r="J958" s="18"/>
      <c r="K958" s="18"/>
      <c r="L958" s="27" t="str">
        <f aca="false">IF(C958="","",IF(G958="Concluída",1,N(H958)))</f>
        <v/>
      </c>
      <c r="M958" s="13" t="str">
        <f aca="true">IF(C958="","",IF(G958="Concluída","Concluída",IF(AND(F958&lt;&gt;"",F958&lt;TODAY()),"Atrasada","No prazo")))</f>
        <v/>
      </c>
    </row>
    <row r="959" customFormat="false" ht="15" hidden="false" customHeight="false" outlineLevel="0" collapsed="false">
      <c r="A959" s="18"/>
      <c r="B959" s="18"/>
      <c r="C959" s="18"/>
      <c r="D959" s="18"/>
      <c r="E959" s="25"/>
      <c r="F959" s="25"/>
      <c r="G959" s="18"/>
      <c r="H959" s="26"/>
      <c r="I959" s="18"/>
      <c r="J959" s="18"/>
      <c r="K959" s="18"/>
      <c r="L959" s="27" t="str">
        <f aca="false">IF(C959="","",IF(G959="Concluída",1,N(H959)))</f>
        <v/>
      </c>
      <c r="M959" s="13" t="str">
        <f aca="true">IF(C959="","",IF(G959="Concluída","Concluída",IF(AND(F959&lt;&gt;"",F959&lt;TODAY()),"Atrasada","No prazo")))</f>
        <v/>
      </c>
    </row>
    <row r="960" customFormat="false" ht="15" hidden="false" customHeight="false" outlineLevel="0" collapsed="false">
      <c r="A960" s="18"/>
      <c r="B960" s="18"/>
      <c r="C960" s="18"/>
      <c r="D960" s="18"/>
      <c r="E960" s="25"/>
      <c r="F960" s="25"/>
      <c r="G960" s="18"/>
      <c r="H960" s="26"/>
      <c r="I960" s="18"/>
      <c r="J960" s="18"/>
      <c r="K960" s="18"/>
      <c r="L960" s="27" t="str">
        <f aca="false">IF(C960="","",IF(G960="Concluída",1,N(H960)))</f>
        <v/>
      </c>
      <c r="M960" s="13" t="str">
        <f aca="true">IF(C960="","",IF(G960="Concluída","Concluída",IF(AND(F960&lt;&gt;"",F960&lt;TODAY()),"Atrasada","No prazo")))</f>
        <v/>
      </c>
    </row>
    <row r="961" customFormat="false" ht="15" hidden="false" customHeight="false" outlineLevel="0" collapsed="false">
      <c r="A961" s="18"/>
      <c r="B961" s="18"/>
      <c r="C961" s="18"/>
      <c r="D961" s="18"/>
      <c r="E961" s="25"/>
      <c r="F961" s="25"/>
      <c r="G961" s="18"/>
      <c r="H961" s="26"/>
      <c r="I961" s="18"/>
      <c r="J961" s="18"/>
      <c r="K961" s="18"/>
      <c r="L961" s="27" t="str">
        <f aca="false">IF(C961="","",IF(G961="Concluída",1,N(H961)))</f>
        <v/>
      </c>
      <c r="M961" s="13" t="str">
        <f aca="true">IF(C961="","",IF(G961="Concluída","Concluída",IF(AND(F961&lt;&gt;"",F961&lt;TODAY()),"Atrasada","No prazo")))</f>
        <v/>
      </c>
    </row>
    <row r="962" customFormat="false" ht="15" hidden="false" customHeight="false" outlineLevel="0" collapsed="false">
      <c r="A962" s="18"/>
      <c r="B962" s="18"/>
      <c r="C962" s="18"/>
      <c r="D962" s="18"/>
      <c r="E962" s="25"/>
      <c r="F962" s="25"/>
      <c r="G962" s="18"/>
      <c r="H962" s="26"/>
      <c r="I962" s="18"/>
      <c r="J962" s="18"/>
      <c r="K962" s="18"/>
      <c r="L962" s="27" t="str">
        <f aca="false">IF(C962="","",IF(G962="Concluída",1,N(H962)))</f>
        <v/>
      </c>
      <c r="M962" s="13" t="str">
        <f aca="true">IF(C962="","",IF(G962="Concluída","Concluída",IF(AND(F962&lt;&gt;"",F962&lt;TODAY()),"Atrasada","No prazo")))</f>
        <v/>
      </c>
    </row>
    <row r="963" customFormat="false" ht="15" hidden="false" customHeight="false" outlineLevel="0" collapsed="false">
      <c r="A963" s="18"/>
      <c r="B963" s="18"/>
      <c r="C963" s="18"/>
      <c r="D963" s="18"/>
      <c r="E963" s="25"/>
      <c r="F963" s="25"/>
      <c r="G963" s="18"/>
      <c r="H963" s="26"/>
      <c r="I963" s="18"/>
      <c r="J963" s="18"/>
      <c r="K963" s="18"/>
      <c r="L963" s="27" t="str">
        <f aca="false">IF(C963="","",IF(G963="Concluída",1,N(H963)))</f>
        <v/>
      </c>
      <c r="M963" s="13" t="str">
        <f aca="true">IF(C963="","",IF(G963="Concluída","Concluída",IF(AND(F963&lt;&gt;"",F963&lt;TODAY()),"Atrasada","No prazo")))</f>
        <v/>
      </c>
    </row>
    <row r="964" customFormat="false" ht="15" hidden="false" customHeight="false" outlineLevel="0" collapsed="false">
      <c r="A964" s="18"/>
      <c r="B964" s="18"/>
      <c r="C964" s="18"/>
      <c r="D964" s="18"/>
      <c r="E964" s="25"/>
      <c r="F964" s="25"/>
      <c r="G964" s="18"/>
      <c r="H964" s="26"/>
      <c r="I964" s="18"/>
      <c r="J964" s="18"/>
      <c r="K964" s="18"/>
      <c r="L964" s="27" t="str">
        <f aca="false">IF(C964="","",IF(G964="Concluída",1,N(H964)))</f>
        <v/>
      </c>
      <c r="M964" s="13" t="str">
        <f aca="true">IF(C964="","",IF(G964="Concluída","Concluída",IF(AND(F964&lt;&gt;"",F964&lt;TODAY()),"Atrasada","No prazo")))</f>
        <v/>
      </c>
    </row>
    <row r="965" customFormat="false" ht="15" hidden="false" customHeight="false" outlineLevel="0" collapsed="false">
      <c r="A965" s="18"/>
      <c r="B965" s="18"/>
      <c r="C965" s="18"/>
      <c r="D965" s="18"/>
      <c r="E965" s="25"/>
      <c r="F965" s="25"/>
      <c r="G965" s="18"/>
      <c r="H965" s="26"/>
      <c r="I965" s="18"/>
      <c r="J965" s="18"/>
      <c r="K965" s="18"/>
      <c r="L965" s="27" t="str">
        <f aca="false">IF(C965="","",IF(G965="Concluída",1,N(H965)))</f>
        <v/>
      </c>
      <c r="M965" s="13" t="str">
        <f aca="true">IF(C965="","",IF(G965="Concluída","Concluída",IF(AND(F965&lt;&gt;"",F965&lt;TODAY()),"Atrasada","No prazo")))</f>
        <v/>
      </c>
    </row>
    <row r="966" customFormat="false" ht="15" hidden="false" customHeight="false" outlineLevel="0" collapsed="false">
      <c r="A966" s="18"/>
      <c r="B966" s="18"/>
      <c r="C966" s="18"/>
      <c r="D966" s="18"/>
      <c r="E966" s="25"/>
      <c r="F966" s="25"/>
      <c r="G966" s="18"/>
      <c r="H966" s="26"/>
      <c r="I966" s="18"/>
      <c r="J966" s="18"/>
      <c r="K966" s="18"/>
      <c r="L966" s="27" t="str">
        <f aca="false">IF(C966="","",IF(G966="Concluída",1,N(H966)))</f>
        <v/>
      </c>
      <c r="M966" s="13" t="str">
        <f aca="true">IF(C966="","",IF(G966="Concluída","Concluída",IF(AND(F966&lt;&gt;"",F966&lt;TODAY()),"Atrasada","No prazo")))</f>
        <v/>
      </c>
    </row>
    <row r="967" customFormat="false" ht="15" hidden="false" customHeight="false" outlineLevel="0" collapsed="false">
      <c r="A967" s="18"/>
      <c r="B967" s="18"/>
      <c r="C967" s="18"/>
      <c r="D967" s="18"/>
      <c r="E967" s="25"/>
      <c r="F967" s="25"/>
      <c r="G967" s="18"/>
      <c r="H967" s="26"/>
      <c r="I967" s="18"/>
      <c r="J967" s="18"/>
      <c r="K967" s="18"/>
      <c r="L967" s="27" t="str">
        <f aca="false">IF(C967="","",IF(G967="Concluída",1,N(H967)))</f>
        <v/>
      </c>
      <c r="M967" s="13" t="str">
        <f aca="true">IF(C967="","",IF(G967="Concluída","Concluída",IF(AND(F967&lt;&gt;"",F967&lt;TODAY()),"Atrasada","No prazo")))</f>
        <v/>
      </c>
    </row>
    <row r="968" customFormat="false" ht="15" hidden="false" customHeight="false" outlineLevel="0" collapsed="false">
      <c r="A968" s="18"/>
      <c r="B968" s="18"/>
      <c r="C968" s="18"/>
      <c r="D968" s="18"/>
      <c r="E968" s="25"/>
      <c r="F968" s="25"/>
      <c r="G968" s="18"/>
      <c r="H968" s="26"/>
      <c r="I968" s="18"/>
      <c r="J968" s="18"/>
      <c r="K968" s="18"/>
      <c r="L968" s="27" t="str">
        <f aca="false">IF(C968="","",IF(G968="Concluída",1,N(H968)))</f>
        <v/>
      </c>
      <c r="M968" s="13" t="str">
        <f aca="true">IF(C968="","",IF(G968="Concluída","Concluída",IF(AND(F968&lt;&gt;"",F968&lt;TODAY()),"Atrasada","No prazo")))</f>
        <v/>
      </c>
    </row>
    <row r="969" customFormat="false" ht="15" hidden="false" customHeight="false" outlineLevel="0" collapsed="false">
      <c r="A969" s="18"/>
      <c r="B969" s="18"/>
      <c r="C969" s="18"/>
      <c r="D969" s="18"/>
      <c r="E969" s="25"/>
      <c r="F969" s="25"/>
      <c r="G969" s="18"/>
      <c r="H969" s="26"/>
      <c r="I969" s="18"/>
      <c r="J969" s="18"/>
      <c r="K969" s="18"/>
      <c r="L969" s="27" t="str">
        <f aca="false">IF(C969="","",IF(G969="Concluída",1,N(H969)))</f>
        <v/>
      </c>
      <c r="M969" s="13" t="str">
        <f aca="true">IF(C969="","",IF(G969="Concluída","Concluída",IF(AND(F969&lt;&gt;"",F969&lt;TODAY()),"Atrasada","No prazo")))</f>
        <v/>
      </c>
    </row>
    <row r="970" customFormat="false" ht="15" hidden="false" customHeight="false" outlineLevel="0" collapsed="false">
      <c r="A970" s="18"/>
      <c r="B970" s="18"/>
      <c r="C970" s="18"/>
      <c r="D970" s="18"/>
      <c r="E970" s="25"/>
      <c r="F970" s="25"/>
      <c r="G970" s="18"/>
      <c r="H970" s="26"/>
      <c r="I970" s="18"/>
      <c r="J970" s="18"/>
      <c r="K970" s="18"/>
      <c r="L970" s="27" t="str">
        <f aca="false">IF(C970="","",IF(G970="Concluída",1,N(H970)))</f>
        <v/>
      </c>
      <c r="M970" s="13" t="str">
        <f aca="true">IF(C970="","",IF(G970="Concluída","Concluída",IF(AND(F970&lt;&gt;"",F970&lt;TODAY()),"Atrasada","No prazo")))</f>
        <v/>
      </c>
    </row>
    <row r="971" customFormat="false" ht="15" hidden="false" customHeight="false" outlineLevel="0" collapsed="false">
      <c r="A971" s="18"/>
      <c r="B971" s="18"/>
      <c r="C971" s="18"/>
      <c r="D971" s="18"/>
      <c r="E971" s="25"/>
      <c r="F971" s="25"/>
      <c r="G971" s="18"/>
      <c r="H971" s="26"/>
      <c r="I971" s="18"/>
      <c r="J971" s="18"/>
      <c r="K971" s="18"/>
      <c r="L971" s="27" t="str">
        <f aca="false">IF(C971="","",IF(G971="Concluída",1,N(H971)))</f>
        <v/>
      </c>
      <c r="M971" s="13" t="str">
        <f aca="true">IF(C971="","",IF(G971="Concluída","Concluída",IF(AND(F971&lt;&gt;"",F971&lt;TODAY()),"Atrasada","No prazo")))</f>
        <v/>
      </c>
    </row>
    <row r="972" customFormat="false" ht="15" hidden="false" customHeight="false" outlineLevel="0" collapsed="false">
      <c r="A972" s="18"/>
      <c r="B972" s="18"/>
      <c r="C972" s="18"/>
      <c r="D972" s="18"/>
      <c r="E972" s="25"/>
      <c r="F972" s="25"/>
      <c r="G972" s="18"/>
      <c r="H972" s="26"/>
      <c r="I972" s="18"/>
      <c r="J972" s="18"/>
      <c r="K972" s="18"/>
      <c r="L972" s="27" t="str">
        <f aca="false">IF(C972="","",IF(G972="Concluída",1,N(H972)))</f>
        <v/>
      </c>
      <c r="M972" s="13" t="str">
        <f aca="true">IF(C972="","",IF(G972="Concluída","Concluída",IF(AND(F972&lt;&gt;"",F972&lt;TODAY()),"Atrasada","No prazo")))</f>
        <v/>
      </c>
    </row>
    <row r="973" customFormat="false" ht="15" hidden="false" customHeight="false" outlineLevel="0" collapsed="false">
      <c r="A973" s="18"/>
      <c r="B973" s="18"/>
      <c r="C973" s="18"/>
      <c r="D973" s="18"/>
      <c r="E973" s="25"/>
      <c r="F973" s="25"/>
      <c r="G973" s="18"/>
      <c r="H973" s="26"/>
      <c r="I973" s="18"/>
      <c r="J973" s="18"/>
      <c r="K973" s="18"/>
      <c r="L973" s="27" t="str">
        <f aca="false">IF(C973="","",IF(G973="Concluída",1,N(H973)))</f>
        <v/>
      </c>
      <c r="M973" s="13" t="str">
        <f aca="true">IF(C973="","",IF(G973="Concluída","Concluída",IF(AND(F973&lt;&gt;"",F973&lt;TODAY()),"Atrasada","No prazo")))</f>
        <v/>
      </c>
    </row>
    <row r="974" customFormat="false" ht="15" hidden="false" customHeight="false" outlineLevel="0" collapsed="false">
      <c r="A974" s="18"/>
      <c r="B974" s="18"/>
      <c r="C974" s="18"/>
      <c r="D974" s="18"/>
      <c r="E974" s="25"/>
      <c r="F974" s="25"/>
      <c r="G974" s="18"/>
      <c r="H974" s="26"/>
      <c r="I974" s="18"/>
      <c r="J974" s="18"/>
      <c r="K974" s="18"/>
      <c r="L974" s="27" t="str">
        <f aca="false">IF(C974="","",IF(G974="Concluída",1,N(H974)))</f>
        <v/>
      </c>
      <c r="M974" s="13" t="str">
        <f aca="true">IF(C974="","",IF(G974="Concluída","Concluída",IF(AND(F974&lt;&gt;"",F974&lt;TODAY()),"Atrasada","No prazo")))</f>
        <v/>
      </c>
    </row>
    <row r="975" customFormat="false" ht="15" hidden="false" customHeight="false" outlineLevel="0" collapsed="false">
      <c r="A975" s="18"/>
      <c r="B975" s="18"/>
      <c r="C975" s="18"/>
      <c r="D975" s="18"/>
      <c r="E975" s="25"/>
      <c r="F975" s="25"/>
      <c r="G975" s="18"/>
      <c r="H975" s="26"/>
      <c r="I975" s="18"/>
      <c r="J975" s="18"/>
      <c r="K975" s="18"/>
      <c r="L975" s="27" t="str">
        <f aca="false">IF(C975="","",IF(G975="Concluída",1,N(H975)))</f>
        <v/>
      </c>
      <c r="M975" s="13" t="str">
        <f aca="true">IF(C975="","",IF(G975="Concluída","Concluída",IF(AND(F975&lt;&gt;"",F975&lt;TODAY()),"Atrasada","No prazo")))</f>
        <v/>
      </c>
    </row>
    <row r="976" customFormat="false" ht="15" hidden="false" customHeight="false" outlineLevel="0" collapsed="false">
      <c r="A976" s="18"/>
      <c r="B976" s="18"/>
      <c r="C976" s="18"/>
      <c r="D976" s="18"/>
      <c r="E976" s="25"/>
      <c r="F976" s="25"/>
      <c r="G976" s="18"/>
      <c r="H976" s="26"/>
      <c r="I976" s="18"/>
      <c r="J976" s="18"/>
      <c r="K976" s="18"/>
      <c r="L976" s="27" t="str">
        <f aca="false">IF(C976="","",IF(G976="Concluída",1,N(H976)))</f>
        <v/>
      </c>
      <c r="M976" s="13" t="str">
        <f aca="true">IF(C976="","",IF(G976="Concluída","Concluída",IF(AND(F976&lt;&gt;"",F976&lt;TODAY()),"Atrasada","No prazo")))</f>
        <v/>
      </c>
    </row>
    <row r="977" customFormat="false" ht="15" hidden="false" customHeight="false" outlineLevel="0" collapsed="false">
      <c r="A977" s="18"/>
      <c r="B977" s="18"/>
      <c r="C977" s="18"/>
      <c r="D977" s="18"/>
      <c r="E977" s="25"/>
      <c r="F977" s="25"/>
      <c r="G977" s="18"/>
      <c r="H977" s="26"/>
      <c r="I977" s="18"/>
      <c r="J977" s="18"/>
      <c r="K977" s="18"/>
      <c r="L977" s="27" t="str">
        <f aca="false">IF(C977="","",IF(G977="Concluída",1,N(H977)))</f>
        <v/>
      </c>
      <c r="M977" s="13" t="str">
        <f aca="true">IF(C977="","",IF(G977="Concluída","Concluída",IF(AND(F977&lt;&gt;"",F977&lt;TODAY()),"Atrasada","No prazo")))</f>
        <v/>
      </c>
    </row>
    <row r="978" customFormat="false" ht="15" hidden="false" customHeight="false" outlineLevel="0" collapsed="false">
      <c r="A978" s="18"/>
      <c r="B978" s="18"/>
      <c r="C978" s="18"/>
      <c r="D978" s="18"/>
      <c r="E978" s="25"/>
      <c r="F978" s="25"/>
      <c r="G978" s="18"/>
      <c r="H978" s="26"/>
      <c r="I978" s="18"/>
      <c r="J978" s="18"/>
      <c r="K978" s="18"/>
      <c r="L978" s="27" t="str">
        <f aca="false">IF(C978="","",IF(G978="Concluída",1,N(H978)))</f>
        <v/>
      </c>
      <c r="M978" s="13" t="str">
        <f aca="true">IF(C978="","",IF(G978="Concluída","Concluída",IF(AND(F978&lt;&gt;"",F978&lt;TODAY()),"Atrasada","No prazo")))</f>
        <v/>
      </c>
    </row>
    <row r="979" customFormat="false" ht="15" hidden="false" customHeight="false" outlineLevel="0" collapsed="false">
      <c r="A979" s="18"/>
      <c r="B979" s="18"/>
      <c r="C979" s="18"/>
      <c r="D979" s="18"/>
      <c r="E979" s="25"/>
      <c r="F979" s="25"/>
      <c r="G979" s="18"/>
      <c r="H979" s="26"/>
      <c r="I979" s="18"/>
      <c r="J979" s="18"/>
      <c r="K979" s="18"/>
      <c r="L979" s="27" t="str">
        <f aca="false">IF(C979="","",IF(G979="Concluída",1,N(H979)))</f>
        <v/>
      </c>
      <c r="M979" s="13" t="str">
        <f aca="true">IF(C979="","",IF(G979="Concluída","Concluída",IF(AND(F979&lt;&gt;"",F979&lt;TODAY()),"Atrasada","No prazo")))</f>
        <v/>
      </c>
    </row>
    <row r="980" customFormat="false" ht="15" hidden="false" customHeight="false" outlineLevel="0" collapsed="false">
      <c r="A980" s="18"/>
      <c r="B980" s="18"/>
      <c r="C980" s="18"/>
      <c r="D980" s="18"/>
      <c r="E980" s="25"/>
      <c r="F980" s="25"/>
      <c r="G980" s="18"/>
      <c r="H980" s="26"/>
      <c r="I980" s="18"/>
      <c r="J980" s="18"/>
      <c r="K980" s="18"/>
      <c r="L980" s="27" t="str">
        <f aca="false">IF(C980="","",IF(G980="Concluída",1,N(H980)))</f>
        <v/>
      </c>
      <c r="M980" s="13" t="str">
        <f aca="true">IF(C980="","",IF(G980="Concluída","Concluída",IF(AND(F980&lt;&gt;"",F980&lt;TODAY()),"Atrasada","No prazo")))</f>
        <v/>
      </c>
    </row>
    <row r="981" customFormat="false" ht="15" hidden="false" customHeight="false" outlineLevel="0" collapsed="false">
      <c r="A981" s="18"/>
      <c r="B981" s="18"/>
      <c r="C981" s="18"/>
      <c r="D981" s="18"/>
      <c r="E981" s="25"/>
      <c r="F981" s="25"/>
      <c r="G981" s="18"/>
      <c r="H981" s="26"/>
      <c r="I981" s="18"/>
      <c r="J981" s="18"/>
      <c r="K981" s="18"/>
      <c r="L981" s="27" t="str">
        <f aca="false">IF(C981="","",IF(G981="Concluída",1,N(H981)))</f>
        <v/>
      </c>
      <c r="M981" s="13" t="str">
        <f aca="true">IF(C981="","",IF(G981="Concluída","Concluída",IF(AND(F981&lt;&gt;"",F981&lt;TODAY()),"Atrasada","No prazo")))</f>
        <v/>
      </c>
    </row>
    <row r="982" customFormat="false" ht="15" hidden="false" customHeight="false" outlineLevel="0" collapsed="false">
      <c r="A982" s="18"/>
      <c r="B982" s="18"/>
      <c r="C982" s="18"/>
      <c r="D982" s="18"/>
      <c r="E982" s="25"/>
      <c r="F982" s="25"/>
      <c r="G982" s="18"/>
      <c r="H982" s="26"/>
      <c r="I982" s="18"/>
      <c r="J982" s="18"/>
      <c r="K982" s="18"/>
      <c r="L982" s="27" t="str">
        <f aca="false">IF(C982="","",IF(G982="Concluída",1,N(H982)))</f>
        <v/>
      </c>
      <c r="M982" s="13" t="str">
        <f aca="true">IF(C982="","",IF(G982="Concluída","Concluída",IF(AND(F982&lt;&gt;"",F982&lt;TODAY()),"Atrasada","No prazo")))</f>
        <v/>
      </c>
    </row>
    <row r="983" customFormat="false" ht="15" hidden="false" customHeight="false" outlineLevel="0" collapsed="false">
      <c r="A983" s="18"/>
      <c r="B983" s="18"/>
      <c r="C983" s="18"/>
      <c r="D983" s="18"/>
      <c r="E983" s="25"/>
      <c r="F983" s="25"/>
      <c r="G983" s="18"/>
      <c r="H983" s="26"/>
      <c r="I983" s="18"/>
      <c r="J983" s="18"/>
      <c r="K983" s="18"/>
      <c r="L983" s="27" t="str">
        <f aca="false">IF(C983="","",IF(G983="Concluída",1,N(H983)))</f>
        <v/>
      </c>
      <c r="M983" s="13" t="str">
        <f aca="true">IF(C983="","",IF(G983="Concluída","Concluída",IF(AND(F983&lt;&gt;"",F983&lt;TODAY()),"Atrasada","No prazo")))</f>
        <v/>
      </c>
    </row>
    <row r="984" customFormat="false" ht="15" hidden="false" customHeight="false" outlineLevel="0" collapsed="false">
      <c r="A984" s="18"/>
      <c r="B984" s="18"/>
      <c r="C984" s="18"/>
      <c r="D984" s="18"/>
      <c r="E984" s="25"/>
      <c r="F984" s="25"/>
      <c r="G984" s="18"/>
      <c r="H984" s="26"/>
      <c r="I984" s="18"/>
      <c r="J984" s="18"/>
      <c r="K984" s="18"/>
      <c r="L984" s="27" t="str">
        <f aca="false">IF(C984="","",IF(G984="Concluída",1,N(H984)))</f>
        <v/>
      </c>
      <c r="M984" s="13" t="str">
        <f aca="true">IF(C984="","",IF(G984="Concluída","Concluída",IF(AND(F984&lt;&gt;"",F984&lt;TODAY()),"Atrasada","No prazo")))</f>
        <v/>
      </c>
    </row>
    <row r="985" customFormat="false" ht="15" hidden="false" customHeight="false" outlineLevel="0" collapsed="false">
      <c r="A985" s="18"/>
      <c r="B985" s="18"/>
      <c r="C985" s="18"/>
      <c r="D985" s="18"/>
      <c r="E985" s="25"/>
      <c r="F985" s="25"/>
      <c r="G985" s="18"/>
      <c r="H985" s="26"/>
      <c r="I985" s="18"/>
      <c r="J985" s="18"/>
      <c r="K985" s="18"/>
      <c r="L985" s="27" t="str">
        <f aca="false">IF(C985="","",IF(G985="Concluída",1,N(H985)))</f>
        <v/>
      </c>
      <c r="M985" s="13" t="str">
        <f aca="true">IF(C985="","",IF(G985="Concluída","Concluída",IF(AND(F985&lt;&gt;"",F985&lt;TODAY()),"Atrasada","No prazo")))</f>
        <v/>
      </c>
    </row>
    <row r="986" customFormat="false" ht="15" hidden="false" customHeight="false" outlineLevel="0" collapsed="false">
      <c r="A986" s="18"/>
      <c r="B986" s="18"/>
      <c r="C986" s="18"/>
      <c r="D986" s="18"/>
      <c r="E986" s="25"/>
      <c r="F986" s="25"/>
      <c r="G986" s="18"/>
      <c r="H986" s="26"/>
      <c r="I986" s="18"/>
      <c r="J986" s="18"/>
      <c r="K986" s="18"/>
      <c r="L986" s="27" t="str">
        <f aca="false">IF(C986="","",IF(G986="Concluída",1,N(H986)))</f>
        <v/>
      </c>
      <c r="M986" s="13" t="str">
        <f aca="true">IF(C986="","",IF(G986="Concluída","Concluída",IF(AND(F986&lt;&gt;"",F986&lt;TODAY()),"Atrasada","No prazo")))</f>
        <v/>
      </c>
    </row>
    <row r="987" customFormat="false" ht="15" hidden="false" customHeight="false" outlineLevel="0" collapsed="false">
      <c r="A987" s="18"/>
      <c r="B987" s="18"/>
      <c r="C987" s="18"/>
      <c r="D987" s="18"/>
      <c r="E987" s="25"/>
      <c r="F987" s="25"/>
      <c r="G987" s="18"/>
      <c r="H987" s="26"/>
      <c r="I987" s="18"/>
      <c r="J987" s="18"/>
      <c r="K987" s="18"/>
      <c r="L987" s="27" t="str">
        <f aca="false">IF(C987="","",IF(G987="Concluída",1,N(H987)))</f>
        <v/>
      </c>
      <c r="M987" s="13" t="str">
        <f aca="true">IF(C987="","",IF(G987="Concluída","Concluída",IF(AND(F987&lt;&gt;"",F987&lt;TODAY()),"Atrasada","No prazo")))</f>
        <v/>
      </c>
    </row>
    <row r="988" customFormat="false" ht="15" hidden="false" customHeight="false" outlineLevel="0" collapsed="false">
      <c r="A988" s="18"/>
      <c r="B988" s="18"/>
      <c r="C988" s="18"/>
      <c r="D988" s="18"/>
      <c r="E988" s="25"/>
      <c r="F988" s="25"/>
      <c r="G988" s="18"/>
      <c r="H988" s="26"/>
      <c r="I988" s="18"/>
      <c r="J988" s="18"/>
      <c r="K988" s="18"/>
      <c r="L988" s="27" t="str">
        <f aca="false">IF(C988="","",IF(G988="Concluída",1,N(H988)))</f>
        <v/>
      </c>
      <c r="M988" s="13" t="str">
        <f aca="true">IF(C988="","",IF(G988="Concluída","Concluída",IF(AND(F988&lt;&gt;"",F988&lt;TODAY()),"Atrasada","No prazo")))</f>
        <v/>
      </c>
    </row>
    <row r="989" customFormat="false" ht="15" hidden="false" customHeight="false" outlineLevel="0" collapsed="false">
      <c r="A989" s="18"/>
      <c r="B989" s="18"/>
      <c r="C989" s="18"/>
      <c r="D989" s="18"/>
      <c r="E989" s="25"/>
      <c r="F989" s="25"/>
      <c r="G989" s="18"/>
      <c r="H989" s="26"/>
      <c r="I989" s="18"/>
      <c r="J989" s="18"/>
      <c r="K989" s="18"/>
      <c r="L989" s="27" t="str">
        <f aca="false">IF(C989="","",IF(G989="Concluída",1,N(H989)))</f>
        <v/>
      </c>
      <c r="M989" s="13" t="str">
        <f aca="true">IF(C989="","",IF(G989="Concluída","Concluída",IF(AND(F989&lt;&gt;"",F989&lt;TODAY()),"Atrasada","No prazo")))</f>
        <v/>
      </c>
    </row>
    <row r="990" customFormat="false" ht="15" hidden="false" customHeight="false" outlineLevel="0" collapsed="false">
      <c r="A990" s="18"/>
      <c r="B990" s="18"/>
      <c r="C990" s="18"/>
      <c r="D990" s="18"/>
      <c r="E990" s="25"/>
      <c r="F990" s="25"/>
      <c r="G990" s="18"/>
      <c r="H990" s="26"/>
      <c r="I990" s="18"/>
      <c r="J990" s="18"/>
      <c r="K990" s="18"/>
      <c r="L990" s="27" t="str">
        <f aca="false">IF(C990="","",IF(G990="Concluída",1,N(H990)))</f>
        <v/>
      </c>
      <c r="M990" s="13" t="str">
        <f aca="true">IF(C990="","",IF(G990="Concluída","Concluída",IF(AND(F990&lt;&gt;"",F990&lt;TODAY()),"Atrasada","No prazo")))</f>
        <v/>
      </c>
    </row>
    <row r="991" customFormat="false" ht="15" hidden="false" customHeight="false" outlineLevel="0" collapsed="false">
      <c r="A991" s="18"/>
      <c r="B991" s="18"/>
      <c r="C991" s="18"/>
      <c r="D991" s="18"/>
      <c r="E991" s="25"/>
      <c r="F991" s="25"/>
      <c r="G991" s="18"/>
      <c r="H991" s="26"/>
      <c r="I991" s="18"/>
      <c r="J991" s="18"/>
      <c r="K991" s="18"/>
      <c r="L991" s="27" t="str">
        <f aca="false">IF(C991="","",IF(G991="Concluída",1,N(H991)))</f>
        <v/>
      </c>
      <c r="M991" s="13" t="str">
        <f aca="true">IF(C991="","",IF(G991="Concluída","Concluída",IF(AND(F991&lt;&gt;"",F991&lt;TODAY()),"Atrasada","No prazo")))</f>
        <v/>
      </c>
    </row>
    <row r="992" customFormat="false" ht="15" hidden="false" customHeight="false" outlineLevel="0" collapsed="false">
      <c r="A992" s="18"/>
      <c r="B992" s="18"/>
      <c r="C992" s="18"/>
      <c r="D992" s="18"/>
      <c r="E992" s="25"/>
      <c r="F992" s="25"/>
      <c r="G992" s="18"/>
      <c r="H992" s="26"/>
      <c r="I992" s="18"/>
      <c r="J992" s="18"/>
      <c r="K992" s="18"/>
      <c r="L992" s="27" t="str">
        <f aca="false">IF(C992="","",IF(G992="Concluída",1,N(H992)))</f>
        <v/>
      </c>
      <c r="M992" s="13" t="str">
        <f aca="true">IF(C992="","",IF(G992="Concluída","Concluída",IF(AND(F992&lt;&gt;"",F992&lt;TODAY()),"Atrasada","No prazo")))</f>
        <v/>
      </c>
    </row>
    <row r="993" customFormat="false" ht="15" hidden="false" customHeight="false" outlineLevel="0" collapsed="false">
      <c r="A993" s="18"/>
      <c r="B993" s="18"/>
      <c r="C993" s="18"/>
      <c r="D993" s="18"/>
      <c r="E993" s="25"/>
      <c r="F993" s="25"/>
      <c r="G993" s="18"/>
      <c r="H993" s="26"/>
      <c r="I993" s="18"/>
      <c r="J993" s="18"/>
      <c r="K993" s="18"/>
      <c r="L993" s="27" t="str">
        <f aca="false">IF(C993="","",IF(G993="Concluída",1,N(H993)))</f>
        <v/>
      </c>
      <c r="M993" s="13" t="str">
        <f aca="true">IF(C993="","",IF(G993="Concluída","Concluída",IF(AND(F993&lt;&gt;"",F993&lt;TODAY()),"Atrasada","No prazo")))</f>
        <v/>
      </c>
    </row>
    <row r="994" customFormat="false" ht="15" hidden="false" customHeight="false" outlineLevel="0" collapsed="false">
      <c r="A994" s="18"/>
      <c r="B994" s="18"/>
      <c r="C994" s="18"/>
      <c r="D994" s="18"/>
      <c r="E994" s="25"/>
      <c r="F994" s="25"/>
      <c r="G994" s="18"/>
      <c r="H994" s="26"/>
      <c r="I994" s="18"/>
      <c r="J994" s="18"/>
      <c r="K994" s="18"/>
      <c r="L994" s="27" t="str">
        <f aca="false">IF(C994="","",IF(G994="Concluída",1,N(H994)))</f>
        <v/>
      </c>
      <c r="M994" s="13" t="str">
        <f aca="true">IF(C994="","",IF(G994="Concluída","Concluída",IF(AND(F994&lt;&gt;"",F994&lt;TODAY()),"Atrasada","No prazo")))</f>
        <v/>
      </c>
    </row>
    <row r="995" customFormat="false" ht="15" hidden="false" customHeight="false" outlineLevel="0" collapsed="false">
      <c r="A995" s="18"/>
      <c r="B995" s="18"/>
      <c r="C995" s="18"/>
      <c r="D995" s="18"/>
      <c r="E995" s="25"/>
      <c r="F995" s="25"/>
      <c r="G995" s="18"/>
      <c r="H995" s="26"/>
      <c r="I995" s="18"/>
      <c r="J995" s="18"/>
      <c r="K995" s="18"/>
      <c r="L995" s="27" t="str">
        <f aca="false">IF(C995="","",IF(G995="Concluída",1,N(H995)))</f>
        <v/>
      </c>
      <c r="M995" s="13" t="str">
        <f aca="true">IF(C995="","",IF(G995="Concluída","Concluída",IF(AND(F995&lt;&gt;"",F995&lt;TODAY()),"Atrasada","No prazo")))</f>
        <v/>
      </c>
    </row>
    <row r="996" customFormat="false" ht="15" hidden="false" customHeight="false" outlineLevel="0" collapsed="false">
      <c r="A996" s="18"/>
      <c r="B996" s="18"/>
      <c r="C996" s="18"/>
      <c r="D996" s="18"/>
      <c r="E996" s="25"/>
      <c r="F996" s="25"/>
      <c r="G996" s="18"/>
      <c r="H996" s="26"/>
      <c r="I996" s="18"/>
      <c r="J996" s="18"/>
      <c r="K996" s="18"/>
      <c r="L996" s="27" t="str">
        <f aca="false">IF(C996="","",IF(G996="Concluída",1,N(H996)))</f>
        <v/>
      </c>
      <c r="M996" s="13" t="str">
        <f aca="true">IF(C996="","",IF(G996="Concluída","Concluída",IF(AND(F996&lt;&gt;"",F996&lt;TODAY()),"Atrasada","No prazo")))</f>
        <v/>
      </c>
    </row>
    <row r="997" customFormat="false" ht="15" hidden="false" customHeight="false" outlineLevel="0" collapsed="false">
      <c r="A997" s="18"/>
      <c r="B997" s="18"/>
      <c r="C997" s="18"/>
      <c r="D997" s="18"/>
      <c r="E997" s="25"/>
      <c r="F997" s="25"/>
      <c r="G997" s="18"/>
      <c r="H997" s="26"/>
      <c r="I997" s="18"/>
      <c r="J997" s="18"/>
      <c r="K997" s="18"/>
      <c r="L997" s="27" t="str">
        <f aca="false">IF(C997="","",IF(G997="Concluída",1,N(H997)))</f>
        <v/>
      </c>
      <c r="M997" s="13" t="str">
        <f aca="true">IF(C997="","",IF(G997="Concluída","Concluída",IF(AND(F997&lt;&gt;"",F997&lt;TODAY()),"Atrasada","No prazo")))</f>
        <v/>
      </c>
    </row>
    <row r="998" customFormat="false" ht="15" hidden="false" customHeight="false" outlineLevel="0" collapsed="false">
      <c r="A998" s="18"/>
      <c r="B998" s="18"/>
      <c r="C998" s="18"/>
      <c r="D998" s="18"/>
      <c r="E998" s="25"/>
      <c r="F998" s="25"/>
      <c r="G998" s="18"/>
      <c r="H998" s="26"/>
      <c r="I998" s="18"/>
      <c r="J998" s="18"/>
      <c r="K998" s="18"/>
      <c r="L998" s="27" t="str">
        <f aca="false">IF(C998="","",IF(G998="Concluída",1,N(H998)))</f>
        <v/>
      </c>
      <c r="M998" s="13" t="str">
        <f aca="true">IF(C998="","",IF(G998="Concluída","Concluída",IF(AND(F998&lt;&gt;"",F998&lt;TODAY()),"Atrasada","No prazo")))</f>
        <v/>
      </c>
    </row>
    <row r="999" customFormat="false" ht="15" hidden="false" customHeight="false" outlineLevel="0" collapsed="false">
      <c r="A999" s="18"/>
      <c r="B999" s="18"/>
      <c r="C999" s="18"/>
      <c r="D999" s="18"/>
      <c r="E999" s="25"/>
      <c r="F999" s="25"/>
      <c r="G999" s="18"/>
      <c r="H999" s="26"/>
      <c r="I999" s="18"/>
      <c r="J999" s="18"/>
      <c r="K999" s="18"/>
      <c r="L999" s="27" t="str">
        <f aca="false">IF(C999="","",IF(G999="Concluída",1,N(H999)))</f>
        <v/>
      </c>
      <c r="M999" s="13" t="str">
        <f aca="true">IF(C999="","",IF(G999="Concluída","Concluída",IF(AND(F999&lt;&gt;"",F999&lt;TODAY()),"Atrasada","No prazo")))</f>
        <v/>
      </c>
    </row>
    <row r="1000" customFormat="false" ht="15" hidden="false" customHeight="false" outlineLevel="0" collapsed="false">
      <c r="A1000" s="18"/>
      <c r="B1000" s="18"/>
      <c r="C1000" s="18"/>
      <c r="D1000" s="18"/>
      <c r="E1000" s="25"/>
      <c r="F1000" s="25"/>
      <c r="G1000" s="18"/>
      <c r="H1000" s="26"/>
      <c r="I1000" s="18"/>
      <c r="J1000" s="18"/>
      <c r="K1000" s="18"/>
      <c r="L1000" s="27" t="str">
        <f aca="false">IF(C1000="","",IF(G1000="Concluída",1,N(H1000)))</f>
        <v/>
      </c>
      <c r="M1000" s="13" t="str">
        <f aca="true">IF(C1000="","",IF(G1000="Concluída","Concluída",IF(AND(F1000&lt;&gt;"",F1000&lt;TODAY()),"Atrasada","No prazo")))</f>
        <v/>
      </c>
    </row>
  </sheetData>
  <dataValidations count="2">
    <dataValidation allowBlank="true" errorStyle="stop" operator="between" showDropDown="false" showErrorMessage="false" showInputMessage="false" sqref="B3:B1000" type="list">
      <formula1>"1,2,3"</formula1>
      <formula2>0</formula2>
    </dataValidation>
    <dataValidation allowBlank="true" errorStyle="stop" operator="between" showDropDown="false" showErrorMessage="false" showInputMessage="false" sqref="G3:G1000" type="list">
      <formula1>"Não iniciada,Em andamento,Bloqueada,Concluída"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5" t="s">
        <v>99</v>
      </c>
    </row>
    <row r="4" customFormat="false" ht="15" hidden="false" customHeight="false" outlineLevel="0" collapsed="false">
      <c r="A4" s="4" t="s">
        <v>100</v>
      </c>
      <c r="B4" s="21" t="s">
        <v>101</v>
      </c>
    </row>
    <row r="5" customFormat="false" ht="15" hidden="false" customHeight="false" outlineLevel="0" collapsed="false">
      <c r="A5" s="4" t="s">
        <v>32</v>
      </c>
      <c r="B5" s="28" t="str">
        <f aca="false">IF($B$4="","",IFERROR(INDEX(fornecedores!$B$2:$B$200,MATCH($B$4,fornecedores!$A$2:$A$200,0))&amp;"",""))</f>
        <v/>
      </c>
    </row>
    <row r="6" customFormat="false" ht="15" hidden="false" customHeight="false" outlineLevel="0" collapsed="false">
      <c r="A6" s="4" t="s">
        <v>102</v>
      </c>
      <c r="B6" s="28" t="str">
        <f aca="false">IF($B$4="","",IFERROR(INDEX(fornecedores!$C$2:$C$200,MATCH($B$4,fornecedores!$A$2:$A$200,0))&amp;"",""))</f>
        <v/>
      </c>
    </row>
    <row r="7" customFormat="false" ht="15" hidden="false" customHeight="false" outlineLevel="0" collapsed="false">
      <c r="A7" s="4" t="s">
        <v>103</v>
      </c>
      <c r="B7" s="29" t="str">
        <f aca="false">IF($B$4="","",IFERROR(INDEX(fornecedores!$D$2:$D$200,MATCH($B$4,fornecedores!$A$2:$A$200,0)),""))</f>
        <v/>
      </c>
    </row>
    <row r="8" customFormat="false" ht="15" hidden="false" customHeight="false" outlineLevel="0" collapsed="false">
      <c r="A8" s="4" t="s">
        <v>104</v>
      </c>
      <c r="B8" s="28" t="str">
        <f aca="false">IF($B$4="","",IFERROR(INDEX(fornecedores!$E$2:$E$200,MATCH($B$4,fornecedores!$A$2:$A$200,0)),""))</f>
        <v/>
      </c>
    </row>
    <row r="9" customFormat="false" ht="15" hidden="false" customHeight="false" outlineLevel="0" collapsed="false">
      <c r="A9" s="4" t="s">
        <v>105</v>
      </c>
      <c r="B9" s="28" t="str">
        <f aca="false">IF($B$4="","",IFERROR(INDEX(fornecedores!$F$2:$F$200,MATCH($B$4,fornecedores!$A$2:$A$200,0)),""))</f>
        <v/>
      </c>
    </row>
    <row r="10" customFormat="false" ht="15" hidden="false" customHeight="false" outlineLevel="0" collapsed="false">
      <c r="A10" s="4" t="s">
        <v>106</v>
      </c>
      <c r="B10" s="28" t="str">
        <f aca="false">IF($B$4="","",IFERROR(INDEX(fornecedores!$G$2:$G$200,MATCH($B$4,fornecedores!$A$2:$A$200,0)),""))</f>
        <v/>
      </c>
    </row>
    <row r="11" customFormat="false" ht="15" hidden="false" customHeight="false" outlineLevel="0" collapsed="false">
      <c r="A11" s="4" t="s">
        <v>107</v>
      </c>
      <c r="B11" s="28" t="str">
        <f aca="false">IF($B$4="","",IFERROR(INDEX(fornecedores!$H$2:$H$200,MATCH($B$4,fornecedores!$A$2:$A$200,0)),""))</f>
        <v/>
      </c>
    </row>
    <row r="12" customFormat="false" ht="15" hidden="false" customHeight="false" outlineLevel="0" collapsed="false">
      <c r="A12" s="4" t="s">
        <v>108</v>
      </c>
      <c r="B12" s="30" t="str">
        <f aca="false">IF($B$4="","",IFERROR(INDEX(fornecedores!$I$2:$I$200,MATCH($B$4,fornecedores!$A$2:$A$200,0)),""))</f>
        <v/>
      </c>
    </row>
    <row r="13" customFormat="false" ht="15" hidden="false" customHeight="false" outlineLevel="0" collapsed="false">
      <c r="A13" s="4" t="s">
        <v>109</v>
      </c>
      <c r="B13" s="30" t="str">
        <f aca="false">IF($B$4="","",IFERROR(INDEX(fornecedores!$J$2:$J$200,MATCH($B$4,fornecedores!$A$2:$A$200,0)),""))</f>
        <v/>
      </c>
    </row>
    <row r="15" customFormat="false" ht="15" hidden="false" customHeight="false" outlineLevel="0" collapsed="false">
      <c r="A15" s="5" t="s">
        <v>110</v>
      </c>
    </row>
  </sheetData>
  <dataValidations count="1">
    <dataValidation allowBlank="true" errorStyle="stop" operator="between" showDropDown="false" showErrorMessage="false" showInputMessage="false" sqref="B4" type="list">
      <formula1>fornecedores!$A$3:$A$200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8" min="6" style="0" width="12"/>
    <col collapsed="false" customWidth="true" hidden="false" outlineLevel="0" max="10" min="9" style="0" width="14"/>
  </cols>
  <sheetData>
    <row r="1" customFormat="false" ht="31.5" hidden="false" customHeight="true" outlineLevel="0" collapsed="false">
      <c r="A1" s="14" t="s">
        <v>100</v>
      </c>
      <c r="B1" s="14" t="s">
        <v>32</v>
      </c>
      <c r="C1" s="14" t="s">
        <v>102</v>
      </c>
      <c r="D1" s="14" t="s">
        <v>111</v>
      </c>
      <c r="E1" s="14" t="s">
        <v>112</v>
      </c>
      <c r="F1" s="14" t="s">
        <v>113</v>
      </c>
      <c r="G1" s="14" t="s">
        <v>114</v>
      </c>
      <c r="H1" s="14" t="s">
        <v>115</v>
      </c>
      <c r="I1" s="14" t="s">
        <v>108</v>
      </c>
      <c r="J1" s="14" t="s">
        <v>109</v>
      </c>
    </row>
    <row r="2" customFormat="false" ht="15" hidden="false" customHeight="false" outlineLevel="0" collapsed="false">
      <c r="A2" s="15" t="s">
        <v>116</v>
      </c>
      <c r="B2" s="15" t="s">
        <v>117</v>
      </c>
      <c r="C2" s="15" t="s">
        <v>118</v>
      </c>
      <c r="D2" s="31" t="str">
        <f aca="false">IF($A2="","",IF(SUMPRODUCT(MAX((posicoes_fornecedor!$B$3:$B$1000=$A2)*posicoes_fornecedor!$A$3:$A$1000))=0,"",SUMPRODUCT(MAX((posicoes_fornecedor!$B$3:$B$1000=$A2)*posicoes_fornecedor!$A$3:$A$1000))))</f>
        <v/>
      </c>
      <c r="E2" s="13" t="str">
        <f aca="false">IF($D2="","",SUMIFS(posicoes_fornecedor!$C$3:$C$1000,posicoes_fornecedor!$B$3:$B$1000,$A2,posicoes_fornecedor!$A$3:$A$1000,$D2))</f>
        <v/>
      </c>
      <c r="F2" s="13" t="str">
        <f aca="false">IF($D2="","",SUMIFS(posicoes_fornecedor!$D$3:$D$1000,posicoes_fornecedor!$B$3:$B$1000,$A2,posicoes_fornecedor!$A$3:$A$1000,$D2))</f>
        <v/>
      </c>
      <c r="G2" s="13" t="str">
        <f aca="false">IF($D2="","",SUMIFS(posicoes_fornecedor!$E$3:$E$1000,posicoes_fornecedor!$B$3:$B$1000,$A2,posicoes_fornecedor!$A$3:$A$1000,$D2))</f>
        <v/>
      </c>
      <c r="H2" s="13" t="str">
        <f aca="false">IF($E2="","",$E2-$F2)</f>
        <v/>
      </c>
      <c r="I2" s="32" t="str">
        <f aca="false">IF(OR($E2="",$E2=0),"",$F2/$E2)</f>
        <v/>
      </c>
      <c r="J2" s="32" t="str">
        <f aca="false">IF(OR($E2="",$E2=0),"",$G2/$E2)</f>
        <v/>
      </c>
    </row>
    <row r="3" customFormat="false" ht="15" hidden="false" customHeight="false" outlineLevel="0" collapsed="false">
      <c r="A3" s="18" t="s">
        <v>101</v>
      </c>
      <c r="B3" s="18"/>
      <c r="C3" s="18"/>
      <c r="D3" s="31" t="str">
        <f aca="false">IF($A3="","",IF(SUMPRODUCT(MAX((posicoes_fornecedor!$B$3:$B$1000=$A3)*posicoes_fornecedor!$A$3:$A$1000))=0,"",SUMPRODUCT(MAX((posicoes_fornecedor!$B$3:$B$1000=$A3)*posicoes_fornecedor!$A$3:$A$1000))))</f>
        <v/>
      </c>
      <c r="E3" s="13" t="str">
        <f aca="false">IF($D3="","",SUMIFS(posicoes_fornecedor!$C$3:$C$1000,posicoes_fornecedor!$B$3:$B$1000,$A3,posicoes_fornecedor!$A$3:$A$1000,$D3))</f>
        <v/>
      </c>
      <c r="F3" s="13" t="str">
        <f aca="false">IF($D3="","",SUMIFS(posicoes_fornecedor!$D$3:$D$1000,posicoes_fornecedor!$B$3:$B$1000,$A3,posicoes_fornecedor!$A$3:$A$1000,$D3))</f>
        <v/>
      </c>
      <c r="G3" s="13" t="str">
        <f aca="false">IF($D3="","",SUMIFS(posicoes_fornecedor!$E$3:$E$1000,posicoes_fornecedor!$B$3:$B$1000,$A3,posicoes_fornecedor!$A$3:$A$1000,$D3))</f>
        <v/>
      </c>
      <c r="H3" s="13" t="str">
        <f aca="false">IF($E3="","",$E3-$F3)</f>
        <v/>
      </c>
      <c r="I3" s="32" t="str">
        <f aca="false">IF(OR($E3="",$E3=0),"",$F3/$E3)</f>
        <v/>
      </c>
      <c r="J3" s="32" t="str">
        <f aca="false">IF(OR($E3="",$E3=0),"",$G3/$E3)</f>
        <v/>
      </c>
    </row>
    <row r="4" customFormat="false" ht="15" hidden="false" customHeight="false" outlineLevel="0" collapsed="false">
      <c r="A4" s="18"/>
      <c r="B4" s="18"/>
      <c r="C4" s="18"/>
      <c r="D4" s="31" t="str">
        <f aca="false">IF($A4="","",IF(SUMPRODUCT(MAX((posicoes_fornecedor!$B$3:$B$1000=$A4)*posicoes_fornecedor!$A$3:$A$1000))=0,"",SUMPRODUCT(MAX((posicoes_fornecedor!$B$3:$B$1000=$A4)*posicoes_fornecedor!$A$3:$A$1000))))</f>
        <v/>
      </c>
      <c r="E4" s="13" t="str">
        <f aca="false">IF($D4="","",SUMIFS(posicoes_fornecedor!$C$3:$C$1000,posicoes_fornecedor!$B$3:$B$1000,$A4,posicoes_fornecedor!$A$3:$A$1000,$D4))</f>
        <v/>
      </c>
      <c r="F4" s="13" t="str">
        <f aca="false">IF($D4="","",SUMIFS(posicoes_fornecedor!$D$3:$D$1000,posicoes_fornecedor!$B$3:$B$1000,$A4,posicoes_fornecedor!$A$3:$A$1000,$D4))</f>
        <v/>
      </c>
      <c r="G4" s="13" t="str">
        <f aca="false">IF($D4="","",SUMIFS(posicoes_fornecedor!$E$3:$E$1000,posicoes_fornecedor!$B$3:$B$1000,$A4,posicoes_fornecedor!$A$3:$A$1000,$D4))</f>
        <v/>
      </c>
      <c r="H4" s="13" t="str">
        <f aca="false">IF($E4="","",$E4-$F4)</f>
        <v/>
      </c>
      <c r="I4" s="32" t="str">
        <f aca="false">IF(OR($E4="",$E4=0),"",$F4/$E4)</f>
        <v/>
      </c>
      <c r="J4" s="32" t="str">
        <f aca="false">IF(OR($E4="",$E4=0),"",$G4/$E4)</f>
        <v/>
      </c>
    </row>
    <row r="5" customFormat="false" ht="15" hidden="false" customHeight="false" outlineLevel="0" collapsed="false">
      <c r="A5" s="18"/>
      <c r="B5" s="18"/>
      <c r="C5" s="18"/>
      <c r="D5" s="31" t="str">
        <f aca="false">IF($A5="","",IF(SUMPRODUCT(MAX((posicoes_fornecedor!$B$3:$B$1000=$A5)*posicoes_fornecedor!$A$3:$A$1000))=0,"",SUMPRODUCT(MAX((posicoes_fornecedor!$B$3:$B$1000=$A5)*posicoes_fornecedor!$A$3:$A$1000))))</f>
        <v/>
      </c>
      <c r="E5" s="13" t="str">
        <f aca="false">IF($D5="","",SUMIFS(posicoes_fornecedor!$C$3:$C$1000,posicoes_fornecedor!$B$3:$B$1000,$A5,posicoes_fornecedor!$A$3:$A$1000,$D5))</f>
        <v/>
      </c>
      <c r="F5" s="13" t="str">
        <f aca="false">IF($D5="","",SUMIFS(posicoes_fornecedor!$D$3:$D$1000,posicoes_fornecedor!$B$3:$B$1000,$A5,posicoes_fornecedor!$A$3:$A$1000,$D5))</f>
        <v/>
      </c>
      <c r="G5" s="13" t="str">
        <f aca="false">IF($D5="","",SUMIFS(posicoes_fornecedor!$E$3:$E$1000,posicoes_fornecedor!$B$3:$B$1000,$A5,posicoes_fornecedor!$A$3:$A$1000,$D5))</f>
        <v/>
      </c>
      <c r="H5" s="13" t="str">
        <f aca="false">IF($E5="","",$E5-$F5)</f>
        <v/>
      </c>
      <c r="I5" s="32" t="str">
        <f aca="false">IF(OR($E5="",$E5=0),"",$F5/$E5)</f>
        <v/>
      </c>
      <c r="J5" s="32" t="str">
        <f aca="false">IF(OR($E5="",$E5=0),"",$G5/$E5)</f>
        <v/>
      </c>
    </row>
    <row r="6" customFormat="false" ht="15" hidden="false" customHeight="false" outlineLevel="0" collapsed="false">
      <c r="A6" s="18"/>
      <c r="B6" s="18"/>
      <c r="C6" s="18"/>
      <c r="D6" s="31" t="str">
        <f aca="false">IF($A6="","",IF(SUMPRODUCT(MAX((posicoes_fornecedor!$B$3:$B$1000=$A6)*posicoes_fornecedor!$A$3:$A$1000))=0,"",SUMPRODUCT(MAX((posicoes_fornecedor!$B$3:$B$1000=$A6)*posicoes_fornecedor!$A$3:$A$1000))))</f>
        <v/>
      </c>
      <c r="E6" s="13" t="str">
        <f aca="false">IF($D6="","",SUMIFS(posicoes_fornecedor!$C$3:$C$1000,posicoes_fornecedor!$B$3:$B$1000,$A6,posicoes_fornecedor!$A$3:$A$1000,$D6))</f>
        <v/>
      </c>
      <c r="F6" s="13" t="str">
        <f aca="false">IF($D6="","",SUMIFS(posicoes_fornecedor!$D$3:$D$1000,posicoes_fornecedor!$B$3:$B$1000,$A6,posicoes_fornecedor!$A$3:$A$1000,$D6))</f>
        <v/>
      </c>
      <c r="G6" s="13" t="str">
        <f aca="false">IF($D6="","",SUMIFS(posicoes_fornecedor!$E$3:$E$1000,posicoes_fornecedor!$B$3:$B$1000,$A6,posicoes_fornecedor!$A$3:$A$1000,$D6))</f>
        <v/>
      </c>
      <c r="H6" s="13" t="str">
        <f aca="false">IF($E6="","",$E6-$F6)</f>
        <v/>
      </c>
      <c r="I6" s="32" t="str">
        <f aca="false">IF(OR($E6="",$E6=0),"",$F6/$E6)</f>
        <v/>
      </c>
      <c r="J6" s="32" t="str">
        <f aca="false">IF(OR($E6="",$E6=0),"",$G6/$E6)</f>
        <v/>
      </c>
    </row>
    <row r="7" customFormat="false" ht="15" hidden="false" customHeight="false" outlineLevel="0" collapsed="false">
      <c r="A7" s="18"/>
      <c r="B7" s="18"/>
      <c r="C7" s="18"/>
      <c r="D7" s="31" t="str">
        <f aca="false">IF($A7="","",IF(SUMPRODUCT(MAX((posicoes_fornecedor!$B$3:$B$1000=$A7)*posicoes_fornecedor!$A$3:$A$1000))=0,"",SUMPRODUCT(MAX((posicoes_fornecedor!$B$3:$B$1000=$A7)*posicoes_fornecedor!$A$3:$A$1000))))</f>
        <v/>
      </c>
      <c r="E7" s="13" t="str">
        <f aca="false">IF($D7="","",SUMIFS(posicoes_fornecedor!$C$3:$C$1000,posicoes_fornecedor!$B$3:$B$1000,$A7,posicoes_fornecedor!$A$3:$A$1000,$D7))</f>
        <v/>
      </c>
      <c r="F7" s="13" t="str">
        <f aca="false">IF($D7="","",SUMIFS(posicoes_fornecedor!$D$3:$D$1000,posicoes_fornecedor!$B$3:$B$1000,$A7,posicoes_fornecedor!$A$3:$A$1000,$D7))</f>
        <v/>
      </c>
      <c r="G7" s="13" t="str">
        <f aca="false">IF($D7="","",SUMIFS(posicoes_fornecedor!$E$3:$E$1000,posicoes_fornecedor!$B$3:$B$1000,$A7,posicoes_fornecedor!$A$3:$A$1000,$D7))</f>
        <v/>
      </c>
      <c r="H7" s="13" t="str">
        <f aca="false">IF($E7="","",$E7-$F7)</f>
        <v/>
      </c>
      <c r="I7" s="32" t="str">
        <f aca="false">IF(OR($E7="",$E7=0),"",$F7/$E7)</f>
        <v/>
      </c>
      <c r="J7" s="32" t="str">
        <f aca="false">IF(OR($E7="",$E7=0),"",$G7/$E7)</f>
        <v/>
      </c>
    </row>
    <row r="8" customFormat="false" ht="15" hidden="false" customHeight="false" outlineLevel="0" collapsed="false">
      <c r="A8" s="18"/>
      <c r="B8" s="18"/>
      <c r="C8" s="18"/>
      <c r="D8" s="31" t="str">
        <f aca="false">IF($A8="","",IF(SUMPRODUCT(MAX((posicoes_fornecedor!$B$3:$B$1000=$A8)*posicoes_fornecedor!$A$3:$A$1000))=0,"",SUMPRODUCT(MAX((posicoes_fornecedor!$B$3:$B$1000=$A8)*posicoes_fornecedor!$A$3:$A$1000))))</f>
        <v/>
      </c>
      <c r="E8" s="13" t="str">
        <f aca="false">IF($D8="","",SUMIFS(posicoes_fornecedor!$C$3:$C$1000,posicoes_fornecedor!$B$3:$B$1000,$A8,posicoes_fornecedor!$A$3:$A$1000,$D8))</f>
        <v/>
      </c>
      <c r="F8" s="13" t="str">
        <f aca="false">IF($D8="","",SUMIFS(posicoes_fornecedor!$D$3:$D$1000,posicoes_fornecedor!$B$3:$B$1000,$A8,posicoes_fornecedor!$A$3:$A$1000,$D8))</f>
        <v/>
      </c>
      <c r="G8" s="13" t="str">
        <f aca="false">IF($D8="","",SUMIFS(posicoes_fornecedor!$E$3:$E$1000,posicoes_fornecedor!$B$3:$B$1000,$A8,posicoes_fornecedor!$A$3:$A$1000,$D8))</f>
        <v/>
      </c>
      <c r="H8" s="13" t="str">
        <f aca="false">IF($E8="","",$E8-$F8)</f>
        <v/>
      </c>
      <c r="I8" s="32" t="str">
        <f aca="false">IF(OR($E8="",$E8=0),"",$F8/$E8)</f>
        <v/>
      </c>
      <c r="J8" s="32" t="str">
        <f aca="false">IF(OR($E8="",$E8=0),"",$G8/$E8)</f>
        <v/>
      </c>
    </row>
    <row r="9" customFormat="false" ht="15" hidden="false" customHeight="false" outlineLevel="0" collapsed="false">
      <c r="A9" s="18"/>
      <c r="B9" s="18"/>
      <c r="C9" s="18"/>
      <c r="D9" s="31" t="str">
        <f aca="false">IF($A9="","",IF(SUMPRODUCT(MAX((posicoes_fornecedor!$B$3:$B$1000=$A9)*posicoes_fornecedor!$A$3:$A$1000))=0,"",SUMPRODUCT(MAX((posicoes_fornecedor!$B$3:$B$1000=$A9)*posicoes_fornecedor!$A$3:$A$1000))))</f>
        <v/>
      </c>
      <c r="E9" s="13" t="str">
        <f aca="false">IF($D9="","",SUMIFS(posicoes_fornecedor!$C$3:$C$1000,posicoes_fornecedor!$B$3:$B$1000,$A9,posicoes_fornecedor!$A$3:$A$1000,$D9))</f>
        <v/>
      </c>
      <c r="F9" s="13" t="str">
        <f aca="false">IF($D9="","",SUMIFS(posicoes_fornecedor!$D$3:$D$1000,posicoes_fornecedor!$B$3:$B$1000,$A9,posicoes_fornecedor!$A$3:$A$1000,$D9))</f>
        <v/>
      </c>
      <c r="G9" s="13" t="str">
        <f aca="false">IF($D9="","",SUMIFS(posicoes_fornecedor!$E$3:$E$1000,posicoes_fornecedor!$B$3:$B$1000,$A9,posicoes_fornecedor!$A$3:$A$1000,$D9))</f>
        <v/>
      </c>
      <c r="H9" s="13" t="str">
        <f aca="false">IF($E9="","",$E9-$F9)</f>
        <v/>
      </c>
      <c r="I9" s="32" t="str">
        <f aca="false">IF(OR($E9="",$E9=0),"",$F9/$E9)</f>
        <v/>
      </c>
      <c r="J9" s="32" t="str">
        <f aca="false">IF(OR($E9="",$E9=0),"",$G9/$E9)</f>
        <v/>
      </c>
    </row>
    <row r="10" customFormat="false" ht="15" hidden="false" customHeight="false" outlineLevel="0" collapsed="false">
      <c r="A10" s="18"/>
      <c r="B10" s="18"/>
      <c r="C10" s="18"/>
      <c r="D10" s="31" t="str">
        <f aca="false">IF($A10="","",IF(SUMPRODUCT(MAX((posicoes_fornecedor!$B$3:$B$1000=$A10)*posicoes_fornecedor!$A$3:$A$1000))=0,"",SUMPRODUCT(MAX((posicoes_fornecedor!$B$3:$B$1000=$A10)*posicoes_fornecedor!$A$3:$A$1000))))</f>
        <v/>
      </c>
      <c r="E10" s="13" t="str">
        <f aca="false">IF($D10="","",SUMIFS(posicoes_fornecedor!$C$3:$C$1000,posicoes_fornecedor!$B$3:$B$1000,$A10,posicoes_fornecedor!$A$3:$A$1000,$D10))</f>
        <v/>
      </c>
      <c r="F10" s="13" t="str">
        <f aca="false">IF($D10="","",SUMIFS(posicoes_fornecedor!$D$3:$D$1000,posicoes_fornecedor!$B$3:$B$1000,$A10,posicoes_fornecedor!$A$3:$A$1000,$D10))</f>
        <v/>
      </c>
      <c r="G10" s="13" t="str">
        <f aca="false">IF($D10="","",SUMIFS(posicoes_fornecedor!$E$3:$E$1000,posicoes_fornecedor!$B$3:$B$1000,$A10,posicoes_fornecedor!$A$3:$A$1000,$D10))</f>
        <v/>
      </c>
      <c r="H10" s="13" t="str">
        <f aca="false">IF($E10="","",$E10-$F10)</f>
        <v/>
      </c>
      <c r="I10" s="32" t="str">
        <f aca="false">IF(OR($E10="",$E10=0),"",$F10/$E10)</f>
        <v/>
      </c>
      <c r="J10" s="32" t="str">
        <f aca="false">IF(OR($E10="",$E10=0),"",$G10/$E10)</f>
        <v/>
      </c>
    </row>
    <row r="11" customFormat="false" ht="15" hidden="false" customHeight="false" outlineLevel="0" collapsed="false">
      <c r="A11" s="18"/>
      <c r="B11" s="18"/>
      <c r="C11" s="18"/>
      <c r="D11" s="31" t="str">
        <f aca="false">IF($A11="","",IF(SUMPRODUCT(MAX((posicoes_fornecedor!$B$3:$B$1000=$A11)*posicoes_fornecedor!$A$3:$A$1000))=0,"",SUMPRODUCT(MAX((posicoes_fornecedor!$B$3:$B$1000=$A11)*posicoes_fornecedor!$A$3:$A$1000))))</f>
        <v/>
      </c>
      <c r="E11" s="13" t="str">
        <f aca="false">IF($D11="","",SUMIFS(posicoes_fornecedor!$C$3:$C$1000,posicoes_fornecedor!$B$3:$B$1000,$A11,posicoes_fornecedor!$A$3:$A$1000,$D11))</f>
        <v/>
      </c>
      <c r="F11" s="13" t="str">
        <f aca="false">IF($D11="","",SUMIFS(posicoes_fornecedor!$D$3:$D$1000,posicoes_fornecedor!$B$3:$B$1000,$A11,posicoes_fornecedor!$A$3:$A$1000,$D11))</f>
        <v/>
      </c>
      <c r="G11" s="13" t="str">
        <f aca="false">IF($D11="","",SUMIFS(posicoes_fornecedor!$E$3:$E$1000,posicoes_fornecedor!$B$3:$B$1000,$A11,posicoes_fornecedor!$A$3:$A$1000,$D11))</f>
        <v/>
      </c>
      <c r="H11" s="13" t="str">
        <f aca="false">IF($E11="","",$E11-$F11)</f>
        <v/>
      </c>
      <c r="I11" s="32" t="str">
        <f aca="false">IF(OR($E11="",$E11=0),"",$F11/$E11)</f>
        <v/>
      </c>
      <c r="J11" s="32" t="str">
        <f aca="false">IF(OR($E11="",$E11=0),"",$G11/$E11)</f>
        <v/>
      </c>
    </row>
    <row r="12" customFormat="false" ht="15" hidden="false" customHeight="false" outlineLevel="0" collapsed="false">
      <c r="A12" s="18"/>
      <c r="B12" s="18"/>
      <c r="C12" s="18"/>
      <c r="D12" s="31" t="str">
        <f aca="false">IF($A12="","",IF(SUMPRODUCT(MAX((posicoes_fornecedor!$B$3:$B$1000=$A12)*posicoes_fornecedor!$A$3:$A$1000))=0,"",SUMPRODUCT(MAX((posicoes_fornecedor!$B$3:$B$1000=$A12)*posicoes_fornecedor!$A$3:$A$1000))))</f>
        <v/>
      </c>
      <c r="E12" s="13" t="str">
        <f aca="false">IF($D12="","",SUMIFS(posicoes_fornecedor!$C$3:$C$1000,posicoes_fornecedor!$B$3:$B$1000,$A12,posicoes_fornecedor!$A$3:$A$1000,$D12))</f>
        <v/>
      </c>
      <c r="F12" s="13" t="str">
        <f aca="false">IF($D12="","",SUMIFS(posicoes_fornecedor!$D$3:$D$1000,posicoes_fornecedor!$B$3:$B$1000,$A12,posicoes_fornecedor!$A$3:$A$1000,$D12))</f>
        <v/>
      </c>
      <c r="G12" s="13" t="str">
        <f aca="false">IF($D12="","",SUMIFS(posicoes_fornecedor!$E$3:$E$1000,posicoes_fornecedor!$B$3:$B$1000,$A12,posicoes_fornecedor!$A$3:$A$1000,$D12))</f>
        <v/>
      </c>
      <c r="H12" s="13" t="str">
        <f aca="false">IF($E12="","",$E12-$F12)</f>
        <v/>
      </c>
      <c r="I12" s="32" t="str">
        <f aca="false">IF(OR($E12="",$E12=0),"",$F12/$E12)</f>
        <v/>
      </c>
      <c r="J12" s="32" t="str">
        <f aca="false">IF(OR($E12="",$E12=0),"",$G12/$E12)</f>
        <v/>
      </c>
    </row>
    <row r="13" customFormat="false" ht="15" hidden="false" customHeight="false" outlineLevel="0" collapsed="false">
      <c r="A13" s="18"/>
      <c r="B13" s="18"/>
      <c r="C13" s="18"/>
      <c r="D13" s="31" t="str">
        <f aca="false">IF($A13="","",IF(SUMPRODUCT(MAX((posicoes_fornecedor!$B$3:$B$1000=$A13)*posicoes_fornecedor!$A$3:$A$1000))=0,"",SUMPRODUCT(MAX((posicoes_fornecedor!$B$3:$B$1000=$A13)*posicoes_fornecedor!$A$3:$A$1000))))</f>
        <v/>
      </c>
      <c r="E13" s="13" t="str">
        <f aca="false">IF($D13="","",SUMIFS(posicoes_fornecedor!$C$3:$C$1000,posicoes_fornecedor!$B$3:$B$1000,$A13,posicoes_fornecedor!$A$3:$A$1000,$D13))</f>
        <v/>
      </c>
      <c r="F13" s="13" t="str">
        <f aca="false">IF($D13="","",SUMIFS(posicoes_fornecedor!$D$3:$D$1000,posicoes_fornecedor!$B$3:$B$1000,$A13,posicoes_fornecedor!$A$3:$A$1000,$D13))</f>
        <v/>
      </c>
      <c r="G13" s="13" t="str">
        <f aca="false">IF($D13="","",SUMIFS(posicoes_fornecedor!$E$3:$E$1000,posicoes_fornecedor!$B$3:$B$1000,$A13,posicoes_fornecedor!$A$3:$A$1000,$D13))</f>
        <v/>
      </c>
      <c r="H13" s="13" t="str">
        <f aca="false">IF($E13="","",$E13-$F13)</f>
        <v/>
      </c>
      <c r="I13" s="32" t="str">
        <f aca="false">IF(OR($E13="",$E13=0),"",$F13/$E13)</f>
        <v/>
      </c>
      <c r="J13" s="32" t="str">
        <f aca="false">IF(OR($E13="",$E13=0),"",$G13/$E13)</f>
        <v/>
      </c>
    </row>
    <row r="14" customFormat="false" ht="15" hidden="false" customHeight="false" outlineLevel="0" collapsed="false">
      <c r="A14" s="18"/>
      <c r="B14" s="18"/>
      <c r="C14" s="18"/>
      <c r="D14" s="31" t="str">
        <f aca="false">IF($A14="","",IF(SUMPRODUCT(MAX((posicoes_fornecedor!$B$3:$B$1000=$A14)*posicoes_fornecedor!$A$3:$A$1000))=0,"",SUMPRODUCT(MAX((posicoes_fornecedor!$B$3:$B$1000=$A14)*posicoes_fornecedor!$A$3:$A$1000))))</f>
        <v/>
      </c>
      <c r="E14" s="13" t="str">
        <f aca="false">IF($D14="","",SUMIFS(posicoes_fornecedor!$C$3:$C$1000,posicoes_fornecedor!$B$3:$B$1000,$A14,posicoes_fornecedor!$A$3:$A$1000,$D14))</f>
        <v/>
      </c>
      <c r="F14" s="13" t="str">
        <f aca="false">IF($D14="","",SUMIFS(posicoes_fornecedor!$D$3:$D$1000,posicoes_fornecedor!$B$3:$B$1000,$A14,posicoes_fornecedor!$A$3:$A$1000,$D14))</f>
        <v/>
      </c>
      <c r="G14" s="13" t="str">
        <f aca="false">IF($D14="","",SUMIFS(posicoes_fornecedor!$E$3:$E$1000,posicoes_fornecedor!$B$3:$B$1000,$A14,posicoes_fornecedor!$A$3:$A$1000,$D14))</f>
        <v/>
      </c>
      <c r="H14" s="13" t="str">
        <f aca="false">IF($E14="","",$E14-$F14)</f>
        <v/>
      </c>
      <c r="I14" s="32" t="str">
        <f aca="false">IF(OR($E14="",$E14=0),"",$F14/$E14)</f>
        <v/>
      </c>
      <c r="J14" s="32" t="str">
        <f aca="false">IF(OR($E14="",$E14=0),"",$G14/$E14)</f>
        <v/>
      </c>
    </row>
    <row r="15" customFormat="false" ht="15" hidden="false" customHeight="false" outlineLevel="0" collapsed="false">
      <c r="A15" s="18"/>
      <c r="B15" s="18"/>
      <c r="C15" s="18"/>
      <c r="D15" s="31" t="str">
        <f aca="false">IF($A15="","",IF(SUMPRODUCT(MAX((posicoes_fornecedor!$B$3:$B$1000=$A15)*posicoes_fornecedor!$A$3:$A$1000))=0,"",SUMPRODUCT(MAX((posicoes_fornecedor!$B$3:$B$1000=$A15)*posicoes_fornecedor!$A$3:$A$1000))))</f>
        <v/>
      </c>
      <c r="E15" s="13" t="str">
        <f aca="false">IF($D15="","",SUMIFS(posicoes_fornecedor!$C$3:$C$1000,posicoes_fornecedor!$B$3:$B$1000,$A15,posicoes_fornecedor!$A$3:$A$1000,$D15))</f>
        <v/>
      </c>
      <c r="F15" s="13" t="str">
        <f aca="false">IF($D15="","",SUMIFS(posicoes_fornecedor!$D$3:$D$1000,posicoes_fornecedor!$B$3:$B$1000,$A15,posicoes_fornecedor!$A$3:$A$1000,$D15))</f>
        <v/>
      </c>
      <c r="G15" s="13" t="str">
        <f aca="false">IF($D15="","",SUMIFS(posicoes_fornecedor!$E$3:$E$1000,posicoes_fornecedor!$B$3:$B$1000,$A15,posicoes_fornecedor!$A$3:$A$1000,$D15))</f>
        <v/>
      </c>
      <c r="H15" s="13" t="str">
        <f aca="false">IF($E15="","",$E15-$F15)</f>
        <v/>
      </c>
      <c r="I15" s="32" t="str">
        <f aca="false">IF(OR($E15="",$E15=0),"",$F15/$E15)</f>
        <v/>
      </c>
      <c r="J15" s="32" t="str">
        <f aca="false">IF(OR($E15="",$E15=0),"",$G15/$E15)</f>
        <v/>
      </c>
    </row>
    <row r="16" customFormat="false" ht="15" hidden="false" customHeight="false" outlineLevel="0" collapsed="false">
      <c r="A16" s="18"/>
      <c r="B16" s="18"/>
      <c r="C16" s="18"/>
      <c r="D16" s="31" t="str">
        <f aca="false">IF($A16="","",IF(SUMPRODUCT(MAX((posicoes_fornecedor!$B$3:$B$1000=$A16)*posicoes_fornecedor!$A$3:$A$1000))=0,"",SUMPRODUCT(MAX((posicoes_fornecedor!$B$3:$B$1000=$A16)*posicoes_fornecedor!$A$3:$A$1000))))</f>
        <v/>
      </c>
      <c r="E16" s="13" t="str">
        <f aca="false">IF($D16="","",SUMIFS(posicoes_fornecedor!$C$3:$C$1000,posicoes_fornecedor!$B$3:$B$1000,$A16,posicoes_fornecedor!$A$3:$A$1000,$D16))</f>
        <v/>
      </c>
      <c r="F16" s="13" t="str">
        <f aca="false">IF($D16="","",SUMIFS(posicoes_fornecedor!$D$3:$D$1000,posicoes_fornecedor!$B$3:$B$1000,$A16,posicoes_fornecedor!$A$3:$A$1000,$D16))</f>
        <v/>
      </c>
      <c r="G16" s="13" t="str">
        <f aca="false">IF($D16="","",SUMIFS(posicoes_fornecedor!$E$3:$E$1000,posicoes_fornecedor!$B$3:$B$1000,$A16,posicoes_fornecedor!$A$3:$A$1000,$D16))</f>
        <v/>
      </c>
      <c r="H16" s="13" t="str">
        <f aca="false">IF($E16="","",$E16-$F16)</f>
        <v/>
      </c>
      <c r="I16" s="32" t="str">
        <f aca="false">IF(OR($E16="",$E16=0),"",$F16/$E16)</f>
        <v/>
      </c>
      <c r="J16" s="32" t="str">
        <f aca="false">IF(OR($E16="",$E16=0),"",$G16/$E16)</f>
        <v/>
      </c>
    </row>
    <row r="17" customFormat="false" ht="15" hidden="false" customHeight="false" outlineLevel="0" collapsed="false">
      <c r="A17" s="18"/>
      <c r="B17" s="18"/>
      <c r="C17" s="18"/>
      <c r="D17" s="31" t="str">
        <f aca="false">IF($A17="","",IF(SUMPRODUCT(MAX((posicoes_fornecedor!$B$3:$B$1000=$A17)*posicoes_fornecedor!$A$3:$A$1000))=0,"",SUMPRODUCT(MAX((posicoes_fornecedor!$B$3:$B$1000=$A17)*posicoes_fornecedor!$A$3:$A$1000))))</f>
        <v/>
      </c>
      <c r="E17" s="13" t="str">
        <f aca="false">IF($D17="","",SUMIFS(posicoes_fornecedor!$C$3:$C$1000,posicoes_fornecedor!$B$3:$B$1000,$A17,posicoes_fornecedor!$A$3:$A$1000,$D17))</f>
        <v/>
      </c>
      <c r="F17" s="13" t="str">
        <f aca="false">IF($D17="","",SUMIFS(posicoes_fornecedor!$D$3:$D$1000,posicoes_fornecedor!$B$3:$B$1000,$A17,posicoes_fornecedor!$A$3:$A$1000,$D17))</f>
        <v/>
      </c>
      <c r="G17" s="13" t="str">
        <f aca="false">IF($D17="","",SUMIFS(posicoes_fornecedor!$E$3:$E$1000,posicoes_fornecedor!$B$3:$B$1000,$A17,posicoes_fornecedor!$A$3:$A$1000,$D17))</f>
        <v/>
      </c>
      <c r="H17" s="13" t="str">
        <f aca="false">IF($E17="","",$E17-$F17)</f>
        <v/>
      </c>
      <c r="I17" s="32" t="str">
        <f aca="false">IF(OR($E17="",$E17=0),"",$F17/$E17)</f>
        <v/>
      </c>
      <c r="J17" s="32" t="str">
        <f aca="false">IF(OR($E17="",$E17=0),"",$G17/$E17)</f>
        <v/>
      </c>
    </row>
    <row r="18" customFormat="false" ht="15" hidden="false" customHeight="false" outlineLevel="0" collapsed="false">
      <c r="A18" s="18"/>
      <c r="B18" s="18"/>
      <c r="C18" s="18"/>
      <c r="D18" s="31" t="str">
        <f aca="false">IF($A18="","",IF(SUMPRODUCT(MAX((posicoes_fornecedor!$B$3:$B$1000=$A18)*posicoes_fornecedor!$A$3:$A$1000))=0,"",SUMPRODUCT(MAX((posicoes_fornecedor!$B$3:$B$1000=$A18)*posicoes_fornecedor!$A$3:$A$1000))))</f>
        <v/>
      </c>
      <c r="E18" s="13" t="str">
        <f aca="false">IF($D18="","",SUMIFS(posicoes_fornecedor!$C$3:$C$1000,posicoes_fornecedor!$B$3:$B$1000,$A18,posicoes_fornecedor!$A$3:$A$1000,$D18))</f>
        <v/>
      </c>
      <c r="F18" s="13" t="str">
        <f aca="false">IF($D18="","",SUMIFS(posicoes_fornecedor!$D$3:$D$1000,posicoes_fornecedor!$B$3:$B$1000,$A18,posicoes_fornecedor!$A$3:$A$1000,$D18))</f>
        <v/>
      </c>
      <c r="G18" s="13" t="str">
        <f aca="false">IF($D18="","",SUMIFS(posicoes_fornecedor!$E$3:$E$1000,posicoes_fornecedor!$B$3:$B$1000,$A18,posicoes_fornecedor!$A$3:$A$1000,$D18))</f>
        <v/>
      </c>
      <c r="H18" s="13" t="str">
        <f aca="false">IF($E18="","",$E18-$F18)</f>
        <v/>
      </c>
      <c r="I18" s="32" t="str">
        <f aca="false">IF(OR($E18="",$E18=0),"",$F18/$E18)</f>
        <v/>
      </c>
      <c r="J18" s="32" t="str">
        <f aca="false">IF(OR($E18="",$E18=0),"",$G18/$E18)</f>
        <v/>
      </c>
    </row>
    <row r="19" customFormat="false" ht="15" hidden="false" customHeight="false" outlineLevel="0" collapsed="false">
      <c r="A19" s="18"/>
      <c r="B19" s="18"/>
      <c r="C19" s="18"/>
      <c r="D19" s="31" t="str">
        <f aca="false">IF($A19="","",IF(SUMPRODUCT(MAX((posicoes_fornecedor!$B$3:$B$1000=$A19)*posicoes_fornecedor!$A$3:$A$1000))=0,"",SUMPRODUCT(MAX((posicoes_fornecedor!$B$3:$B$1000=$A19)*posicoes_fornecedor!$A$3:$A$1000))))</f>
        <v/>
      </c>
      <c r="E19" s="13" t="str">
        <f aca="false">IF($D19="","",SUMIFS(posicoes_fornecedor!$C$3:$C$1000,posicoes_fornecedor!$B$3:$B$1000,$A19,posicoes_fornecedor!$A$3:$A$1000,$D19))</f>
        <v/>
      </c>
      <c r="F19" s="13" t="str">
        <f aca="false">IF($D19="","",SUMIFS(posicoes_fornecedor!$D$3:$D$1000,posicoes_fornecedor!$B$3:$B$1000,$A19,posicoes_fornecedor!$A$3:$A$1000,$D19))</f>
        <v/>
      </c>
      <c r="G19" s="13" t="str">
        <f aca="false">IF($D19="","",SUMIFS(posicoes_fornecedor!$E$3:$E$1000,posicoes_fornecedor!$B$3:$B$1000,$A19,posicoes_fornecedor!$A$3:$A$1000,$D19))</f>
        <v/>
      </c>
      <c r="H19" s="13" t="str">
        <f aca="false">IF($E19="","",$E19-$F19)</f>
        <v/>
      </c>
      <c r="I19" s="32" t="str">
        <f aca="false">IF(OR($E19="",$E19=0),"",$F19/$E19)</f>
        <v/>
      </c>
      <c r="J19" s="32" t="str">
        <f aca="false">IF(OR($E19="",$E19=0),"",$G19/$E19)</f>
        <v/>
      </c>
    </row>
    <row r="20" customFormat="false" ht="15" hidden="false" customHeight="false" outlineLevel="0" collapsed="false">
      <c r="A20" s="18"/>
      <c r="B20" s="18"/>
      <c r="C20" s="18"/>
      <c r="D20" s="31" t="str">
        <f aca="false">IF($A20="","",IF(SUMPRODUCT(MAX((posicoes_fornecedor!$B$3:$B$1000=$A20)*posicoes_fornecedor!$A$3:$A$1000))=0,"",SUMPRODUCT(MAX((posicoes_fornecedor!$B$3:$B$1000=$A20)*posicoes_fornecedor!$A$3:$A$1000))))</f>
        <v/>
      </c>
      <c r="E20" s="13" t="str">
        <f aca="false">IF($D20="","",SUMIFS(posicoes_fornecedor!$C$3:$C$1000,posicoes_fornecedor!$B$3:$B$1000,$A20,posicoes_fornecedor!$A$3:$A$1000,$D20))</f>
        <v/>
      </c>
      <c r="F20" s="13" t="str">
        <f aca="false">IF($D20="","",SUMIFS(posicoes_fornecedor!$D$3:$D$1000,posicoes_fornecedor!$B$3:$B$1000,$A20,posicoes_fornecedor!$A$3:$A$1000,$D20))</f>
        <v/>
      </c>
      <c r="G20" s="13" t="str">
        <f aca="false">IF($D20="","",SUMIFS(posicoes_fornecedor!$E$3:$E$1000,posicoes_fornecedor!$B$3:$B$1000,$A20,posicoes_fornecedor!$A$3:$A$1000,$D20))</f>
        <v/>
      </c>
      <c r="H20" s="13" t="str">
        <f aca="false">IF($E20="","",$E20-$F20)</f>
        <v/>
      </c>
      <c r="I20" s="32" t="str">
        <f aca="false">IF(OR($E20="",$E20=0),"",$F20/$E20)</f>
        <v/>
      </c>
      <c r="J20" s="32" t="str">
        <f aca="false">IF(OR($E20="",$E20=0),"",$G20/$E20)</f>
        <v/>
      </c>
    </row>
    <row r="21" customFormat="false" ht="15" hidden="false" customHeight="false" outlineLevel="0" collapsed="false">
      <c r="A21" s="18"/>
      <c r="B21" s="18"/>
      <c r="C21" s="18"/>
      <c r="D21" s="31" t="str">
        <f aca="false">IF($A21="","",IF(SUMPRODUCT(MAX((posicoes_fornecedor!$B$3:$B$1000=$A21)*posicoes_fornecedor!$A$3:$A$1000))=0,"",SUMPRODUCT(MAX((posicoes_fornecedor!$B$3:$B$1000=$A21)*posicoes_fornecedor!$A$3:$A$1000))))</f>
        <v/>
      </c>
      <c r="E21" s="13" t="str">
        <f aca="false">IF($D21="","",SUMIFS(posicoes_fornecedor!$C$3:$C$1000,posicoes_fornecedor!$B$3:$B$1000,$A21,posicoes_fornecedor!$A$3:$A$1000,$D21))</f>
        <v/>
      </c>
      <c r="F21" s="13" t="str">
        <f aca="false">IF($D21="","",SUMIFS(posicoes_fornecedor!$D$3:$D$1000,posicoes_fornecedor!$B$3:$B$1000,$A21,posicoes_fornecedor!$A$3:$A$1000,$D21))</f>
        <v/>
      </c>
      <c r="G21" s="13" t="str">
        <f aca="false">IF($D21="","",SUMIFS(posicoes_fornecedor!$E$3:$E$1000,posicoes_fornecedor!$B$3:$B$1000,$A21,posicoes_fornecedor!$A$3:$A$1000,$D21))</f>
        <v/>
      </c>
      <c r="H21" s="13" t="str">
        <f aca="false">IF($E21="","",$E21-$F21)</f>
        <v/>
      </c>
      <c r="I21" s="32" t="str">
        <f aca="false">IF(OR($E21="",$E21=0),"",$F21/$E21)</f>
        <v/>
      </c>
      <c r="J21" s="32" t="str">
        <f aca="false">IF(OR($E21="",$E21=0),"",$G21/$E21)</f>
        <v/>
      </c>
    </row>
    <row r="22" customFormat="false" ht="15" hidden="false" customHeight="false" outlineLevel="0" collapsed="false">
      <c r="A22" s="18"/>
      <c r="B22" s="18"/>
      <c r="C22" s="18"/>
      <c r="D22" s="31" t="str">
        <f aca="false">IF($A22="","",IF(SUMPRODUCT(MAX((posicoes_fornecedor!$B$3:$B$1000=$A22)*posicoes_fornecedor!$A$3:$A$1000))=0,"",SUMPRODUCT(MAX((posicoes_fornecedor!$B$3:$B$1000=$A22)*posicoes_fornecedor!$A$3:$A$1000))))</f>
        <v/>
      </c>
      <c r="E22" s="13" t="str">
        <f aca="false">IF($D22="","",SUMIFS(posicoes_fornecedor!$C$3:$C$1000,posicoes_fornecedor!$B$3:$B$1000,$A22,posicoes_fornecedor!$A$3:$A$1000,$D22))</f>
        <v/>
      </c>
      <c r="F22" s="13" t="str">
        <f aca="false">IF($D22="","",SUMIFS(posicoes_fornecedor!$D$3:$D$1000,posicoes_fornecedor!$B$3:$B$1000,$A22,posicoes_fornecedor!$A$3:$A$1000,$D22))</f>
        <v/>
      </c>
      <c r="G22" s="13" t="str">
        <f aca="false">IF($D22="","",SUMIFS(posicoes_fornecedor!$E$3:$E$1000,posicoes_fornecedor!$B$3:$B$1000,$A22,posicoes_fornecedor!$A$3:$A$1000,$D22))</f>
        <v/>
      </c>
      <c r="H22" s="13" t="str">
        <f aca="false">IF($E22="","",$E22-$F22)</f>
        <v/>
      </c>
      <c r="I22" s="32" t="str">
        <f aca="false">IF(OR($E22="",$E22=0),"",$F22/$E22)</f>
        <v/>
      </c>
      <c r="J22" s="32" t="str">
        <f aca="false">IF(OR($E22="",$E22=0),"",$G22/$E22)</f>
        <v/>
      </c>
    </row>
    <row r="23" customFormat="false" ht="15" hidden="false" customHeight="false" outlineLevel="0" collapsed="false">
      <c r="A23" s="18"/>
      <c r="B23" s="18"/>
      <c r="C23" s="18"/>
      <c r="D23" s="31" t="str">
        <f aca="false">IF($A23="","",IF(SUMPRODUCT(MAX((posicoes_fornecedor!$B$3:$B$1000=$A23)*posicoes_fornecedor!$A$3:$A$1000))=0,"",SUMPRODUCT(MAX((posicoes_fornecedor!$B$3:$B$1000=$A23)*posicoes_fornecedor!$A$3:$A$1000))))</f>
        <v/>
      </c>
      <c r="E23" s="13" t="str">
        <f aca="false">IF($D23="","",SUMIFS(posicoes_fornecedor!$C$3:$C$1000,posicoes_fornecedor!$B$3:$B$1000,$A23,posicoes_fornecedor!$A$3:$A$1000,$D23))</f>
        <v/>
      </c>
      <c r="F23" s="13" t="str">
        <f aca="false">IF($D23="","",SUMIFS(posicoes_fornecedor!$D$3:$D$1000,posicoes_fornecedor!$B$3:$B$1000,$A23,posicoes_fornecedor!$A$3:$A$1000,$D23))</f>
        <v/>
      </c>
      <c r="G23" s="13" t="str">
        <f aca="false">IF($D23="","",SUMIFS(posicoes_fornecedor!$E$3:$E$1000,posicoes_fornecedor!$B$3:$B$1000,$A23,posicoes_fornecedor!$A$3:$A$1000,$D23))</f>
        <v/>
      </c>
      <c r="H23" s="13" t="str">
        <f aca="false">IF($E23="","",$E23-$F23)</f>
        <v/>
      </c>
      <c r="I23" s="32" t="str">
        <f aca="false">IF(OR($E23="",$E23=0),"",$F23/$E23)</f>
        <v/>
      </c>
      <c r="J23" s="32" t="str">
        <f aca="false">IF(OR($E23="",$E23=0),"",$G23/$E23)</f>
        <v/>
      </c>
    </row>
    <row r="24" customFormat="false" ht="15" hidden="false" customHeight="false" outlineLevel="0" collapsed="false">
      <c r="A24" s="18"/>
      <c r="B24" s="18"/>
      <c r="C24" s="18"/>
      <c r="D24" s="31" t="str">
        <f aca="false">IF($A24="","",IF(SUMPRODUCT(MAX((posicoes_fornecedor!$B$3:$B$1000=$A24)*posicoes_fornecedor!$A$3:$A$1000))=0,"",SUMPRODUCT(MAX((posicoes_fornecedor!$B$3:$B$1000=$A24)*posicoes_fornecedor!$A$3:$A$1000))))</f>
        <v/>
      </c>
      <c r="E24" s="13" t="str">
        <f aca="false">IF($D24="","",SUMIFS(posicoes_fornecedor!$C$3:$C$1000,posicoes_fornecedor!$B$3:$B$1000,$A24,posicoes_fornecedor!$A$3:$A$1000,$D24))</f>
        <v/>
      </c>
      <c r="F24" s="13" t="str">
        <f aca="false">IF($D24="","",SUMIFS(posicoes_fornecedor!$D$3:$D$1000,posicoes_fornecedor!$B$3:$B$1000,$A24,posicoes_fornecedor!$A$3:$A$1000,$D24))</f>
        <v/>
      </c>
      <c r="G24" s="13" t="str">
        <f aca="false">IF($D24="","",SUMIFS(posicoes_fornecedor!$E$3:$E$1000,posicoes_fornecedor!$B$3:$B$1000,$A24,posicoes_fornecedor!$A$3:$A$1000,$D24))</f>
        <v/>
      </c>
      <c r="H24" s="13" t="str">
        <f aca="false">IF($E24="","",$E24-$F24)</f>
        <v/>
      </c>
      <c r="I24" s="32" t="str">
        <f aca="false">IF(OR($E24="",$E24=0),"",$F24/$E24)</f>
        <v/>
      </c>
      <c r="J24" s="32" t="str">
        <f aca="false">IF(OR($E24="",$E24=0),"",$G24/$E24)</f>
        <v/>
      </c>
    </row>
    <row r="25" customFormat="false" ht="15" hidden="false" customHeight="false" outlineLevel="0" collapsed="false">
      <c r="A25" s="18"/>
      <c r="B25" s="18"/>
      <c r="C25" s="18"/>
      <c r="D25" s="31" t="str">
        <f aca="false">IF($A25="","",IF(SUMPRODUCT(MAX((posicoes_fornecedor!$B$3:$B$1000=$A25)*posicoes_fornecedor!$A$3:$A$1000))=0,"",SUMPRODUCT(MAX((posicoes_fornecedor!$B$3:$B$1000=$A25)*posicoes_fornecedor!$A$3:$A$1000))))</f>
        <v/>
      </c>
      <c r="E25" s="13" t="str">
        <f aca="false">IF($D25="","",SUMIFS(posicoes_fornecedor!$C$3:$C$1000,posicoes_fornecedor!$B$3:$B$1000,$A25,posicoes_fornecedor!$A$3:$A$1000,$D25))</f>
        <v/>
      </c>
      <c r="F25" s="13" t="str">
        <f aca="false">IF($D25="","",SUMIFS(posicoes_fornecedor!$D$3:$D$1000,posicoes_fornecedor!$B$3:$B$1000,$A25,posicoes_fornecedor!$A$3:$A$1000,$D25))</f>
        <v/>
      </c>
      <c r="G25" s="13" t="str">
        <f aca="false">IF($D25="","",SUMIFS(posicoes_fornecedor!$E$3:$E$1000,posicoes_fornecedor!$B$3:$B$1000,$A25,posicoes_fornecedor!$A$3:$A$1000,$D25))</f>
        <v/>
      </c>
      <c r="H25" s="13" t="str">
        <f aca="false">IF($E25="","",$E25-$F25)</f>
        <v/>
      </c>
      <c r="I25" s="32" t="str">
        <f aca="false">IF(OR($E25="",$E25=0),"",$F25/$E25)</f>
        <v/>
      </c>
      <c r="J25" s="32" t="str">
        <f aca="false">IF(OR($E25="",$E25=0),"",$G25/$E25)</f>
        <v/>
      </c>
    </row>
    <row r="26" customFormat="false" ht="15" hidden="false" customHeight="false" outlineLevel="0" collapsed="false">
      <c r="A26" s="18"/>
      <c r="B26" s="18"/>
      <c r="C26" s="18"/>
      <c r="D26" s="31" t="str">
        <f aca="false">IF($A26="","",IF(SUMPRODUCT(MAX((posicoes_fornecedor!$B$3:$B$1000=$A26)*posicoes_fornecedor!$A$3:$A$1000))=0,"",SUMPRODUCT(MAX((posicoes_fornecedor!$B$3:$B$1000=$A26)*posicoes_fornecedor!$A$3:$A$1000))))</f>
        <v/>
      </c>
      <c r="E26" s="13" t="str">
        <f aca="false">IF($D26="","",SUMIFS(posicoes_fornecedor!$C$3:$C$1000,posicoes_fornecedor!$B$3:$B$1000,$A26,posicoes_fornecedor!$A$3:$A$1000,$D26))</f>
        <v/>
      </c>
      <c r="F26" s="13" t="str">
        <f aca="false">IF($D26="","",SUMIFS(posicoes_fornecedor!$D$3:$D$1000,posicoes_fornecedor!$B$3:$B$1000,$A26,posicoes_fornecedor!$A$3:$A$1000,$D26))</f>
        <v/>
      </c>
      <c r="G26" s="13" t="str">
        <f aca="false">IF($D26="","",SUMIFS(posicoes_fornecedor!$E$3:$E$1000,posicoes_fornecedor!$B$3:$B$1000,$A26,posicoes_fornecedor!$A$3:$A$1000,$D26))</f>
        <v/>
      </c>
      <c r="H26" s="13" t="str">
        <f aca="false">IF($E26="","",$E26-$F26)</f>
        <v/>
      </c>
      <c r="I26" s="32" t="str">
        <f aca="false">IF(OR($E26="",$E26=0),"",$F26/$E26)</f>
        <v/>
      </c>
      <c r="J26" s="32" t="str">
        <f aca="false">IF(OR($E26="",$E26=0),"",$G26/$E26)</f>
        <v/>
      </c>
    </row>
    <row r="27" customFormat="false" ht="15" hidden="false" customHeight="false" outlineLevel="0" collapsed="false">
      <c r="A27" s="18"/>
      <c r="B27" s="18"/>
      <c r="C27" s="18"/>
      <c r="D27" s="31" t="str">
        <f aca="false">IF($A27="","",IF(SUMPRODUCT(MAX((posicoes_fornecedor!$B$3:$B$1000=$A27)*posicoes_fornecedor!$A$3:$A$1000))=0,"",SUMPRODUCT(MAX((posicoes_fornecedor!$B$3:$B$1000=$A27)*posicoes_fornecedor!$A$3:$A$1000))))</f>
        <v/>
      </c>
      <c r="E27" s="13" t="str">
        <f aca="false">IF($D27="","",SUMIFS(posicoes_fornecedor!$C$3:$C$1000,posicoes_fornecedor!$B$3:$B$1000,$A27,posicoes_fornecedor!$A$3:$A$1000,$D27))</f>
        <v/>
      </c>
      <c r="F27" s="13" t="str">
        <f aca="false">IF($D27="","",SUMIFS(posicoes_fornecedor!$D$3:$D$1000,posicoes_fornecedor!$B$3:$B$1000,$A27,posicoes_fornecedor!$A$3:$A$1000,$D27))</f>
        <v/>
      </c>
      <c r="G27" s="13" t="str">
        <f aca="false">IF($D27="","",SUMIFS(posicoes_fornecedor!$E$3:$E$1000,posicoes_fornecedor!$B$3:$B$1000,$A27,posicoes_fornecedor!$A$3:$A$1000,$D27))</f>
        <v/>
      </c>
      <c r="H27" s="13" t="str">
        <f aca="false">IF($E27="","",$E27-$F27)</f>
        <v/>
      </c>
      <c r="I27" s="32" t="str">
        <f aca="false">IF(OR($E27="",$E27=0),"",$F27/$E27)</f>
        <v/>
      </c>
      <c r="J27" s="32" t="str">
        <f aca="false">IF(OR($E27="",$E27=0),"",$G27/$E27)</f>
        <v/>
      </c>
    </row>
    <row r="28" customFormat="false" ht="15" hidden="false" customHeight="false" outlineLevel="0" collapsed="false">
      <c r="A28" s="18"/>
      <c r="B28" s="18"/>
      <c r="C28" s="18"/>
      <c r="D28" s="31" t="str">
        <f aca="false">IF($A28="","",IF(SUMPRODUCT(MAX((posicoes_fornecedor!$B$3:$B$1000=$A28)*posicoes_fornecedor!$A$3:$A$1000))=0,"",SUMPRODUCT(MAX((posicoes_fornecedor!$B$3:$B$1000=$A28)*posicoes_fornecedor!$A$3:$A$1000))))</f>
        <v/>
      </c>
      <c r="E28" s="13" t="str">
        <f aca="false">IF($D28="","",SUMIFS(posicoes_fornecedor!$C$3:$C$1000,posicoes_fornecedor!$B$3:$B$1000,$A28,posicoes_fornecedor!$A$3:$A$1000,$D28))</f>
        <v/>
      </c>
      <c r="F28" s="13" t="str">
        <f aca="false">IF($D28="","",SUMIFS(posicoes_fornecedor!$D$3:$D$1000,posicoes_fornecedor!$B$3:$B$1000,$A28,posicoes_fornecedor!$A$3:$A$1000,$D28))</f>
        <v/>
      </c>
      <c r="G28" s="13" t="str">
        <f aca="false">IF($D28="","",SUMIFS(posicoes_fornecedor!$E$3:$E$1000,posicoes_fornecedor!$B$3:$B$1000,$A28,posicoes_fornecedor!$A$3:$A$1000,$D28))</f>
        <v/>
      </c>
      <c r="H28" s="13" t="str">
        <f aca="false">IF($E28="","",$E28-$F28)</f>
        <v/>
      </c>
      <c r="I28" s="32" t="str">
        <f aca="false">IF(OR($E28="",$E28=0),"",$F28/$E28)</f>
        <v/>
      </c>
      <c r="J28" s="32" t="str">
        <f aca="false">IF(OR($E28="",$E28=0),"",$G28/$E28)</f>
        <v/>
      </c>
    </row>
    <row r="29" customFormat="false" ht="15" hidden="false" customHeight="false" outlineLevel="0" collapsed="false">
      <c r="A29" s="18"/>
      <c r="B29" s="18"/>
      <c r="C29" s="18"/>
      <c r="D29" s="31" t="str">
        <f aca="false">IF($A29="","",IF(SUMPRODUCT(MAX((posicoes_fornecedor!$B$3:$B$1000=$A29)*posicoes_fornecedor!$A$3:$A$1000))=0,"",SUMPRODUCT(MAX((posicoes_fornecedor!$B$3:$B$1000=$A29)*posicoes_fornecedor!$A$3:$A$1000))))</f>
        <v/>
      </c>
      <c r="E29" s="13" t="str">
        <f aca="false">IF($D29="","",SUMIFS(posicoes_fornecedor!$C$3:$C$1000,posicoes_fornecedor!$B$3:$B$1000,$A29,posicoes_fornecedor!$A$3:$A$1000,$D29))</f>
        <v/>
      </c>
      <c r="F29" s="13" t="str">
        <f aca="false">IF($D29="","",SUMIFS(posicoes_fornecedor!$D$3:$D$1000,posicoes_fornecedor!$B$3:$B$1000,$A29,posicoes_fornecedor!$A$3:$A$1000,$D29))</f>
        <v/>
      </c>
      <c r="G29" s="13" t="str">
        <f aca="false">IF($D29="","",SUMIFS(posicoes_fornecedor!$E$3:$E$1000,posicoes_fornecedor!$B$3:$B$1000,$A29,posicoes_fornecedor!$A$3:$A$1000,$D29))</f>
        <v/>
      </c>
      <c r="H29" s="13" t="str">
        <f aca="false">IF($E29="","",$E29-$F29)</f>
        <v/>
      </c>
      <c r="I29" s="32" t="str">
        <f aca="false">IF(OR($E29="",$E29=0),"",$F29/$E29)</f>
        <v/>
      </c>
      <c r="J29" s="32" t="str">
        <f aca="false">IF(OR($E29="",$E29=0),"",$G29/$E29)</f>
        <v/>
      </c>
    </row>
    <row r="30" customFormat="false" ht="15" hidden="false" customHeight="false" outlineLevel="0" collapsed="false">
      <c r="A30" s="18"/>
      <c r="B30" s="18"/>
      <c r="C30" s="18"/>
      <c r="D30" s="31" t="str">
        <f aca="false">IF($A30="","",IF(SUMPRODUCT(MAX((posicoes_fornecedor!$B$3:$B$1000=$A30)*posicoes_fornecedor!$A$3:$A$1000))=0,"",SUMPRODUCT(MAX((posicoes_fornecedor!$B$3:$B$1000=$A30)*posicoes_fornecedor!$A$3:$A$1000))))</f>
        <v/>
      </c>
      <c r="E30" s="13" t="str">
        <f aca="false">IF($D30="","",SUMIFS(posicoes_fornecedor!$C$3:$C$1000,posicoes_fornecedor!$B$3:$B$1000,$A30,posicoes_fornecedor!$A$3:$A$1000,$D30))</f>
        <v/>
      </c>
      <c r="F30" s="13" t="str">
        <f aca="false">IF($D30="","",SUMIFS(posicoes_fornecedor!$D$3:$D$1000,posicoes_fornecedor!$B$3:$B$1000,$A30,posicoes_fornecedor!$A$3:$A$1000,$D30))</f>
        <v/>
      </c>
      <c r="G30" s="13" t="str">
        <f aca="false">IF($D30="","",SUMIFS(posicoes_fornecedor!$E$3:$E$1000,posicoes_fornecedor!$B$3:$B$1000,$A30,posicoes_fornecedor!$A$3:$A$1000,$D30))</f>
        <v/>
      </c>
      <c r="H30" s="13" t="str">
        <f aca="false">IF($E30="","",$E30-$F30)</f>
        <v/>
      </c>
      <c r="I30" s="32" t="str">
        <f aca="false">IF(OR($E30="",$E30=0),"",$F30/$E30)</f>
        <v/>
      </c>
      <c r="J30" s="32" t="str">
        <f aca="false">IF(OR($E30="",$E30=0),"",$G30/$E30)</f>
        <v/>
      </c>
    </row>
    <row r="31" customFormat="false" ht="15" hidden="false" customHeight="false" outlineLevel="0" collapsed="false">
      <c r="A31" s="18"/>
      <c r="B31" s="18"/>
      <c r="C31" s="18"/>
      <c r="D31" s="31" t="str">
        <f aca="false">IF($A31="","",IF(SUMPRODUCT(MAX((posicoes_fornecedor!$B$3:$B$1000=$A31)*posicoes_fornecedor!$A$3:$A$1000))=0,"",SUMPRODUCT(MAX((posicoes_fornecedor!$B$3:$B$1000=$A31)*posicoes_fornecedor!$A$3:$A$1000))))</f>
        <v/>
      </c>
      <c r="E31" s="13" t="str">
        <f aca="false">IF($D31="","",SUMIFS(posicoes_fornecedor!$C$3:$C$1000,posicoes_fornecedor!$B$3:$B$1000,$A31,posicoes_fornecedor!$A$3:$A$1000,$D31))</f>
        <v/>
      </c>
      <c r="F31" s="13" t="str">
        <f aca="false">IF($D31="","",SUMIFS(posicoes_fornecedor!$D$3:$D$1000,posicoes_fornecedor!$B$3:$B$1000,$A31,posicoes_fornecedor!$A$3:$A$1000,$D31))</f>
        <v/>
      </c>
      <c r="G31" s="13" t="str">
        <f aca="false">IF($D31="","",SUMIFS(posicoes_fornecedor!$E$3:$E$1000,posicoes_fornecedor!$B$3:$B$1000,$A31,posicoes_fornecedor!$A$3:$A$1000,$D31))</f>
        <v/>
      </c>
      <c r="H31" s="13" t="str">
        <f aca="false">IF($E31="","",$E31-$F31)</f>
        <v/>
      </c>
      <c r="I31" s="32" t="str">
        <f aca="false">IF(OR($E31="",$E31=0),"",$F31/$E31)</f>
        <v/>
      </c>
      <c r="J31" s="32" t="str">
        <f aca="false">IF(OR($E31="",$E31=0),"",$G31/$E31)</f>
        <v/>
      </c>
    </row>
    <row r="32" customFormat="false" ht="15" hidden="false" customHeight="false" outlineLevel="0" collapsed="false">
      <c r="A32" s="18"/>
      <c r="B32" s="18"/>
      <c r="C32" s="18"/>
      <c r="D32" s="31" t="str">
        <f aca="false">IF($A32="","",IF(SUMPRODUCT(MAX((posicoes_fornecedor!$B$3:$B$1000=$A32)*posicoes_fornecedor!$A$3:$A$1000))=0,"",SUMPRODUCT(MAX((posicoes_fornecedor!$B$3:$B$1000=$A32)*posicoes_fornecedor!$A$3:$A$1000))))</f>
        <v/>
      </c>
      <c r="E32" s="13" t="str">
        <f aca="false">IF($D32="","",SUMIFS(posicoes_fornecedor!$C$3:$C$1000,posicoes_fornecedor!$B$3:$B$1000,$A32,posicoes_fornecedor!$A$3:$A$1000,$D32))</f>
        <v/>
      </c>
      <c r="F32" s="13" t="str">
        <f aca="false">IF($D32="","",SUMIFS(posicoes_fornecedor!$D$3:$D$1000,posicoes_fornecedor!$B$3:$B$1000,$A32,posicoes_fornecedor!$A$3:$A$1000,$D32))</f>
        <v/>
      </c>
      <c r="G32" s="13" t="str">
        <f aca="false">IF($D32="","",SUMIFS(posicoes_fornecedor!$E$3:$E$1000,posicoes_fornecedor!$B$3:$B$1000,$A32,posicoes_fornecedor!$A$3:$A$1000,$D32))</f>
        <v/>
      </c>
      <c r="H32" s="13" t="str">
        <f aca="false">IF($E32="","",$E32-$F32)</f>
        <v/>
      </c>
      <c r="I32" s="32" t="str">
        <f aca="false">IF(OR($E32="",$E32=0),"",$F32/$E32)</f>
        <v/>
      </c>
      <c r="J32" s="32" t="str">
        <f aca="false">IF(OR($E32="",$E32=0),"",$G32/$E32)</f>
        <v/>
      </c>
    </row>
    <row r="33" customFormat="false" ht="15" hidden="false" customHeight="false" outlineLevel="0" collapsed="false">
      <c r="A33" s="18"/>
      <c r="B33" s="18"/>
      <c r="C33" s="18"/>
      <c r="D33" s="31" t="str">
        <f aca="false">IF($A33="","",IF(SUMPRODUCT(MAX((posicoes_fornecedor!$B$3:$B$1000=$A33)*posicoes_fornecedor!$A$3:$A$1000))=0,"",SUMPRODUCT(MAX((posicoes_fornecedor!$B$3:$B$1000=$A33)*posicoes_fornecedor!$A$3:$A$1000))))</f>
        <v/>
      </c>
      <c r="E33" s="13" t="str">
        <f aca="false">IF($D33="","",SUMIFS(posicoes_fornecedor!$C$3:$C$1000,posicoes_fornecedor!$B$3:$B$1000,$A33,posicoes_fornecedor!$A$3:$A$1000,$D33))</f>
        <v/>
      </c>
      <c r="F33" s="13" t="str">
        <f aca="false">IF($D33="","",SUMIFS(posicoes_fornecedor!$D$3:$D$1000,posicoes_fornecedor!$B$3:$B$1000,$A33,posicoes_fornecedor!$A$3:$A$1000,$D33))</f>
        <v/>
      </c>
      <c r="G33" s="13" t="str">
        <f aca="false">IF($D33="","",SUMIFS(posicoes_fornecedor!$E$3:$E$1000,posicoes_fornecedor!$B$3:$B$1000,$A33,posicoes_fornecedor!$A$3:$A$1000,$D33))</f>
        <v/>
      </c>
      <c r="H33" s="13" t="str">
        <f aca="false">IF($E33="","",$E33-$F33)</f>
        <v/>
      </c>
      <c r="I33" s="32" t="str">
        <f aca="false">IF(OR($E33="",$E33=0),"",$F33/$E33)</f>
        <v/>
      </c>
      <c r="J33" s="32" t="str">
        <f aca="false">IF(OR($E33="",$E33=0),"",$G33/$E33)</f>
        <v/>
      </c>
    </row>
    <row r="34" customFormat="false" ht="15" hidden="false" customHeight="false" outlineLevel="0" collapsed="false">
      <c r="A34" s="18"/>
      <c r="B34" s="18"/>
      <c r="C34" s="18"/>
      <c r="D34" s="31" t="str">
        <f aca="false">IF($A34="","",IF(SUMPRODUCT(MAX((posicoes_fornecedor!$B$3:$B$1000=$A34)*posicoes_fornecedor!$A$3:$A$1000))=0,"",SUMPRODUCT(MAX((posicoes_fornecedor!$B$3:$B$1000=$A34)*posicoes_fornecedor!$A$3:$A$1000))))</f>
        <v/>
      </c>
      <c r="E34" s="13" t="str">
        <f aca="false">IF($D34="","",SUMIFS(posicoes_fornecedor!$C$3:$C$1000,posicoes_fornecedor!$B$3:$B$1000,$A34,posicoes_fornecedor!$A$3:$A$1000,$D34))</f>
        <v/>
      </c>
      <c r="F34" s="13" t="str">
        <f aca="false">IF($D34="","",SUMIFS(posicoes_fornecedor!$D$3:$D$1000,posicoes_fornecedor!$B$3:$B$1000,$A34,posicoes_fornecedor!$A$3:$A$1000,$D34))</f>
        <v/>
      </c>
      <c r="G34" s="13" t="str">
        <f aca="false">IF($D34="","",SUMIFS(posicoes_fornecedor!$E$3:$E$1000,posicoes_fornecedor!$B$3:$B$1000,$A34,posicoes_fornecedor!$A$3:$A$1000,$D34))</f>
        <v/>
      </c>
      <c r="H34" s="13" t="str">
        <f aca="false">IF($E34="","",$E34-$F34)</f>
        <v/>
      </c>
      <c r="I34" s="32" t="str">
        <f aca="false">IF(OR($E34="",$E34=0),"",$F34/$E34)</f>
        <v/>
      </c>
      <c r="J34" s="32" t="str">
        <f aca="false">IF(OR($E34="",$E34=0),"",$G34/$E34)</f>
        <v/>
      </c>
    </row>
    <row r="35" customFormat="false" ht="15" hidden="false" customHeight="false" outlineLevel="0" collapsed="false">
      <c r="A35" s="18"/>
      <c r="B35" s="18"/>
      <c r="C35" s="18"/>
      <c r="D35" s="31" t="str">
        <f aca="false">IF($A35="","",IF(SUMPRODUCT(MAX((posicoes_fornecedor!$B$3:$B$1000=$A35)*posicoes_fornecedor!$A$3:$A$1000))=0,"",SUMPRODUCT(MAX((posicoes_fornecedor!$B$3:$B$1000=$A35)*posicoes_fornecedor!$A$3:$A$1000))))</f>
        <v/>
      </c>
      <c r="E35" s="13" t="str">
        <f aca="false">IF($D35="","",SUMIFS(posicoes_fornecedor!$C$3:$C$1000,posicoes_fornecedor!$B$3:$B$1000,$A35,posicoes_fornecedor!$A$3:$A$1000,$D35))</f>
        <v/>
      </c>
      <c r="F35" s="13" t="str">
        <f aca="false">IF($D35="","",SUMIFS(posicoes_fornecedor!$D$3:$D$1000,posicoes_fornecedor!$B$3:$B$1000,$A35,posicoes_fornecedor!$A$3:$A$1000,$D35))</f>
        <v/>
      </c>
      <c r="G35" s="13" t="str">
        <f aca="false">IF($D35="","",SUMIFS(posicoes_fornecedor!$E$3:$E$1000,posicoes_fornecedor!$B$3:$B$1000,$A35,posicoes_fornecedor!$A$3:$A$1000,$D35))</f>
        <v/>
      </c>
      <c r="H35" s="13" t="str">
        <f aca="false">IF($E35="","",$E35-$F35)</f>
        <v/>
      </c>
      <c r="I35" s="32" t="str">
        <f aca="false">IF(OR($E35="",$E35=0),"",$F35/$E35)</f>
        <v/>
      </c>
      <c r="J35" s="32" t="str">
        <f aca="false">IF(OR($E35="",$E35=0),"",$G35/$E35)</f>
        <v/>
      </c>
    </row>
    <row r="36" customFormat="false" ht="15" hidden="false" customHeight="false" outlineLevel="0" collapsed="false">
      <c r="A36" s="18"/>
      <c r="B36" s="18"/>
      <c r="C36" s="18"/>
      <c r="D36" s="31" t="str">
        <f aca="false">IF($A36="","",IF(SUMPRODUCT(MAX((posicoes_fornecedor!$B$3:$B$1000=$A36)*posicoes_fornecedor!$A$3:$A$1000))=0,"",SUMPRODUCT(MAX((posicoes_fornecedor!$B$3:$B$1000=$A36)*posicoes_fornecedor!$A$3:$A$1000))))</f>
        <v/>
      </c>
      <c r="E36" s="13" t="str">
        <f aca="false">IF($D36="","",SUMIFS(posicoes_fornecedor!$C$3:$C$1000,posicoes_fornecedor!$B$3:$B$1000,$A36,posicoes_fornecedor!$A$3:$A$1000,$D36))</f>
        <v/>
      </c>
      <c r="F36" s="13" t="str">
        <f aca="false">IF($D36="","",SUMIFS(posicoes_fornecedor!$D$3:$D$1000,posicoes_fornecedor!$B$3:$B$1000,$A36,posicoes_fornecedor!$A$3:$A$1000,$D36))</f>
        <v/>
      </c>
      <c r="G36" s="13" t="str">
        <f aca="false">IF($D36="","",SUMIFS(posicoes_fornecedor!$E$3:$E$1000,posicoes_fornecedor!$B$3:$B$1000,$A36,posicoes_fornecedor!$A$3:$A$1000,$D36))</f>
        <v/>
      </c>
      <c r="H36" s="13" t="str">
        <f aca="false">IF($E36="","",$E36-$F36)</f>
        <v/>
      </c>
      <c r="I36" s="32" t="str">
        <f aca="false">IF(OR($E36="",$E36=0),"",$F36/$E36)</f>
        <v/>
      </c>
      <c r="J36" s="32" t="str">
        <f aca="false">IF(OR($E36="",$E36=0),"",$G36/$E36)</f>
        <v/>
      </c>
    </row>
    <row r="37" customFormat="false" ht="15" hidden="false" customHeight="false" outlineLevel="0" collapsed="false">
      <c r="A37" s="18"/>
      <c r="B37" s="18"/>
      <c r="C37" s="18"/>
      <c r="D37" s="31" t="str">
        <f aca="false">IF($A37="","",IF(SUMPRODUCT(MAX((posicoes_fornecedor!$B$3:$B$1000=$A37)*posicoes_fornecedor!$A$3:$A$1000))=0,"",SUMPRODUCT(MAX((posicoes_fornecedor!$B$3:$B$1000=$A37)*posicoes_fornecedor!$A$3:$A$1000))))</f>
        <v/>
      </c>
      <c r="E37" s="13" t="str">
        <f aca="false">IF($D37="","",SUMIFS(posicoes_fornecedor!$C$3:$C$1000,posicoes_fornecedor!$B$3:$B$1000,$A37,posicoes_fornecedor!$A$3:$A$1000,$D37))</f>
        <v/>
      </c>
      <c r="F37" s="13" t="str">
        <f aca="false">IF($D37="","",SUMIFS(posicoes_fornecedor!$D$3:$D$1000,posicoes_fornecedor!$B$3:$B$1000,$A37,posicoes_fornecedor!$A$3:$A$1000,$D37))</f>
        <v/>
      </c>
      <c r="G37" s="13" t="str">
        <f aca="false">IF($D37="","",SUMIFS(posicoes_fornecedor!$E$3:$E$1000,posicoes_fornecedor!$B$3:$B$1000,$A37,posicoes_fornecedor!$A$3:$A$1000,$D37))</f>
        <v/>
      </c>
      <c r="H37" s="13" t="str">
        <f aca="false">IF($E37="","",$E37-$F37)</f>
        <v/>
      </c>
      <c r="I37" s="32" t="str">
        <f aca="false">IF(OR($E37="",$E37=0),"",$F37/$E37)</f>
        <v/>
      </c>
      <c r="J37" s="32" t="str">
        <f aca="false">IF(OR($E37="",$E37=0),"",$G37/$E37)</f>
        <v/>
      </c>
    </row>
    <row r="38" customFormat="false" ht="15" hidden="false" customHeight="false" outlineLevel="0" collapsed="false">
      <c r="A38" s="18"/>
      <c r="B38" s="18"/>
      <c r="C38" s="18"/>
      <c r="D38" s="31" t="str">
        <f aca="false">IF($A38="","",IF(SUMPRODUCT(MAX((posicoes_fornecedor!$B$3:$B$1000=$A38)*posicoes_fornecedor!$A$3:$A$1000))=0,"",SUMPRODUCT(MAX((posicoes_fornecedor!$B$3:$B$1000=$A38)*posicoes_fornecedor!$A$3:$A$1000))))</f>
        <v/>
      </c>
      <c r="E38" s="13" t="str">
        <f aca="false">IF($D38="","",SUMIFS(posicoes_fornecedor!$C$3:$C$1000,posicoes_fornecedor!$B$3:$B$1000,$A38,posicoes_fornecedor!$A$3:$A$1000,$D38))</f>
        <v/>
      </c>
      <c r="F38" s="13" t="str">
        <f aca="false">IF($D38="","",SUMIFS(posicoes_fornecedor!$D$3:$D$1000,posicoes_fornecedor!$B$3:$B$1000,$A38,posicoes_fornecedor!$A$3:$A$1000,$D38))</f>
        <v/>
      </c>
      <c r="G38" s="13" t="str">
        <f aca="false">IF($D38="","",SUMIFS(posicoes_fornecedor!$E$3:$E$1000,posicoes_fornecedor!$B$3:$B$1000,$A38,posicoes_fornecedor!$A$3:$A$1000,$D38))</f>
        <v/>
      </c>
      <c r="H38" s="13" t="str">
        <f aca="false">IF($E38="","",$E38-$F38)</f>
        <v/>
      </c>
      <c r="I38" s="32" t="str">
        <f aca="false">IF(OR($E38="",$E38=0),"",$F38/$E38)</f>
        <v/>
      </c>
      <c r="J38" s="32" t="str">
        <f aca="false">IF(OR($E38="",$E38=0),"",$G38/$E38)</f>
        <v/>
      </c>
    </row>
    <row r="39" customFormat="false" ht="15" hidden="false" customHeight="false" outlineLevel="0" collapsed="false">
      <c r="A39" s="18"/>
      <c r="B39" s="18"/>
      <c r="C39" s="18"/>
      <c r="D39" s="31" t="str">
        <f aca="false">IF($A39="","",IF(SUMPRODUCT(MAX((posicoes_fornecedor!$B$3:$B$1000=$A39)*posicoes_fornecedor!$A$3:$A$1000))=0,"",SUMPRODUCT(MAX((posicoes_fornecedor!$B$3:$B$1000=$A39)*posicoes_fornecedor!$A$3:$A$1000))))</f>
        <v/>
      </c>
      <c r="E39" s="13" t="str">
        <f aca="false">IF($D39="","",SUMIFS(posicoes_fornecedor!$C$3:$C$1000,posicoes_fornecedor!$B$3:$B$1000,$A39,posicoes_fornecedor!$A$3:$A$1000,$D39))</f>
        <v/>
      </c>
      <c r="F39" s="13" t="str">
        <f aca="false">IF($D39="","",SUMIFS(posicoes_fornecedor!$D$3:$D$1000,posicoes_fornecedor!$B$3:$B$1000,$A39,posicoes_fornecedor!$A$3:$A$1000,$D39))</f>
        <v/>
      </c>
      <c r="G39" s="13" t="str">
        <f aca="false">IF($D39="","",SUMIFS(posicoes_fornecedor!$E$3:$E$1000,posicoes_fornecedor!$B$3:$B$1000,$A39,posicoes_fornecedor!$A$3:$A$1000,$D39))</f>
        <v/>
      </c>
      <c r="H39" s="13" t="str">
        <f aca="false">IF($E39="","",$E39-$F39)</f>
        <v/>
      </c>
      <c r="I39" s="32" t="str">
        <f aca="false">IF(OR($E39="",$E39=0),"",$F39/$E39)</f>
        <v/>
      </c>
      <c r="J39" s="32" t="str">
        <f aca="false">IF(OR($E39="",$E39=0),"",$G39/$E39)</f>
        <v/>
      </c>
    </row>
    <row r="40" customFormat="false" ht="15" hidden="false" customHeight="false" outlineLevel="0" collapsed="false">
      <c r="A40" s="18"/>
      <c r="B40" s="18"/>
      <c r="C40" s="18"/>
      <c r="D40" s="31" t="str">
        <f aca="false">IF($A40="","",IF(SUMPRODUCT(MAX((posicoes_fornecedor!$B$3:$B$1000=$A40)*posicoes_fornecedor!$A$3:$A$1000))=0,"",SUMPRODUCT(MAX((posicoes_fornecedor!$B$3:$B$1000=$A40)*posicoes_fornecedor!$A$3:$A$1000))))</f>
        <v/>
      </c>
      <c r="E40" s="13" t="str">
        <f aca="false">IF($D40="","",SUMIFS(posicoes_fornecedor!$C$3:$C$1000,posicoes_fornecedor!$B$3:$B$1000,$A40,posicoes_fornecedor!$A$3:$A$1000,$D40))</f>
        <v/>
      </c>
      <c r="F40" s="13" t="str">
        <f aca="false">IF($D40="","",SUMIFS(posicoes_fornecedor!$D$3:$D$1000,posicoes_fornecedor!$B$3:$B$1000,$A40,posicoes_fornecedor!$A$3:$A$1000,$D40))</f>
        <v/>
      </c>
      <c r="G40" s="13" t="str">
        <f aca="false">IF($D40="","",SUMIFS(posicoes_fornecedor!$E$3:$E$1000,posicoes_fornecedor!$B$3:$B$1000,$A40,posicoes_fornecedor!$A$3:$A$1000,$D40))</f>
        <v/>
      </c>
      <c r="H40" s="13" t="str">
        <f aca="false">IF($E40="","",$E40-$F40)</f>
        <v/>
      </c>
      <c r="I40" s="32" t="str">
        <f aca="false">IF(OR($E40="",$E40=0),"",$F40/$E40)</f>
        <v/>
      </c>
      <c r="J40" s="32" t="str">
        <f aca="false">IF(OR($E40="",$E40=0),"",$G40/$E40)</f>
        <v/>
      </c>
    </row>
    <row r="41" customFormat="false" ht="15" hidden="false" customHeight="false" outlineLevel="0" collapsed="false">
      <c r="A41" s="18"/>
      <c r="B41" s="18"/>
      <c r="C41" s="18"/>
      <c r="D41" s="31" t="str">
        <f aca="false">IF($A41="","",IF(SUMPRODUCT(MAX((posicoes_fornecedor!$B$3:$B$1000=$A41)*posicoes_fornecedor!$A$3:$A$1000))=0,"",SUMPRODUCT(MAX((posicoes_fornecedor!$B$3:$B$1000=$A41)*posicoes_fornecedor!$A$3:$A$1000))))</f>
        <v/>
      </c>
      <c r="E41" s="13" t="str">
        <f aca="false">IF($D41="","",SUMIFS(posicoes_fornecedor!$C$3:$C$1000,posicoes_fornecedor!$B$3:$B$1000,$A41,posicoes_fornecedor!$A$3:$A$1000,$D41))</f>
        <v/>
      </c>
      <c r="F41" s="13" t="str">
        <f aca="false">IF($D41="","",SUMIFS(posicoes_fornecedor!$D$3:$D$1000,posicoes_fornecedor!$B$3:$B$1000,$A41,posicoes_fornecedor!$A$3:$A$1000,$D41))</f>
        <v/>
      </c>
      <c r="G41" s="13" t="str">
        <f aca="false">IF($D41="","",SUMIFS(posicoes_fornecedor!$E$3:$E$1000,posicoes_fornecedor!$B$3:$B$1000,$A41,posicoes_fornecedor!$A$3:$A$1000,$D41))</f>
        <v/>
      </c>
      <c r="H41" s="13" t="str">
        <f aca="false">IF($E41="","",$E41-$F41)</f>
        <v/>
      </c>
      <c r="I41" s="32" t="str">
        <f aca="false">IF(OR($E41="",$E41=0),"",$F41/$E41)</f>
        <v/>
      </c>
      <c r="J41" s="32" t="str">
        <f aca="false">IF(OR($E41="",$E41=0),"",$G41/$E41)</f>
        <v/>
      </c>
    </row>
    <row r="42" customFormat="false" ht="15" hidden="false" customHeight="false" outlineLevel="0" collapsed="false">
      <c r="A42" s="18"/>
      <c r="B42" s="18"/>
      <c r="C42" s="18"/>
      <c r="D42" s="31" t="str">
        <f aca="false">IF($A42="","",IF(SUMPRODUCT(MAX((posicoes_fornecedor!$B$3:$B$1000=$A42)*posicoes_fornecedor!$A$3:$A$1000))=0,"",SUMPRODUCT(MAX((posicoes_fornecedor!$B$3:$B$1000=$A42)*posicoes_fornecedor!$A$3:$A$1000))))</f>
        <v/>
      </c>
      <c r="E42" s="13" t="str">
        <f aca="false">IF($D42="","",SUMIFS(posicoes_fornecedor!$C$3:$C$1000,posicoes_fornecedor!$B$3:$B$1000,$A42,posicoes_fornecedor!$A$3:$A$1000,$D42))</f>
        <v/>
      </c>
      <c r="F42" s="13" t="str">
        <f aca="false">IF($D42="","",SUMIFS(posicoes_fornecedor!$D$3:$D$1000,posicoes_fornecedor!$B$3:$B$1000,$A42,posicoes_fornecedor!$A$3:$A$1000,$D42))</f>
        <v/>
      </c>
      <c r="G42" s="13" t="str">
        <f aca="false">IF($D42="","",SUMIFS(posicoes_fornecedor!$E$3:$E$1000,posicoes_fornecedor!$B$3:$B$1000,$A42,posicoes_fornecedor!$A$3:$A$1000,$D42))</f>
        <v/>
      </c>
      <c r="H42" s="13" t="str">
        <f aca="false">IF($E42="","",$E42-$F42)</f>
        <v/>
      </c>
      <c r="I42" s="32" t="str">
        <f aca="false">IF(OR($E42="",$E42=0),"",$F42/$E42)</f>
        <v/>
      </c>
      <c r="J42" s="32" t="str">
        <f aca="false">IF(OR($E42="",$E42=0),"",$G42/$E42)</f>
        <v/>
      </c>
    </row>
    <row r="43" customFormat="false" ht="15" hidden="false" customHeight="false" outlineLevel="0" collapsed="false">
      <c r="A43" s="18"/>
      <c r="B43" s="18"/>
      <c r="C43" s="18"/>
      <c r="D43" s="31" t="str">
        <f aca="false">IF($A43="","",IF(SUMPRODUCT(MAX((posicoes_fornecedor!$B$3:$B$1000=$A43)*posicoes_fornecedor!$A$3:$A$1000))=0,"",SUMPRODUCT(MAX((posicoes_fornecedor!$B$3:$B$1000=$A43)*posicoes_fornecedor!$A$3:$A$1000))))</f>
        <v/>
      </c>
      <c r="E43" s="13" t="str">
        <f aca="false">IF($D43="","",SUMIFS(posicoes_fornecedor!$C$3:$C$1000,posicoes_fornecedor!$B$3:$B$1000,$A43,posicoes_fornecedor!$A$3:$A$1000,$D43))</f>
        <v/>
      </c>
      <c r="F43" s="13" t="str">
        <f aca="false">IF($D43="","",SUMIFS(posicoes_fornecedor!$D$3:$D$1000,posicoes_fornecedor!$B$3:$B$1000,$A43,posicoes_fornecedor!$A$3:$A$1000,$D43))</f>
        <v/>
      </c>
      <c r="G43" s="13" t="str">
        <f aca="false">IF($D43="","",SUMIFS(posicoes_fornecedor!$E$3:$E$1000,posicoes_fornecedor!$B$3:$B$1000,$A43,posicoes_fornecedor!$A$3:$A$1000,$D43))</f>
        <v/>
      </c>
      <c r="H43" s="13" t="str">
        <f aca="false">IF($E43="","",$E43-$F43)</f>
        <v/>
      </c>
      <c r="I43" s="32" t="str">
        <f aca="false">IF(OR($E43="",$E43=0),"",$F43/$E43)</f>
        <v/>
      </c>
      <c r="J43" s="32" t="str">
        <f aca="false">IF(OR($E43="",$E43=0),"",$G43/$E43)</f>
        <v/>
      </c>
    </row>
    <row r="44" customFormat="false" ht="15" hidden="false" customHeight="false" outlineLevel="0" collapsed="false">
      <c r="A44" s="18"/>
      <c r="B44" s="18"/>
      <c r="C44" s="18"/>
      <c r="D44" s="31" t="str">
        <f aca="false">IF($A44="","",IF(SUMPRODUCT(MAX((posicoes_fornecedor!$B$3:$B$1000=$A44)*posicoes_fornecedor!$A$3:$A$1000))=0,"",SUMPRODUCT(MAX((posicoes_fornecedor!$B$3:$B$1000=$A44)*posicoes_fornecedor!$A$3:$A$1000))))</f>
        <v/>
      </c>
      <c r="E44" s="13" t="str">
        <f aca="false">IF($D44="","",SUMIFS(posicoes_fornecedor!$C$3:$C$1000,posicoes_fornecedor!$B$3:$B$1000,$A44,posicoes_fornecedor!$A$3:$A$1000,$D44))</f>
        <v/>
      </c>
      <c r="F44" s="13" t="str">
        <f aca="false">IF($D44="","",SUMIFS(posicoes_fornecedor!$D$3:$D$1000,posicoes_fornecedor!$B$3:$B$1000,$A44,posicoes_fornecedor!$A$3:$A$1000,$D44))</f>
        <v/>
      </c>
      <c r="G44" s="13" t="str">
        <f aca="false">IF($D44="","",SUMIFS(posicoes_fornecedor!$E$3:$E$1000,posicoes_fornecedor!$B$3:$B$1000,$A44,posicoes_fornecedor!$A$3:$A$1000,$D44))</f>
        <v/>
      </c>
      <c r="H44" s="13" t="str">
        <f aca="false">IF($E44="","",$E44-$F44)</f>
        <v/>
      </c>
      <c r="I44" s="32" t="str">
        <f aca="false">IF(OR($E44="",$E44=0),"",$F44/$E44)</f>
        <v/>
      </c>
      <c r="J44" s="32" t="str">
        <f aca="false">IF(OR($E44="",$E44=0),"",$G44/$E44)</f>
        <v/>
      </c>
    </row>
    <row r="45" customFormat="false" ht="15" hidden="false" customHeight="false" outlineLevel="0" collapsed="false">
      <c r="A45" s="18"/>
      <c r="B45" s="18"/>
      <c r="C45" s="18"/>
      <c r="D45" s="31" t="str">
        <f aca="false">IF($A45="","",IF(SUMPRODUCT(MAX((posicoes_fornecedor!$B$3:$B$1000=$A45)*posicoes_fornecedor!$A$3:$A$1000))=0,"",SUMPRODUCT(MAX((posicoes_fornecedor!$B$3:$B$1000=$A45)*posicoes_fornecedor!$A$3:$A$1000))))</f>
        <v/>
      </c>
      <c r="E45" s="13" t="str">
        <f aca="false">IF($D45="","",SUMIFS(posicoes_fornecedor!$C$3:$C$1000,posicoes_fornecedor!$B$3:$B$1000,$A45,posicoes_fornecedor!$A$3:$A$1000,$D45))</f>
        <v/>
      </c>
      <c r="F45" s="13" t="str">
        <f aca="false">IF($D45="","",SUMIFS(posicoes_fornecedor!$D$3:$D$1000,posicoes_fornecedor!$B$3:$B$1000,$A45,posicoes_fornecedor!$A$3:$A$1000,$D45))</f>
        <v/>
      </c>
      <c r="G45" s="13" t="str">
        <f aca="false">IF($D45="","",SUMIFS(posicoes_fornecedor!$E$3:$E$1000,posicoes_fornecedor!$B$3:$B$1000,$A45,posicoes_fornecedor!$A$3:$A$1000,$D45))</f>
        <v/>
      </c>
      <c r="H45" s="13" t="str">
        <f aca="false">IF($E45="","",$E45-$F45)</f>
        <v/>
      </c>
      <c r="I45" s="32" t="str">
        <f aca="false">IF(OR($E45="",$E45=0),"",$F45/$E45)</f>
        <v/>
      </c>
      <c r="J45" s="32" t="str">
        <f aca="false">IF(OR($E45="",$E45=0),"",$G45/$E45)</f>
        <v/>
      </c>
    </row>
    <row r="46" customFormat="false" ht="15" hidden="false" customHeight="false" outlineLevel="0" collapsed="false">
      <c r="A46" s="18"/>
      <c r="B46" s="18"/>
      <c r="C46" s="18"/>
      <c r="D46" s="31" t="str">
        <f aca="false">IF($A46="","",IF(SUMPRODUCT(MAX((posicoes_fornecedor!$B$3:$B$1000=$A46)*posicoes_fornecedor!$A$3:$A$1000))=0,"",SUMPRODUCT(MAX((posicoes_fornecedor!$B$3:$B$1000=$A46)*posicoes_fornecedor!$A$3:$A$1000))))</f>
        <v/>
      </c>
      <c r="E46" s="13" t="str">
        <f aca="false">IF($D46="","",SUMIFS(posicoes_fornecedor!$C$3:$C$1000,posicoes_fornecedor!$B$3:$B$1000,$A46,posicoes_fornecedor!$A$3:$A$1000,$D46))</f>
        <v/>
      </c>
      <c r="F46" s="13" t="str">
        <f aca="false">IF($D46="","",SUMIFS(posicoes_fornecedor!$D$3:$D$1000,posicoes_fornecedor!$B$3:$B$1000,$A46,posicoes_fornecedor!$A$3:$A$1000,$D46))</f>
        <v/>
      </c>
      <c r="G46" s="13" t="str">
        <f aca="false">IF($D46="","",SUMIFS(posicoes_fornecedor!$E$3:$E$1000,posicoes_fornecedor!$B$3:$B$1000,$A46,posicoes_fornecedor!$A$3:$A$1000,$D46))</f>
        <v/>
      </c>
      <c r="H46" s="13" t="str">
        <f aca="false">IF($E46="","",$E46-$F46)</f>
        <v/>
      </c>
      <c r="I46" s="32" t="str">
        <f aca="false">IF(OR($E46="",$E46=0),"",$F46/$E46)</f>
        <v/>
      </c>
      <c r="J46" s="32" t="str">
        <f aca="false">IF(OR($E46="",$E46=0),"",$G46/$E46)</f>
        <v/>
      </c>
    </row>
    <row r="47" customFormat="false" ht="15" hidden="false" customHeight="false" outlineLevel="0" collapsed="false">
      <c r="A47" s="18"/>
      <c r="B47" s="18"/>
      <c r="C47" s="18"/>
      <c r="D47" s="31" t="str">
        <f aca="false">IF($A47="","",IF(SUMPRODUCT(MAX((posicoes_fornecedor!$B$3:$B$1000=$A47)*posicoes_fornecedor!$A$3:$A$1000))=0,"",SUMPRODUCT(MAX((posicoes_fornecedor!$B$3:$B$1000=$A47)*posicoes_fornecedor!$A$3:$A$1000))))</f>
        <v/>
      </c>
      <c r="E47" s="13" t="str">
        <f aca="false">IF($D47="","",SUMIFS(posicoes_fornecedor!$C$3:$C$1000,posicoes_fornecedor!$B$3:$B$1000,$A47,posicoes_fornecedor!$A$3:$A$1000,$D47))</f>
        <v/>
      </c>
      <c r="F47" s="13" t="str">
        <f aca="false">IF($D47="","",SUMIFS(posicoes_fornecedor!$D$3:$D$1000,posicoes_fornecedor!$B$3:$B$1000,$A47,posicoes_fornecedor!$A$3:$A$1000,$D47))</f>
        <v/>
      </c>
      <c r="G47" s="13" t="str">
        <f aca="false">IF($D47="","",SUMIFS(posicoes_fornecedor!$E$3:$E$1000,posicoes_fornecedor!$B$3:$B$1000,$A47,posicoes_fornecedor!$A$3:$A$1000,$D47))</f>
        <v/>
      </c>
      <c r="H47" s="13" t="str">
        <f aca="false">IF($E47="","",$E47-$F47)</f>
        <v/>
      </c>
      <c r="I47" s="32" t="str">
        <f aca="false">IF(OR($E47="",$E47=0),"",$F47/$E47)</f>
        <v/>
      </c>
      <c r="J47" s="32" t="str">
        <f aca="false">IF(OR($E47="",$E47=0),"",$G47/$E47)</f>
        <v/>
      </c>
    </row>
    <row r="48" customFormat="false" ht="15" hidden="false" customHeight="false" outlineLevel="0" collapsed="false">
      <c r="A48" s="18"/>
      <c r="B48" s="18"/>
      <c r="C48" s="18"/>
      <c r="D48" s="31" t="str">
        <f aca="false">IF($A48="","",IF(SUMPRODUCT(MAX((posicoes_fornecedor!$B$3:$B$1000=$A48)*posicoes_fornecedor!$A$3:$A$1000))=0,"",SUMPRODUCT(MAX((posicoes_fornecedor!$B$3:$B$1000=$A48)*posicoes_fornecedor!$A$3:$A$1000))))</f>
        <v/>
      </c>
      <c r="E48" s="13" t="str">
        <f aca="false">IF($D48="","",SUMIFS(posicoes_fornecedor!$C$3:$C$1000,posicoes_fornecedor!$B$3:$B$1000,$A48,posicoes_fornecedor!$A$3:$A$1000,$D48))</f>
        <v/>
      </c>
      <c r="F48" s="13" t="str">
        <f aca="false">IF($D48="","",SUMIFS(posicoes_fornecedor!$D$3:$D$1000,posicoes_fornecedor!$B$3:$B$1000,$A48,posicoes_fornecedor!$A$3:$A$1000,$D48))</f>
        <v/>
      </c>
      <c r="G48" s="13" t="str">
        <f aca="false">IF($D48="","",SUMIFS(posicoes_fornecedor!$E$3:$E$1000,posicoes_fornecedor!$B$3:$B$1000,$A48,posicoes_fornecedor!$A$3:$A$1000,$D48))</f>
        <v/>
      </c>
      <c r="H48" s="13" t="str">
        <f aca="false">IF($E48="","",$E48-$F48)</f>
        <v/>
      </c>
      <c r="I48" s="32" t="str">
        <f aca="false">IF(OR($E48="",$E48=0),"",$F48/$E48)</f>
        <v/>
      </c>
      <c r="J48" s="32" t="str">
        <f aca="false">IF(OR($E48="",$E48=0),"",$G48/$E48)</f>
        <v/>
      </c>
    </row>
    <row r="49" customFormat="false" ht="15" hidden="false" customHeight="false" outlineLevel="0" collapsed="false">
      <c r="A49" s="18"/>
      <c r="B49" s="18"/>
      <c r="C49" s="18"/>
      <c r="D49" s="31" t="str">
        <f aca="false">IF($A49="","",IF(SUMPRODUCT(MAX((posicoes_fornecedor!$B$3:$B$1000=$A49)*posicoes_fornecedor!$A$3:$A$1000))=0,"",SUMPRODUCT(MAX((posicoes_fornecedor!$B$3:$B$1000=$A49)*posicoes_fornecedor!$A$3:$A$1000))))</f>
        <v/>
      </c>
      <c r="E49" s="13" t="str">
        <f aca="false">IF($D49="","",SUMIFS(posicoes_fornecedor!$C$3:$C$1000,posicoes_fornecedor!$B$3:$B$1000,$A49,posicoes_fornecedor!$A$3:$A$1000,$D49))</f>
        <v/>
      </c>
      <c r="F49" s="13" t="str">
        <f aca="false">IF($D49="","",SUMIFS(posicoes_fornecedor!$D$3:$D$1000,posicoes_fornecedor!$B$3:$B$1000,$A49,posicoes_fornecedor!$A$3:$A$1000,$D49))</f>
        <v/>
      </c>
      <c r="G49" s="13" t="str">
        <f aca="false">IF($D49="","",SUMIFS(posicoes_fornecedor!$E$3:$E$1000,posicoes_fornecedor!$B$3:$B$1000,$A49,posicoes_fornecedor!$A$3:$A$1000,$D49))</f>
        <v/>
      </c>
      <c r="H49" s="13" t="str">
        <f aca="false">IF($E49="","",$E49-$F49)</f>
        <v/>
      </c>
      <c r="I49" s="32" t="str">
        <f aca="false">IF(OR($E49="",$E49=0),"",$F49/$E49)</f>
        <v/>
      </c>
      <c r="J49" s="32" t="str">
        <f aca="false">IF(OR($E49="",$E49=0),"",$G49/$E49)</f>
        <v/>
      </c>
    </row>
    <row r="50" customFormat="false" ht="15" hidden="false" customHeight="false" outlineLevel="0" collapsed="false">
      <c r="A50" s="18"/>
      <c r="B50" s="18"/>
      <c r="C50" s="18"/>
      <c r="D50" s="31" t="str">
        <f aca="false">IF($A50="","",IF(SUMPRODUCT(MAX((posicoes_fornecedor!$B$3:$B$1000=$A50)*posicoes_fornecedor!$A$3:$A$1000))=0,"",SUMPRODUCT(MAX((posicoes_fornecedor!$B$3:$B$1000=$A50)*posicoes_fornecedor!$A$3:$A$1000))))</f>
        <v/>
      </c>
      <c r="E50" s="13" t="str">
        <f aca="false">IF($D50="","",SUMIFS(posicoes_fornecedor!$C$3:$C$1000,posicoes_fornecedor!$B$3:$B$1000,$A50,posicoes_fornecedor!$A$3:$A$1000,$D50))</f>
        <v/>
      </c>
      <c r="F50" s="13" t="str">
        <f aca="false">IF($D50="","",SUMIFS(posicoes_fornecedor!$D$3:$D$1000,posicoes_fornecedor!$B$3:$B$1000,$A50,posicoes_fornecedor!$A$3:$A$1000,$D50))</f>
        <v/>
      </c>
      <c r="G50" s="13" t="str">
        <f aca="false">IF($D50="","",SUMIFS(posicoes_fornecedor!$E$3:$E$1000,posicoes_fornecedor!$B$3:$B$1000,$A50,posicoes_fornecedor!$A$3:$A$1000,$D50))</f>
        <v/>
      </c>
      <c r="H50" s="13" t="str">
        <f aca="false">IF($E50="","",$E50-$F50)</f>
        <v/>
      </c>
      <c r="I50" s="32" t="str">
        <f aca="false">IF(OR($E50="",$E50=0),"",$F50/$E50)</f>
        <v/>
      </c>
      <c r="J50" s="32" t="str">
        <f aca="false">IF(OR($E50="",$E50=0),"",$G50/$E50)</f>
        <v/>
      </c>
    </row>
    <row r="51" customFormat="false" ht="15" hidden="false" customHeight="false" outlineLevel="0" collapsed="false">
      <c r="A51" s="18"/>
      <c r="B51" s="18"/>
      <c r="C51" s="18"/>
      <c r="D51" s="31" t="str">
        <f aca="false">IF($A51="","",IF(SUMPRODUCT(MAX((posicoes_fornecedor!$B$3:$B$1000=$A51)*posicoes_fornecedor!$A$3:$A$1000))=0,"",SUMPRODUCT(MAX((posicoes_fornecedor!$B$3:$B$1000=$A51)*posicoes_fornecedor!$A$3:$A$1000))))</f>
        <v/>
      </c>
      <c r="E51" s="13" t="str">
        <f aca="false">IF($D51="","",SUMIFS(posicoes_fornecedor!$C$3:$C$1000,posicoes_fornecedor!$B$3:$B$1000,$A51,posicoes_fornecedor!$A$3:$A$1000,$D51))</f>
        <v/>
      </c>
      <c r="F51" s="13" t="str">
        <f aca="false">IF($D51="","",SUMIFS(posicoes_fornecedor!$D$3:$D$1000,posicoes_fornecedor!$B$3:$B$1000,$A51,posicoes_fornecedor!$A$3:$A$1000,$D51))</f>
        <v/>
      </c>
      <c r="G51" s="13" t="str">
        <f aca="false">IF($D51="","",SUMIFS(posicoes_fornecedor!$E$3:$E$1000,posicoes_fornecedor!$B$3:$B$1000,$A51,posicoes_fornecedor!$A$3:$A$1000,$D51))</f>
        <v/>
      </c>
      <c r="H51" s="13" t="str">
        <f aca="false">IF($E51="","",$E51-$F51)</f>
        <v/>
      </c>
      <c r="I51" s="32" t="str">
        <f aca="false">IF(OR($E51="",$E51=0),"",$F51/$E51)</f>
        <v/>
      </c>
      <c r="J51" s="32" t="str">
        <f aca="false">IF(OR($E51="",$E51=0),"",$G51/$E51)</f>
        <v/>
      </c>
    </row>
    <row r="52" customFormat="false" ht="15" hidden="false" customHeight="false" outlineLevel="0" collapsed="false">
      <c r="A52" s="18"/>
      <c r="B52" s="18"/>
      <c r="C52" s="18"/>
      <c r="D52" s="31" t="str">
        <f aca="false">IF($A52="","",IF(SUMPRODUCT(MAX((posicoes_fornecedor!$B$3:$B$1000=$A52)*posicoes_fornecedor!$A$3:$A$1000))=0,"",SUMPRODUCT(MAX((posicoes_fornecedor!$B$3:$B$1000=$A52)*posicoes_fornecedor!$A$3:$A$1000))))</f>
        <v/>
      </c>
      <c r="E52" s="13" t="str">
        <f aca="false">IF($D52="","",SUMIFS(posicoes_fornecedor!$C$3:$C$1000,posicoes_fornecedor!$B$3:$B$1000,$A52,posicoes_fornecedor!$A$3:$A$1000,$D52))</f>
        <v/>
      </c>
      <c r="F52" s="13" t="str">
        <f aca="false">IF($D52="","",SUMIFS(posicoes_fornecedor!$D$3:$D$1000,posicoes_fornecedor!$B$3:$B$1000,$A52,posicoes_fornecedor!$A$3:$A$1000,$D52))</f>
        <v/>
      </c>
      <c r="G52" s="13" t="str">
        <f aca="false">IF($D52="","",SUMIFS(posicoes_fornecedor!$E$3:$E$1000,posicoes_fornecedor!$B$3:$B$1000,$A52,posicoes_fornecedor!$A$3:$A$1000,$D52))</f>
        <v/>
      </c>
      <c r="H52" s="13" t="str">
        <f aca="false">IF($E52="","",$E52-$F52)</f>
        <v/>
      </c>
      <c r="I52" s="32" t="str">
        <f aca="false">IF(OR($E52="",$E52=0),"",$F52/$E52)</f>
        <v/>
      </c>
      <c r="J52" s="32" t="str">
        <f aca="false">IF(OR($E52="",$E52=0),"",$G52/$E52)</f>
        <v/>
      </c>
    </row>
    <row r="53" customFormat="false" ht="15" hidden="false" customHeight="false" outlineLevel="0" collapsed="false">
      <c r="A53" s="18"/>
      <c r="B53" s="18"/>
      <c r="C53" s="18"/>
      <c r="D53" s="31" t="str">
        <f aca="false">IF($A53="","",IF(SUMPRODUCT(MAX((posicoes_fornecedor!$B$3:$B$1000=$A53)*posicoes_fornecedor!$A$3:$A$1000))=0,"",SUMPRODUCT(MAX((posicoes_fornecedor!$B$3:$B$1000=$A53)*posicoes_fornecedor!$A$3:$A$1000))))</f>
        <v/>
      </c>
      <c r="E53" s="13" t="str">
        <f aca="false">IF($D53="","",SUMIFS(posicoes_fornecedor!$C$3:$C$1000,posicoes_fornecedor!$B$3:$B$1000,$A53,posicoes_fornecedor!$A$3:$A$1000,$D53))</f>
        <v/>
      </c>
      <c r="F53" s="13" t="str">
        <f aca="false">IF($D53="","",SUMIFS(posicoes_fornecedor!$D$3:$D$1000,posicoes_fornecedor!$B$3:$B$1000,$A53,posicoes_fornecedor!$A$3:$A$1000,$D53))</f>
        <v/>
      </c>
      <c r="G53" s="13" t="str">
        <f aca="false">IF($D53="","",SUMIFS(posicoes_fornecedor!$E$3:$E$1000,posicoes_fornecedor!$B$3:$B$1000,$A53,posicoes_fornecedor!$A$3:$A$1000,$D53))</f>
        <v/>
      </c>
      <c r="H53" s="13" t="str">
        <f aca="false">IF($E53="","",$E53-$F53)</f>
        <v/>
      </c>
      <c r="I53" s="32" t="str">
        <f aca="false">IF(OR($E53="",$E53=0),"",$F53/$E53)</f>
        <v/>
      </c>
      <c r="J53" s="32" t="str">
        <f aca="false">IF(OR($E53="",$E53=0),"",$G53/$E53)</f>
        <v/>
      </c>
    </row>
    <row r="54" customFormat="false" ht="15" hidden="false" customHeight="false" outlineLevel="0" collapsed="false">
      <c r="A54" s="18"/>
      <c r="B54" s="18"/>
      <c r="C54" s="18"/>
      <c r="D54" s="31" t="str">
        <f aca="false">IF($A54="","",IF(SUMPRODUCT(MAX((posicoes_fornecedor!$B$3:$B$1000=$A54)*posicoes_fornecedor!$A$3:$A$1000))=0,"",SUMPRODUCT(MAX((posicoes_fornecedor!$B$3:$B$1000=$A54)*posicoes_fornecedor!$A$3:$A$1000))))</f>
        <v/>
      </c>
      <c r="E54" s="13" t="str">
        <f aca="false">IF($D54="","",SUMIFS(posicoes_fornecedor!$C$3:$C$1000,posicoes_fornecedor!$B$3:$B$1000,$A54,posicoes_fornecedor!$A$3:$A$1000,$D54))</f>
        <v/>
      </c>
      <c r="F54" s="13" t="str">
        <f aca="false">IF($D54="","",SUMIFS(posicoes_fornecedor!$D$3:$D$1000,posicoes_fornecedor!$B$3:$B$1000,$A54,posicoes_fornecedor!$A$3:$A$1000,$D54))</f>
        <v/>
      </c>
      <c r="G54" s="13" t="str">
        <f aca="false">IF($D54="","",SUMIFS(posicoes_fornecedor!$E$3:$E$1000,posicoes_fornecedor!$B$3:$B$1000,$A54,posicoes_fornecedor!$A$3:$A$1000,$D54))</f>
        <v/>
      </c>
      <c r="H54" s="13" t="str">
        <f aca="false">IF($E54="","",$E54-$F54)</f>
        <v/>
      </c>
      <c r="I54" s="32" t="str">
        <f aca="false">IF(OR($E54="",$E54=0),"",$F54/$E54)</f>
        <v/>
      </c>
      <c r="J54" s="32" t="str">
        <f aca="false">IF(OR($E54="",$E54=0),"",$G54/$E54)</f>
        <v/>
      </c>
    </row>
    <row r="55" customFormat="false" ht="15" hidden="false" customHeight="false" outlineLevel="0" collapsed="false">
      <c r="A55" s="18"/>
      <c r="B55" s="18"/>
      <c r="C55" s="18"/>
      <c r="D55" s="31" t="str">
        <f aca="false">IF($A55="","",IF(SUMPRODUCT(MAX((posicoes_fornecedor!$B$3:$B$1000=$A55)*posicoes_fornecedor!$A$3:$A$1000))=0,"",SUMPRODUCT(MAX((posicoes_fornecedor!$B$3:$B$1000=$A55)*posicoes_fornecedor!$A$3:$A$1000))))</f>
        <v/>
      </c>
      <c r="E55" s="13" t="str">
        <f aca="false">IF($D55="","",SUMIFS(posicoes_fornecedor!$C$3:$C$1000,posicoes_fornecedor!$B$3:$B$1000,$A55,posicoes_fornecedor!$A$3:$A$1000,$D55))</f>
        <v/>
      </c>
      <c r="F55" s="13" t="str">
        <f aca="false">IF($D55="","",SUMIFS(posicoes_fornecedor!$D$3:$D$1000,posicoes_fornecedor!$B$3:$B$1000,$A55,posicoes_fornecedor!$A$3:$A$1000,$D55))</f>
        <v/>
      </c>
      <c r="G55" s="13" t="str">
        <f aca="false">IF($D55="","",SUMIFS(posicoes_fornecedor!$E$3:$E$1000,posicoes_fornecedor!$B$3:$B$1000,$A55,posicoes_fornecedor!$A$3:$A$1000,$D55))</f>
        <v/>
      </c>
      <c r="H55" s="13" t="str">
        <f aca="false">IF($E55="","",$E55-$F55)</f>
        <v/>
      </c>
      <c r="I55" s="32" t="str">
        <f aca="false">IF(OR($E55="",$E55=0),"",$F55/$E55)</f>
        <v/>
      </c>
      <c r="J55" s="32" t="str">
        <f aca="false">IF(OR($E55="",$E55=0),"",$G55/$E55)</f>
        <v/>
      </c>
    </row>
    <row r="56" customFormat="false" ht="15" hidden="false" customHeight="false" outlineLevel="0" collapsed="false">
      <c r="A56" s="18"/>
      <c r="B56" s="18"/>
      <c r="C56" s="18"/>
      <c r="D56" s="31" t="str">
        <f aca="false">IF($A56="","",IF(SUMPRODUCT(MAX((posicoes_fornecedor!$B$3:$B$1000=$A56)*posicoes_fornecedor!$A$3:$A$1000))=0,"",SUMPRODUCT(MAX((posicoes_fornecedor!$B$3:$B$1000=$A56)*posicoes_fornecedor!$A$3:$A$1000))))</f>
        <v/>
      </c>
      <c r="E56" s="13" t="str">
        <f aca="false">IF($D56="","",SUMIFS(posicoes_fornecedor!$C$3:$C$1000,posicoes_fornecedor!$B$3:$B$1000,$A56,posicoes_fornecedor!$A$3:$A$1000,$D56))</f>
        <v/>
      </c>
      <c r="F56" s="13" t="str">
        <f aca="false">IF($D56="","",SUMIFS(posicoes_fornecedor!$D$3:$D$1000,posicoes_fornecedor!$B$3:$B$1000,$A56,posicoes_fornecedor!$A$3:$A$1000,$D56))</f>
        <v/>
      </c>
      <c r="G56" s="13" t="str">
        <f aca="false">IF($D56="","",SUMIFS(posicoes_fornecedor!$E$3:$E$1000,posicoes_fornecedor!$B$3:$B$1000,$A56,posicoes_fornecedor!$A$3:$A$1000,$D56))</f>
        <v/>
      </c>
      <c r="H56" s="13" t="str">
        <f aca="false">IF($E56="","",$E56-$F56)</f>
        <v/>
      </c>
      <c r="I56" s="32" t="str">
        <f aca="false">IF(OR($E56="",$E56=0),"",$F56/$E56)</f>
        <v/>
      </c>
      <c r="J56" s="32" t="str">
        <f aca="false">IF(OR($E56="",$E56=0),"",$G56/$E56)</f>
        <v/>
      </c>
    </row>
    <row r="57" customFormat="false" ht="15" hidden="false" customHeight="false" outlineLevel="0" collapsed="false">
      <c r="A57" s="18"/>
      <c r="B57" s="18"/>
      <c r="C57" s="18"/>
      <c r="D57" s="31" t="str">
        <f aca="false">IF($A57="","",IF(SUMPRODUCT(MAX((posicoes_fornecedor!$B$3:$B$1000=$A57)*posicoes_fornecedor!$A$3:$A$1000))=0,"",SUMPRODUCT(MAX((posicoes_fornecedor!$B$3:$B$1000=$A57)*posicoes_fornecedor!$A$3:$A$1000))))</f>
        <v/>
      </c>
      <c r="E57" s="13" t="str">
        <f aca="false">IF($D57="","",SUMIFS(posicoes_fornecedor!$C$3:$C$1000,posicoes_fornecedor!$B$3:$B$1000,$A57,posicoes_fornecedor!$A$3:$A$1000,$D57))</f>
        <v/>
      </c>
      <c r="F57" s="13" t="str">
        <f aca="false">IF($D57="","",SUMIFS(posicoes_fornecedor!$D$3:$D$1000,posicoes_fornecedor!$B$3:$B$1000,$A57,posicoes_fornecedor!$A$3:$A$1000,$D57))</f>
        <v/>
      </c>
      <c r="G57" s="13" t="str">
        <f aca="false">IF($D57="","",SUMIFS(posicoes_fornecedor!$E$3:$E$1000,posicoes_fornecedor!$B$3:$B$1000,$A57,posicoes_fornecedor!$A$3:$A$1000,$D57))</f>
        <v/>
      </c>
      <c r="H57" s="13" t="str">
        <f aca="false">IF($E57="","",$E57-$F57)</f>
        <v/>
      </c>
      <c r="I57" s="32" t="str">
        <f aca="false">IF(OR($E57="",$E57=0),"",$F57/$E57)</f>
        <v/>
      </c>
      <c r="J57" s="32" t="str">
        <f aca="false">IF(OR($E57="",$E57=0),"",$G57/$E57)</f>
        <v/>
      </c>
    </row>
    <row r="58" customFormat="false" ht="15" hidden="false" customHeight="false" outlineLevel="0" collapsed="false">
      <c r="A58" s="18"/>
      <c r="B58" s="18"/>
      <c r="C58" s="18"/>
      <c r="D58" s="31" t="str">
        <f aca="false">IF($A58="","",IF(SUMPRODUCT(MAX((posicoes_fornecedor!$B$3:$B$1000=$A58)*posicoes_fornecedor!$A$3:$A$1000))=0,"",SUMPRODUCT(MAX((posicoes_fornecedor!$B$3:$B$1000=$A58)*posicoes_fornecedor!$A$3:$A$1000))))</f>
        <v/>
      </c>
      <c r="E58" s="13" t="str">
        <f aca="false">IF($D58="","",SUMIFS(posicoes_fornecedor!$C$3:$C$1000,posicoes_fornecedor!$B$3:$B$1000,$A58,posicoes_fornecedor!$A$3:$A$1000,$D58))</f>
        <v/>
      </c>
      <c r="F58" s="13" t="str">
        <f aca="false">IF($D58="","",SUMIFS(posicoes_fornecedor!$D$3:$D$1000,posicoes_fornecedor!$B$3:$B$1000,$A58,posicoes_fornecedor!$A$3:$A$1000,$D58))</f>
        <v/>
      </c>
      <c r="G58" s="13" t="str">
        <f aca="false">IF($D58="","",SUMIFS(posicoes_fornecedor!$E$3:$E$1000,posicoes_fornecedor!$B$3:$B$1000,$A58,posicoes_fornecedor!$A$3:$A$1000,$D58))</f>
        <v/>
      </c>
      <c r="H58" s="13" t="str">
        <f aca="false">IF($E58="","",$E58-$F58)</f>
        <v/>
      </c>
      <c r="I58" s="32" t="str">
        <f aca="false">IF(OR($E58="",$E58=0),"",$F58/$E58)</f>
        <v/>
      </c>
      <c r="J58" s="32" t="str">
        <f aca="false">IF(OR($E58="",$E58=0),"",$G58/$E58)</f>
        <v/>
      </c>
    </row>
    <row r="59" customFormat="false" ht="15" hidden="false" customHeight="false" outlineLevel="0" collapsed="false">
      <c r="A59" s="18"/>
      <c r="B59" s="18"/>
      <c r="C59" s="18"/>
      <c r="D59" s="31" t="str">
        <f aca="false">IF($A59="","",IF(SUMPRODUCT(MAX((posicoes_fornecedor!$B$3:$B$1000=$A59)*posicoes_fornecedor!$A$3:$A$1000))=0,"",SUMPRODUCT(MAX((posicoes_fornecedor!$B$3:$B$1000=$A59)*posicoes_fornecedor!$A$3:$A$1000))))</f>
        <v/>
      </c>
      <c r="E59" s="13" t="str">
        <f aca="false">IF($D59="","",SUMIFS(posicoes_fornecedor!$C$3:$C$1000,posicoes_fornecedor!$B$3:$B$1000,$A59,posicoes_fornecedor!$A$3:$A$1000,$D59))</f>
        <v/>
      </c>
      <c r="F59" s="13" t="str">
        <f aca="false">IF($D59="","",SUMIFS(posicoes_fornecedor!$D$3:$D$1000,posicoes_fornecedor!$B$3:$B$1000,$A59,posicoes_fornecedor!$A$3:$A$1000,$D59))</f>
        <v/>
      </c>
      <c r="G59" s="13" t="str">
        <f aca="false">IF($D59="","",SUMIFS(posicoes_fornecedor!$E$3:$E$1000,posicoes_fornecedor!$B$3:$B$1000,$A59,posicoes_fornecedor!$A$3:$A$1000,$D59))</f>
        <v/>
      </c>
      <c r="H59" s="13" t="str">
        <f aca="false">IF($E59="","",$E59-$F59)</f>
        <v/>
      </c>
      <c r="I59" s="32" t="str">
        <f aca="false">IF(OR($E59="",$E59=0),"",$F59/$E59)</f>
        <v/>
      </c>
      <c r="J59" s="32" t="str">
        <f aca="false">IF(OR($E59="",$E59=0),"",$G59/$E59)</f>
        <v/>
      </c>
    </row>
    <row r="60" customFormat="false" ht="15" hidden="false" customHeight="false" outlineLevel="0" collapsed="false">
      <c r="A60" s="18"/>
      <c r="B60" s="18"/>
      <c r="C60" s="18"/>
      <c r="D60" s="31" t="str">
        <f aca="false">IF($A60="","",IF(SUMPRODUCT(MAX((posicoes_fornecedor!$B$3:$B$1000=$A60)*posicoes_fornecedor!$A$3:$A$1000))=0,"",SUMPRODUCT(MAX((posicoes_fornecedor!$B$3:$B$1000=$A60)*posicoes_fornecedor!$A$3:$A$1000))))</f>
        <v/>
      </c>
      <c r="E60" s="13" t="str">
        <f aca="false">IF($D60="","",SUMIFS(posicoes_fornecedor!$C$3:$C$1000,posicoes_fornecedor!$B$3:$B$1000,$A60,posicoes_fornecedor!$A$3:$A$1000,$D60))</f>
        <v/>
      </c>
      <c r="F60" s="13" t="str">
        <f aca="false">IF($D60="","",SUMIFS(posicoes_fornecedor!$D$3:$D$1000,posicoes_fornecedor!$B$3:$B$1000,$A60,posicoes_fornecedor!$A$3:$A$1000,$D60))</f>
        <v/>
      </c>
      <c r="G60" s="13" t="str">
        <f aca="false">IF($D60="","",SUMIFS(posicoes_fornecedor!$E$3:$E$1000,posicoes_fornecedor!$B$3:$B$1000,$A60,posicoes_fornecedor!$A$3:$A$1000,$D60))</f>
        <v/>
      </c>
      <c r="H60" s="13" t="str">
        <f aca="false">IF($E60="","",$E60-$F60)</f>
        <v/>
      </c>
      <c r="I60" s="32" t="str">
        <f aca="false">IF(OR($E60="",$E60=0),"",$F60/$E60)</f>
        <v/>
      </c>
      <c r="J60" s="32" t="str">
        <f aca="false">IF(OR($E60="",$E60=0),"",$G60/$E60)</f>
        <v/>
      </c>
    </row>
    <row r="61" customFormat="false" ht="15" hidden="false" customHeight="false" outlineLevel="0" collapsed="false">
      <c r="A61" s="18"/>
      <c r="B61" s="18"/>
      <c r="C61" s="18"/>
      <c r="D61" s="31" t="str">
        <f aca="false">IF($A61="","",IF(SUMPRODUCT(MAX((posicoes_fornecedor!$B$3:$B$1000=$A61)*posicoes_fornecedor!$A$3:$A$1000))=0,"",SUMPRODUCT(MAX((posicoes_fornecedor!$B$3:$B$1000=$A61)*posicoes_fornecedor!$A$3:$A$1000))))</f>
        <v/>
      </c>
      <c r="E61" s="13" t="str">
        <f aca="false">IF($D61="","",SUMIFS(posicoes_fornecedor!$C$3:$C$1000,posicoes_fornecedor!$B$3:$B$1000,$A61,posicoes_fornecedor!$A$3:$A$1000,$D61))</f>
        <v/>
      </c>
      <c r="F61" s="13" t="str">
        <f aca="false">IF($D61="","",SUMIFS(posicoes_fornecedor!$D$3:$D$1000,posicoes_fornecedor!$B$3:$B$1000,$A61,posicoes_fornecedor!$A$3:$A$1000,$D61))</f>
        <v/>
      </c>
      <c r="G61" s="13" t="str">
        <f aca="false">IF($D61="","",SUMIFS(posicoes_fornecedor!$E$3:$E$1000,posicoes_fornecedor!$B$3:$B$1000,$A61,posicoes_fornecedor!$A$3:$A$1000,$D61))</f>
        <v/>
      </c>
      <c r="H61" s="13" t="str">
        <f aca="false">IF($E61="","",$E61-$F61)</f>
        <v/>
      </c>
      <c r="I61" s="32" t="str">
        <f aca="false">IF(OR($E61="",$E61=0),"",$F61/$E61)</f>
        <v/>
      </c>
      <c r="J61" s="32" t="str">
        <f aca="false">IF(OR($E61="",$E61=0),"",$G61/$E61)</f>
        <v/>
      </c>
    </row>
    <row r="62" customFormat="false" ht="15" hidden="false" customHeight="false" outlineLevel="0" collapsed="false">
      <c r="A62" s="18"/>
      <c r="B62" s="18"/>
      <c r="C62" s="18"/>
      <c r="D62" s="31" t="str">
        <f aca="false">IF($A62="","",IF(SUMPRODUCT(MAX((posicoes_fornecedor!$B$3:$B$1000=$A62)*posicoes_fornecedor!$A$3:$A$1000))=0,"",SUMPRODUCT(MAX((posicoes_fornecedor!$B$3:$B$1000=$A62)*posicoes_fornecedor!$A$3:$A$1000))))</f>
        <v/>
      </c>
      <c r="E62" s="13" t="str">
        <f aca="false">IF($D62="","",SUMIFS(posicoes_fornecedor!$C$3:$C$1000,posicoes_fornecedor!$B$3:$B$1000,$A62,posicoes_fornecedor!$A$3:$A$1000,$D62))</f>
        <v/>
      </c>
      <c r="F62" s="13" t="str">
        <f aca="false">IF($D62="","",SUMIFS(posicoes_fornecedor!$D$3:$D$1000,posicoes_fornecedor!$B$3:$B$1000,$A62,posicoes_fornecedor!$A$3:$A$1000,$D62))</f>
        <v/>
      </c>
      <c r="G62" s="13" t="str">
        <f aca="false">IF($D62="","",SUMIFS(posicoes_fornecedor!$E$3:$E$1000,posicoes_fornecedor!$B$3:$B$1000,$A62,posicoes_fornecedor!$A$3:$A$1000,$D62))</f>
        <v/>
      </c>
      <c r="H62" s="13" t="str">
        <f aca="false">IF($E62="","",$E62-$F62)</f>
        <v/>
      </c>
      <c r="I62" s="32" t="str">
        <f aca="false">IF(OR($E62="",$E62=0),"",$F62/$E62)</f>
        <v/>
      </c>
      <c r="J62" s="32" t="str">
        <f aca="false">IF(OR($E62="",$E62=0),"",$G62/$E62)</f>
        <v/>
      </c>
    </row>
    <row r="63" customFormat="false" ht="15" hidden="false" customHeight="false" outlineLevel="0" collapsed="false">
      <c r="A63" s="18"/>
      <c r="B63" s="18"/>
      <c r="C63" s="18"/>
      <c r="D63" s="31" t="str">
        <f aca="false">IF($A63="","",IF(SUMPRODUCT(MAX((posicoes_fornecedor!$B$3:$B$1000=$A63)*posicoes_fornecedor!$A$3:$A$1000))=0,"",SUMPRODUCT(MAX((posicoes_fornecedor!$B$3:$B$1000=$A63)*posicoes_fornecedor!$A$3:$A$1000))))</f>
        <v/>
      </c>
      <c r="E63" s="13" t="str">
        <f aca="false">IF($D63="","",SUMIFS(posicoes_fornecedor!$C$3:$C$1000,posicoes_fornecedor!$B$3:$B$1000,$A63,posicoes_fornecedor!$A$3:$A$1000,$D63))</f>
        <v/>
      </c>
      <c r="F63" s="13" t="str">
        <f aca="false">IF($D63="","",SUMIFS(posicoes_fornecedor!$D$3:$D$1000,posicoes_fornecedor!$B$3:$B$1000,$A63,posicoes_fornecedor!$A$3:$A$1000,$D63))</f>
        <v/>
      </c>
      <c r="G63" s="13" t="str">
        <f aca="false">IF($D63="","",SUMIFS(posicoes_fornecedor!$E$3:$E$1000,posicoes_fornecedor!$B$3:$B$1000,$A63,posicoes_fornecedor!$A$3:$A$1000,$D63))</f>
        <v/>
      </c>
      <c r="H63" s="13" t="str">
        <f aca="false">IF($E63="","",$E63-$F63)</f>
        <v/>
      </c>
      <c r="I63" s="32" t="str">
        <f aca="false">IF(OR($E63="",$E63=0),"",$F63/$E63)</f>
        <v/>
      </c>
      <c r="J63" s="32" t="str">
        <f aca="false">IF(OR($E63="",$E63=0),"",$G63/$E63)</f>
        <v/>
      </c>
    </row>
    <row r="64" customFormat="false" ht="15" hidden="false" customHeight="false" outlineLevel="0" collapsed="false">
      <c r="A64" s="18"/>
      <c r="B64" s="18"/>
      <c r="C64" s="18"/>
      <c r="D64" s="31" t="str">
        <f aca="false">IF($A64="","",IF(SUMPRODUCT(MAX((posicoes_fornecedor!$B$3:$B$1000=$A64)*posicoes_fornecedor!$A$3:$A$1000))=0,"",SUMPRODUCT(MAX((posicoes_fornecedor!$B$3:$B$1000=$A64)*posicoes_fornecedor!$A$3:$A$1000))))</f>
        <v/>
      </c>
      <c r="E64" s="13" t="str">
        <f aca="false">IF($D64="","",SUMIFS(posicoes_fornecedor!$C$3:$C$1000,posicoes_fornecedor!$B$3:$B$1000,$A64,posicoes_fornecedor!$A$3:$A$1000,$D64))</f>
        <v/>
      </c>
      <c r="F64" s="13" t="str">
        <f aca="false">IF($D64="","",SUMIFS(posicoes_fornecedor!$D$3:$D$1000,posicoes_fornecedor!$B$3:$B$1000,$A64,posicoes_fornecedor!$A$3:$A$1000,$D64))</f>
        <v/>
      </c>
      <c r="G64" s="13" t="str">
        <f aca="false">IF($D64="","",SUMIFS(posicoes_fornecedor!$E$3:$E$1000,posicoes_fornecedor!$B$3:$B$1000,$A64,posicoes_fornecedor!$A$3:$A$1000,$D64))</f>
        <v/>
      </c>
      <c r="H64" s="13" t="str">
        <f aca="false">IF($E64="","",$E64-$F64)</f>
        <v/>
      </c>
      <c r="I64" s="32" t="str">
        <f aca="false">IF(OR($E64="",$E64=0),"",$F64/$E64)</f>
        <v/>
      </c>
      <c r="J64" s="32" t="str">
        <f aca="false">IF(OR($E64="",$E64=0),"",$G64/$E64)</f>
        <v/>
      </c>
    </row>
    <row r="65" customFormat="false" ht="15" hidden="false" customHeight="false" outlineLevel="0" collapsed="false">
      <c r="A65" s="18"/>
      <c r="B65" s="18"/>
      <c r="C65" s="18"/>
      <c r="D65" s="31" t="str">
        <f aca="false">IF($A65="","",IF(SUMPRODUCT(MAX((posicoes_fornecedor!$B$3:$B$1000=$A65)*posicoes_fornecedor!$A$3:$A$1000))=0,"",SUMPRODUCT(MAX((posicoes_fornecedor!$B$3:$B$1000=$A65)*posicoes_fornecedor!$A$3:$A$1000))))</f>
        <v/>
      </c>
      <c r="E65" s="13" t="str">
        <f aca="false">IF($D65="","",SUMIFS(posicoes_fornecedor!$C$3:$C$1000,posicoes_fornecedor!$B$3:$B$1000,$A65,posicoes_fornecedor!$A$3:$A$1000,$D65))</f>
        <v/>
      </c>
      <c r="F65" s="13" t="str">
        <f aca="false">IF($D65="","",SUMIFS(posicoes_fornecedor!$D$3:$D$1000,posicoes_fornecedor!$B$3:$B$1000,$A65,posicoes_fornecedor!$A$3:$A$1000,$D65))</f>
        <v/>
      </c>
      <c r="G65" s="13" t="str">
        <f aca="false">IF($D65="","",SUMIFS(posicoes_fornecedor!$E$3:$E$1000,posicoes_fornecedor!$B$3:$B$1000,$A65,posicoes_fornecedor!$A$3:$A$1000,$D65))</f>
        <v/>
      </c>
      <c r="H65" s="13" t="str">
        <f aca="false">IF($E65="","",$E65-$F65)</f>
        <v/>
      </c>
      <c r="I65" s="32" t="str">
        <f aca="false">IF(OR($E65="",$E65=0),"",$F65/$E65)</f>
        <v/>
      </c>
      <c r="J65" s="32" t="str">
        <f aca="false">IF(OR($E65="",$E65=0),"",$G65/$E65)</f>
        <v/>
      </c>
    </row>
    <row r="66" customFormat="false" ht="15" hidden="false" customHeight="false" outlineLevel="0" collapsed="false">
      <c r="A66" s="18"/>
      <c r="B66" s="18"/>
      <c r="C66" s="18"/>
      <c r="D66" s="31" t="str">
        <f aca="false">IF($A66="","",IF(SUMPRODUCT(MAX((posicoes_fornecedor!$B$3:$B$1000=$A66)*posicoes_fornecedor!$A$3:$A$1000))=0,"",SUMPRODUCT(MAX((posicoes_fornecedor!$B$3:$B$1000=$A66)*posicoes_fornecedor!$A$3:$A$1000))))</f>
        <v/>
      </c>
      <c r="E66" s="13" t="str">
        <f aca="false">IF($D66="","",SUMIFS(posicoes_fornecedor!$C$3:$C$1000,posicoes_fornecedor!$B$3:$B$1000,$A66,posicoes_fornecedor!$A$3:$A$1000,$D66))</f>
        <v/>
      </c>
      <c r="F66" s="13" t="str">
        <f aca="false">IF($D66="","",SUMIFS(posicoes_fornecedor!$D$3:$D$1000,posicoes_fornecedor!$B$3:$B$1000,$A66,posicoes_fornecedor!$A$3:$A$1000,$D66))</f>
        <v/>
      </c>
      <c r="G66" s="13" t="str">
        <f aca="false">IF($D66="","",SUMIFS(posicoes_fornecedor!$E$3:$E$1000,posicoes_fornecedor!$B$3:$B$1000,$A66,posicoes_fornecedor!$A$3:$A$1000,$D66))</f>
        <v/>
      </c>
      <c r="H66" s="13" t="str">
        <f aca="false">IF($E66="","",$E66-$F66)</f>
        <v/>
      </c>
      <c r="I66" s="32" t="str">
        <f aca="false">IF(OR($E66="",$E66=0),"",$F66/$E66)</f>
        <v/>
      </c>
      <c r="J66" s="32" t="str">
        <f aca="false">IF(OR($E66="",$E66=0),"",$G66/$E66)</f>
        <v/>
      </c>
    </row>
    <row r="67" customFormat="false" ht="15" hidden="false" customHeight="false" outlineLevel="0" collapsed="false">
      <c r="A67" s="18"/>
      <c r="B67" s="18"/>
      <c r="C67" s="18"/>
      <c r="D67" s="31" t="str">
        <f aca="false">IF($A67="","",IF(SUMPRODUCT(MAX((posicoes_fornecedor!$B$3:$B$1000=$A67)*posicoes_fornecedor!$A$3:$A$1000))=0,"",SUMPRODUCT(MAX((posicoes_fornecedor!$B$3:$B$1000=$A67)*posicoes_fornecedor!$A$3:$A$1000))))</f>
        <v/>
      </c>
      <c r="E67" s="13" t="str">
        <f aca="false">IF($D67="","",SUMIFS(posicoes_fornecedor!$C$3:$C$1000,posicoes_fornecedor!$B$3:$B$1000,$A67,posicoes_fornecedor!$A$3:$A$1000,$D67))</f>
        <v/>
      </c>
      <c r="F67" s="13" t="str">
        <f aca="false">IF($D67="","",SUMIFS(posicoes_fornecedor!$D$3:$D$1000,posicoes_fornecedor!$B$3:$B$1000,$A67,posicoes_fornecedor!$A$3:$A$1000,$D67))</f>
        <v/>
      </c>
      <c r="G67" s="13" t="str">
        <f aca="false">IF($D67="","",SUMIFS(posicoes_fornecedor!$E$3:$E$1000,posicoes_fornecedor!$B$3:$B$1000,$A67,posicoes_fornecedor!$A$3:$A$1000,$D67))</f>
        <v/>
      </c>
      <c r="H67" s="13" t="str">
        <f aca="false">IF($E67="","",$E67-$F67)</f>
        <v/>
      </c>
      <c r="I67" s="32" t="str">
        <f aca="false">IF(OR($E67="",$E67=0),"",$F67/$E67)</f>
        <v/>
      </c>
      <c r="J67" s="32" t="str">
        <f aca="false">IF(OR($E67="",$E67=0),"",$G67/$E67)</f>
        <v/>
      </c>
    </row>
    <row r="68" customFormat="false" ht="15" hidden="false" customHeight="false" outlineLevel="0" collapsed="false">
      <c r="A68" s="18"/>
      <c r="B68" s="18"/>
      <c r="C68" s="18"/>
      <c r="D68" s="31" t="str">
        <f aca="false">IF($A68="","",IF(SUMPRODUCT(MAX((posicoes_fornecedor!$B$3:$B$1000=$A68)*posicoes_fornecedor!$A$3:$A$1000))=0,"",SUMPRODUCT(MAX((posicoes_fornecedor!$B$3:$B$1000=$A68)*posicoes_fornecedor!$A$3:$A$1000))))</f>
        <v/>
      </c>
      <c r="E68" s="13" t="str">
        <f aca="false">IF($D68="","",SUMIFS(posicoes_fornecedor!$C$3:$C$1000,posicoes_fornecedor!$B$3:$B$1000,$A68,posicoes_fornecedor!$A$3:$A$1000,$D68))</f>
        <v/>
      </c>
      <c r="F68" s="13" t="str">
        <f aca="false">IF($D68="","",SUMIFS(posicoes_fornecedor!$D$3:$D$1000,posicoes_fornecedor!$B$3:$B$1000,$A68,posicoes_fornecedor!$A$3:$A$1000,$D68))</f>
        <v/>
      </c>
      <c r="G68" s="13" t="str">
        <f aca="false">IF($D68="","",SUMIFS(posicoes_fornecedor!$E$3:$E$1000,posicoes_fornecedor!$B$3:$B$1000,$A68,posicoes_fornecedor!$A$3:$A$1000,$D68))</f>
        <v/>
      </c>
      <c r="H68" s="13" t="str">
        <f aca="false">IF($E68="","",$E68-$F68)</f>
        <v/>
      </c>
      <c r="I68" s="32" t="str">
        <f aca="false">IF(OR($E68="",$E68=0),"",$F68/$E68)</f>
        <v/>
      </c>
      <c r="J68" s="32" t="str">
        <f aca="false">IF(OR($E68="",$E68=0),"",$G68/$E68)</f>
        <v/>
      </c>
    </row>
    <row r="69" customFormat="false" ht="15" hidden="false" customHeight="false" outlineLevel="0" collapsed="false">
      <c r="A69" s="18"/>
      <c r="B69" s="18"/>
      <c r="C69" s="18"/>
      <c r="D69" s="31" t="str">
        <f aca="false">IF($A69="","",IF(SUMPRODUCT(MAX((posicoes_fornecedor!$B$3:$B$1000=$A69)*posicoes_fornecedor!$A$3:$A$1000))=0,"",SUMPRODUCT(MAX((posicoes_fornecedor!$B$3:$B$1000=$A69)*posicoes_fornecedor!$A$3:$A$1000))))</f>
        <v/>
      </c>
      <c r="E69" s="13" t="str">
        <f aca="false">IF($D69="","",SUMIFS(posicoes_fornecedor!$C$3:$C$1000,posicoes_fornecedor!$B$3:$B$1000,$A69,posicoes_fornecedor!$A$3:$A$1000,$D69))</f>
        <v/>
      </c>
      <c r="F69" s="13" t="str">
        <f aca="false">IF($D69="","",SUMIFS(posicoes_fornecedor!$D$3:$D$1000,posicoes_fornecedor!$B$3:$B$1000,$A69,posicoes_fornecedor!$A$3:$A$1000,$D69))</f>
        <v/>
      </c>
      <c r="G69" s="13" t="str">
        <f aca="false">IF($D69="","",SUMIFS(posicoes_fornecedor!$E$3:$E$1000,posicoes_fornecedor!$B$3:$B$1000,$A69,posicoes_fornecedor!$A$3:$A$1000,$D69))</f>
        <v/>
      </c>
      <c r="H69" s="13" t="str">
        <f aca="false">IF($E69="","",$E69-$F69)</f>
        <v/>
      </c>
      <c r="I69" s="32" t="str">
        <f aca="false">IF(OR($E69="",$E69=0),"",$F69/$E69)</f>
        <v/>
      </c>
      <c r="J69" s="32" t="str">
        <f aca="false">IF(OR($E69="",$E69=0),"",$G69/$E69)</f>
        <v/>
      </c>
    </row>
    <row r="70" customFormat="false" ht="15" hidden="false" customHeight="false" outlineLevel="0" collapsed="false">
      <c r="A70" s="18"/>
      <c r="B70" s="18"/>
      <c r="C70" s="18"/>
      <c r="D70" s="31" t="str">
        <f aca="false">IF($A70="","",IF(SUMPRODUCT(MAX((posicoes_fornecedor!$B$3:$B$1000=$A70)*posicoes_fornecedor!$A$3:$A$1000))=0,"",SUMPRODUCT(MAX((posicoes_fornecedor!$B$3:$B$1000=$A70)*posicoes_fornecedor!$A$3:$A$1000))))</f>
        <v/>
      </c>
      <c r="E70" s="13" t="str">
        <f aca="false">IF($D70="","",SUMIFS(posicoes_fornecedor!$C$3:$C$1000,posicoes_fornecedor!$B$3:$B$1000,$A70,posicoes_fornecedor!$A$3:$A$1000,$D70))</f>
        <v/>
      </c>
      <c r="F70" s="13" t="str">
        <f aca="false">IF($D70="","",SUMIFS(posicoes_fornecedor!$D$3:$D$1000,posicoes_fornecedor!$B$3:$B$1000,$A70,posicoes_fornecedor!$A$3:$A$1000,$D70))</f>
        <v/>
      </c>
      <c r="G70" s="13" t="str">
        <f aca="false">IF($D70="","",SUMIFS(posicoes_fornecedor!$E$3:$E$1000,posicoes_fornecedor!$B$3:$B$1000,$A70,posicoes_fornecedor!$A$3:$A$1000,$D70))</f>
        <v/>
      </c>
      <c r="H70" s="13" t="str">
        <f aca="false">IF($E70="","",$E70-$F70)</f>
        <v/>
      </c>
      <c r="I70" s="32" t="str">
        <f aca="false">IF(OR($E70="",$E70=0),"",$F70/$E70)</f>
        <v/>
      </c>
      <c r="J70" s="32" t="str">
        <f aca="false">IF(OR($E70="",$E70=0),"",$G70/$E70)</f>
        <v/>
      </c>
    </row>
    <row r="71" customFormat="false" ht="15" hidden="false" customHeight="false" outlineLevel="0" collapsed="false">
      <c r="A71" s="18"/>
      <c r="B71" s="18"/>
      <c r="C71" s="18"/>
      <c r="D71" s="31" t="str">
        <f aca="false">IF($A71="","",IF(SUMPRODUCT(MAX((posicoes_fornecedor!$B$3:$B$1000=$A71)*posicoes_fornecedor!$A$3:$A$1000))=0,"",SUMPRODUCT(MAX((posicoes_fornecedor!$B$3:$B$1000=$A71)*posicoes_fornecedor!$A$3:$A$1000))))</f>
        <v/>
      </c>
      <c r="E71" s="13" t="str">
        <f aca="false">IF($D71="","",SUMIFS(posicoes_fornecedor!$C$3:$C$1000,posicoes_fornecedor!$B$3:$B$1000,$A71,posicoes_fornecedor!$A$3:$A$1000,$D71))</f>
        <v/>
      </c>
      <c r="F71" s="13" t="str">
        <f aca="false">IF($D71="","",SUMIFS(posicoes_fornecedor!$D$3:$D$1000,posicoes_fornecedor!$B$3:$B$1000,$A71,posicoes_fornecedor!$A$3:$A$1000,$D71))</f>
        <v/>
      </c>
      <c r="G71" s="13" t="str">
        <f aca="false">IF($D71="","",SUMIFS(posicoes_fornecedor!$E$3:$E$1000,posicoes_fornecedor!$B$3:$B$1000,$A71,posicoes_fornecedor!$A$3:$A$1000,$D71))</f>
        <v/>
      </c>
      <c r="H71" s="13" t="str">
        <f aca="false">IF($E71="","",$E71-$F71)</f>
        <v/>
      </c>
      <c r="I71" s="32" t="str">
        <f aca="false">IF(OR($E71="",$E71=0),"",$F71/$E71)</f>
        <v/>
      </c>
      <c r="J71" s="32" t="str">
        <f aca="false">IF(OR($E71="",$E71=0),"",$G71/$E71)</f>
        <v/>
      </c>
    </row>
    <row r="72" customFormat="false" ht="15" hidden="false" customHeight="false" outlineLevel="0" collapsed="false">
      <c r="A72" s="18"/>
      <c r="B72" s="18"/>
      <c r="C72" s="18"/>
      <c r="D72" s="31" t="str">
        <f aca="false">IF($A72="","",IF(SUMPRODUCT(MAX((posicoes_fornecedor!$B$3:$B$1000=$A72)*posicoes_fornecedor!$A$3:$A$1000))=0,"",SUMPRODUCT(MAX((posicoes_fornecedor!$B$3:$B$1000=$A72)*posicoes_fornecedor!$A$3:$A$1000))))</f>
        <v/>
      </c>
      <c r="E72" s="13" t="str">
        <f aca="false">IF($D72="","",SUMIFS(posicoes_fornecedor!$C$3:$C$1000,posicoes_fornecedor!$B$3:$B$1000,$A72,posicoes_fornecedor!$A$3:$A$1000,$D72))</f>
        <v/>
      </c>
      <c r="F72" s="13" t="str">
        <f aca="false">IF($D72="","",SUMIFS(posicoes_fornecedor!$D$3:$D$1000,posicoes_fornecedor!$B$3:$B$1000,$A72,posicoes_fornecedor!$A$3:$A$1000,$D72))</f>
        <v/>
      </c>
      <c r="G72" s="13" t="str">
        <f aca="false">IF($D72="","",SUMIFS(posicoes_fornecedor!$E$3:$E$1000,posicoes_fornecedor!$B$3:$B$1000,$A72,posicoes_fornecedor!$A$3:$A$1000,$D72))</f>
        <v/>
      </c>
      <c r="H72" s="13" t="str">
        <f aca="false">IF($E72="","",$E72-$F72)</f>
        <v/>
      </c>
      <c r="I72" s="32" t="str">
        <f aca="false">IF(OR($E72="",$E72=0),"",$F72/$E72)</f>
        <v/>
      </c>
      <c r="J72" s="32" t="str">
        <f aca="false">IF(OR($E72="",$E72=0),"",$G72/$E72)</f>
        <v/>
      </c>
    </row>
    <row r="73" customFormat="false" ht="15" hidden="false" customHeight="false" outlineLevel="0" collapsed="false">
      <c r="A73" s="18"/>
      <c r="B73" s="18"/>
      <c r="C73" s="18"/>
      <c r="D73" s="31" t="str">
        <f aca="false">IF($A73="","",IF(SUMPRODUCT(MAX((posicoes_fornecedor!$B$3:$B$1000=$A73)*posicoes_fornecedor!$A$3:$A$1000))=0,"",SUMPRODUCT(MAX((posicoes_fornecedor!$B$3:$B$1000=$A73)*posicoes_fornecedor!$A$3:$A$1000))))</f>
        <v/>
      </c>
      <c r="E73" s="13" t="str">
        <f aca="false">IF($D73="","",SUMIFS(posicoes_fornecedor!$C$3:$C$1000,posicoes_fornecedor!$B$3:$B$1000,$A73,posicoes_fornecedor!$A$3:$A$1000,$D73))</f>
        <v/>
      </c>
      <c r="F73" s="13" t="str">
        <f aca="false">IF($D73="","",SUMIFS(posicoes_fornecedor!$D$3:$D$1000,posicoes_fornecedor!$B$3:$B$1000,$A73,posicoes_fornecedor!$A$3:$A$1000,$D73))</f>
        <v/>
      </c>
      <c r="G73" s="13" t="str">
        <f aca="false">IF($D73="","",SUMIFS(posicoes_fornecedor!$E$3:$E$1000,posicoes_fornecedor!$B$3:$B$1000,$A73,posicoes_fornecedor!$A$3:$A$1000,$D73))</f>
        <v/>
      </c>
      <c r="H73" s="13" t="str">
        <f aca="false">IF($E73="","",$E73-$F73)</f>
        <v/>
      </c>
      <c r="I73" s="32" t="str">
        <f aca="false">IF(OR($E73="",$E73=0),"",$F73/$E73)</f>
        <v/>
      </c>
      <c r="J73" s="32" t="str">
        <f aca="false">IF(OR($E73="",$E73=0),"",$G73/$E73)</f>
        <v/>
      </c>
    </row>
    <row r="74" customFormat="false" ht="15" hidden="false" customHeight="false" outlineLevel="0" collapsed="false">
      <c r="A74" s="18"/>
      <c r="B74" s="18"/>
      <c r="C74" s="18"/>
      <c r="D74" s="31" t="str">
        <f aca="false">IF($A74="","",IF(SUMPRODUCT(MAX((posicoes_fornecedor!$B$3:$B$1000=$A74)*posicoes_fornecedor!$A$3:$A$1000))=0,"",SUMPRODUCT(MAX((posicoes_fornecedor!$B$3:$B$1000=$A74)*posicoes_fornecedor!$A$3:$A$1000))))</f>
        <v/>
      </c>
      <c r="E74" s="13" t="str">
        <f aca="false">IF($D74="","",SUMIFS(posicoes_fornecedor!$C$3:$C$1000,posicoes_fornecedor!$B$3:$B$1000,$A74,posicoes_fornecedor!$A$3:$A$1000,$D74))</f>
        <v/>
      </c>
      <c r="F74" s="13" t="str">
        <f aca="false">IF($D74="","",SUMIFS(posicoes_fornecedor!$D$3:$D$1000,posicoes_fornecedor!$B$3:$B$1000,$A74,posicoes_fornecedor!$A$3:$A$1000,$D74))</f>
        <v/>
      </c>
      <c r="G74" s="13" t="str">
        <f aca="false">IF($D74="","",SUMIFS(posicoes_fornecedor!$E$3:$E$1000,posicoes_fornecedor!$B$3:$B$1000,$A74,posicoes_fornecedor!$A$3:$A$1000,$D74))</f>
        <v/>
      </c>
      <c r="H74" s="13" t="str">
        <f aca="false">IF($E74="","",$E74-$F74)</f>
        <v/>
      </c>
      <c r="I74" s="32" t="str">
        <f aca="false">IF(OR($E74="",$E74=0),"",$F74/$E74)</f>
        <v/>
      </c>
      <c r="J74" s="32" t="str">
        <f aca="false">IF(OR($E74="",$E74=0),"",$G74/$E74)</f>
        <v/>
      </c>
    </row>
    <row r="75" customFormat="false" ht="15" hidden="false" customHeight="false" outlineLevel="0" collapsed="false">
      <c r="A75" s="18"/>
      <c r="B75" s="18"/>
      <c r="C75" s="18"/>
      <c r="D75" s="31" t="str">
        <f aca="false">IF($A75="","",IF(SUMPRODUCT(MAX((posicoes_fornecedor!$B$3:$B$1000=$A75)*posicoes_fornecedor!$A$3:$A$1000))=0,"",SUMPRODUCT(MAX((posicoes_fornecedor!$B$3:$B$1000=$A75)*posicoes_fornecedor!$A$3:$A$1000))))</f>
        <v/>
      </c>
      <c r="E75" s="13" t="str">
        <f aca="false">IF($D75="","",SUMIFS(posicoes_fornecedor!$C$3:$C$1000,posicoes_fornecedor!$B$3:$B$1000,$A75,posicoes_fornecedor!$A$3:$A$1000,$D75))</f>
        <v/>
      </c>
      <c r="F75" s="13" t="str">
        <f aca="false">IF($D75="","",SUMIFS(posicoes_fornecedor!$D$3:$D$1000,posicoes_fornecedor!$B$3:$B$1000,$A75,posicoes_fornecedor!$A$3:$A$1000,$D75))</f>
        <v/>
      </c>
      <c r="G75" s="13" t="str">
        <f aca="false">IF($D75="","",SUMIFS(posicoes_fornecedor!$E$3:$E$1000,posicoes_fornecedor!$B$3:$B$1000,$A75,posicoes_fornecedor!$A$3:$A$1000,$D75))</f>
        <v/>
      </c>
      <c r="H75" s="13" t="str">
        <f aca="false">IF($E75="","",$E75-$F75)</f>
        <v/>
      </c>
      <c r="I75" s="32" t="str">
        <f aca="false">IF(OR($E75="",$E75=0),"",$F75/$E75)</f>
        <v/>
      </c>
      <c r="J75" s="32" t="str">
        <f aca="false">IF(OR($E75="",$E75=0),"",$G75/$E75)</f>
        <v/>
      </c>
    </row>
    <row r="76" customFormat="false" ht="15" hidden="false" customHeight="false" outlineLevel="0" collapsed="false">
      <c r="A76" s="18"/>
      <c r="B76" s="18"/>
      <c r="C76" s="18"/>
      <c r="D76" s="31" t="str">
        <f aca="false">IF($A76="","",IF(SUMPRODUCT(MAX((posicoes_fornecedor!$B$3:$B$1000=$A76)*posicoes_fornecedor!$A$3:$A$1000))=0,"",SUMPRODUCT(MAX((posicoes_fornecedor!$B$3:$B$1000=$A76)*posicoes_fornecedor!$A$3:$A$1000))))</f>
        <v/>
      </c>
      <c r="E76" s="13" t="str">
        <f aca="false">IF($D76="","",SUMIFS(posicoes_fornecedor!$C$3:$C$1000,posicoes_fornecedor!$B$3:$B$1000,$A76,posicoes_fornecedor!$A$3:$A$1000,$D76))</f>
        <v/>
      </c>
      <c r="F76" s="13" t="str">
        <f aca="false">IF($D76="","",SUMIFS(posicoes_fornecedor!$D$3:$D$1000,posicoes_fornecedor!$B$3:$B$1000,$A76,posicoes_fornecedor!$A$3:$A$1000,$D76))</f>
        <v/>
      </c>
      <c r="G76" s="13" t="str">
        <f aca="false">IF($D76="","",SUMIFS(posicoes_fornecedor!$E$3:$E$1000,posicoes_fornecedor!$B$3:$B$1000,$A76,posicoes_fornecedor!$A$3:$A$1000,$D76))</f>
        <v/>
      </c>
      <c r="H76" s="13" t="str">
        <f aca="false">IF($E76="","",$E76-$F76)</f>
        <v/>
      </c>
      <c r="I76" s="32" t="str">
        <f aca="false">IF(OR($E76="",$E76=0),"",$F76/$E76)</f>
        <v/>
      </c>
      <c r="J76" s="32" t="str">
        <f aca="false">IF(OR($E76="",$E76=0),"",$G76/$E76)</f>
        <v/>
      </c>
    </row>
    <row r="77" customFormat="false" ht="15" hidden="false" customHeight="false" outlineLevel="0" collapsed="false">
      <c r="A77" s="18"/>
      <c r="B77" s="18"/>
      <c r="C77" s="18"/>
      <c r="D77" s="31" t="str">
        <f aca="false">IF($A77="","",IF(SUMPRODUCT(MAX((posicoes_fornecedor!$B$3:$B$1000=$A77)*posicoes_fornecedor!$A$3:$A$1000))=0,"",SUMPRODUCT(MAX((posicoes_fornecedor!$B$3:$B$1000=$A77)*posicoes_fornecedor!$A$3:$A$1000))))</f>
        <v/>
      </c>
      <c r="E77" s="13" t="str">
        <f aca="false">IF($D77="","",SUMIFS(posicoes_fornecedor!$C$3:$C$1000,posicoes_fornecedor!$B$3:$B$1000,$A77,posicoes_fornecedor!$A$3:$A$1000,$D77))</f>
        <v/>
      </c>
      <c r="F77" s="13" t="str">
        <f aca="false">IF($D77="","",SUMIFS(posicoes_fornecedor!$D$3:$D$1000,posicoes_fornecedor!$B$3:$B$1000,$A77,posicoes_fornecedor!$A$3:$A$1000,$D77))</f>
        <v/>
      </c>
      <c r="G77" s="13" t="str">
        <f aca="false">IF($D77="","",SUMIFS(posicoes_fornecedor!$E$3:$E$1000,posicoes_fornecedor!$B$3:$B$1000,$A77,posicoes_fornecedor!$A$3:$A$1000,$D77))</f>
        <v/>
      </c>
      <c r="H77" s="13" t="str">
        <f aca="false">IF($E77="","",$E77-$F77)</f>
        <v/>
      </c>
      <c r="I77" s="32" t="str">
        <f aca="false">IF(OR($E77="",$E77=0),"",$F77/$E77)</f>
        <v/>
      </c>
      <c r="J77" s="32" t="str">
        <f aca="false">IF(OR($E77="",$E77=0),"",$G77/$E77)</f>
        <v/>
      </c>
    </row>
    <row r="78" customFormat="false" ht="15" hidden="false" customHeight="false" outlineLevel="0" collapsed="false">
      <c r="A78" s="18"/>
      <c r="B78" s="18"/>
      <c r="C78" s="18"/>
      <c r="D78" s="31" t="str">
        <f aca="false">IF($A78="","",IF(SUMPRODUCT(MAX((posicoes_fornecedor!$B$3:$B$1000=$A78)*posicoes_fornecedor!$A$3:$A$1000))=0,"",SUMPRODUCT(MAX((posicoes_fornecedor!$B$3:$B$1000=$A78)*posicoes_fornecedor!$A$3:$A$1000))))</f>
        <v/>
      </c>
      <c r="E78" s="13" t="str">
        <f aca="false">IF($D78="","",SUMIFS(posicoes_fornecedor!$C$3:$C$1000,posicoes_fornecedor!$B$3:$B$1000,$A78,posicoes_fornecedor!$A$3:$A$1000,$D78))</f>
        <v/>
      </c>
      <c r="F78" s="13" t="str">
        <f aca="false">IF($D78="","",SUMIFS(posicoes_fornecedor!$D$3:$D$1000,posicoes_fornecedor!$B$3:$B$1000,$A78,posicoes_fornecedor!$A$3:$A$1000,$D78))</f>
        <v/>
      </c>
      <c r="G78" s="13" t="str">
        <f aca="false">IF($D78="","",SUMIFS(posicoes_fornecedor!$E$3:$E$1000,posicoes_fornecedor!$B$3:$B$1000,$A78,posicoes_fornecedor!$A$3:$A$1000,$D78))</f>
        <v/>
      </c>
      <c r="H78" s="13" t="str">
        <f aca="false">IF($E78="","",$E78-$F78)</f>
        <v/>
      </c>
      <c r="I78" s="32" t="str">
        <f aca="false">IF(OR($E78="",$E78=0),"",$F78/$E78)</f>
        <v/>
      </c>
      <c r="J78" s="32" t="str">
        <f aca="false">IF(OR($E78="",$E78=0),"",$G78/$E78)</f>
        <v/>
      </c>
    </row>
    <row r="79" customFormat="false" ht="15" hidden="false" customHeight="false" outlineLevel="0" collapsed="false">
      <c r="A79" s="18"/>
      <c r="B79" s="18"/>
      <c r="C79" s="18"/>
      <c r="D79" s="31" t="str">
        <f aca="false">IF($A79="","",IF(SUMPRODUCT(MAX((posicoes_fornecedor!$B$3:$B$1000=$A79)*posicoes_fornecedor!$A$3:$A$1000))=0,"",SUMPRODUCT(MAX((posicoes_fornecedor!$B$3:$B$1000=$A79)*posicoes_fornecedor!$A$3:$A$1000))))</f>
        <v/>
      </c>
      <c r="E79" s="13" t="str">
        <f aca="false">IF($D79="","",SUMIFS(posicoes_fornecedor!$C$3:$C$1000,posicoes_fornecedor!$B$3:$B$1000,$A79,posicoes_fornecedor!$A$3:$A$1000,$D79))</f>
        <v/>
      </c>
      <c r="F79" s="13" t="str">
        <f aca="false">IF($D79="","",SUMIFS(posicoes_fornecedor!$D$3:$D$1000,posicoes_fornecedor!$B$3:$B$1000,$A79,posicoes_fornecedor!$A$3:$A$1000,$D79))</f>
        <v/>
      </c>
      <c r="G79" s="13" t="str">
        <f aca="false">IF($D79="","",SUMIFS(posicoes_fornecedor!$E$3:$E$1000,posicoes_fornecedor!$B$3:$B$1000,$A79,posicoes_fornecedor!$A$3:$A$1000,$D79))</f>
        <v/>
      </c>
      <c r="H79" s="13" t="str">
        <f aca="false">IF($E79="","",$E79-$F79)</f>
        <v/>
      </c>
      <c r="I79" s="32" t="str">
        <f aca="false">IF(OR($E79="",$E79=0),"",$F79/$E79)</f>
        <v/>
      </c>
      <c r="J79" s="32" t="str">
        <f aca="false">IF(OR($E79="",$E79=0),"",$G79/$E79)</f>
        <v/>
      </c>
    </row>
    <row r="80" customFormat="false" ht="15" hidden="false" customHeight="false" outlineLevel="0" collapsed="false">
      <c r="A80" s="18"/>
      <c r="B80" s="18"/>
      <c r="C80" s="18"/>
      <c r="D80" s="31" t="str">
        <f aca="false">IF($A80="","",IF(SUMPRODUCT(MAX((posicoes_fornecedor!$B$3:$B$1000=$A80)*posicoes_fornecedor!$A$3:$A$1000))=0,"",SUMPRODUCT(MAX((posicoes_fornecedor!$B$3:$B$1000=$A80)*posicoes_fornecedor!$A$3:$A$1000))))</f>
        <v/>
      </c>
      <c r="E80" s="13" t="str">
        <f aca="false">IF($D80="","",SUMIFS(posicoes_fornecedor!$C$3:$C$1000,posicoes_fornecedor!$B$3:$B$1000,$A80,posicoes_fornecedor!$A$3:$A$1000,$D80))</f>
        <v/>
      </c>
      <c r="F80" s="13" t="str">
        <f aca="false">IF($D80="","",SUMIFS(posicoes_fornecedor!$D$3:$D$1000,posicoes_fornecedor!$B$3:$B$1000,$A80,posicoes_fornecedor!$A$3:$A$1000,$D80))</f>
        <v/>
      </c>
      <c r="G80" s="13" t="str">
        <f aca="false">IF($D80="","",SUMIFS(posicoes_fornecedor!$E$3:$E$1000,posicoes_fornecedor!$B$3:$B$1000,$A80,posicoes_fornecedor!$A$3:$A$1000,$D80))</f>
        <v/>
      </c>
      <c r="H80" s="13" t="str">
        <f aca="false">IF($E80="","",$E80-$F80)</f>
        <v/>
      </c>
      <c r="I80" s="32" t="str">
        <f aca="false">IF(OR($E80="",$E80=0),"",$F80/$E80)</f>
        <v/>
      </c>
      <c r="J80" s="32" t="str">
        <f aca="false">IF(OR($E80="",$E80=0),"",$G80/$E80)</f>
        <v/>
      </c>
    </row>
    <row r="81" customFormat="false" ht="15" hidden="false" customHeight="false" outlineLevel="0" collapsed="false">
      <c r="A81" s="18"/>
      <c r="B81" s="18"/>
      <c r="C81" s="18"/>
      <c r="D81" s="31" t="str">
        <f aca="false">IF($A81="","",IF(SUMPRODUCT(MAX((posicoes_fornecedor!$B$3:$B$1000=$A81)*posicoes_fornecedor!$A$3:$A$1000))=0,"",SUMPRODUCT(MAX((posicoes_fornecedor!$B$3:$B$1000=$A81)*posicoes_fornecedor!$A$3:$A$1000))))</f>
        <v/>
      </c>
      <c r="E81" s="13" t="str">
        <f aca="false">IF($D81="","",SUMIFS(posicoes_fornecedor!$C$3:$C$1000,posicoes_fornecedor!$B$3:$B$1000,$A81,posicoes_fornecedor!$A$3:$A$1000,$D81))</f>
        <v/>
      </c>
      <c r="F81" s="13" t="str">
        <f aca="false">IF($D81="","",SUMIFS(posicoes_fornecedor!$D$3:$D$1000,posicoes_fornecedor!$B$3:$B$1000,$A81,posicoes_fornecedor!$A$3:$A$1000,$D81))</f>
        <v/>
      </c>
      <c r="G81" s="13" t="str">
        <f aca="false">IF($D81="","",SUMIFS(posicoes_fornecedor!$E$3:$E$1000,posicoes_fornecedor!$B$3:$B$1000,$A81,posicoes_fornecedor!$A$3:$A$1000,$D81))</f>
        <v/>
      </c>
      <c r="H81" s="13" t="str">
        <f aca="false">IF($E81="","",$E81-$F81)</f>
        <v/>
      </c>
      <c r="I81" s="32" t="str">
        <f aca="false">IF(OR($E81="",$E81=0),"",$F81/$E81)</f>
        <v/>
      </c>
      <c r="J81" s="32" t="str">
        <f aca="false">IF(OR($E81="",$E81=0),"",$G81/$E81)</f>
        <v/>
      </c>
    </row>
    <row r="82" customFormat="false" ht="15" hidden="false" customHeight="false" outlineLevel="0" collapsed="false">
      <c r="A82" s="18"/>
      <c r="B82" s="18"/>
      <c r="C82" s="18"/>
      <c r="D82" s="31" t="str">
        <f aca="false">IF($A82="","",IF(SUMPRODUCT(MAX((posicoes_fornecedor!$B$3:$B$1000=$A82)*posicoes_fornecedor!$A$3:$A$1000))=0,"",SUMPRODUCT(MAX((posicoes_fornecedor!$B$3:$B$1000=$A82)*posicoes_fornecedor!$A$3:$A$1000))))</f>
        <v/>
      </c>
      <c r="E82" s="13" t="str">
        <f aca="false">IF($D82="","",SUMIFS(posicoes_fornecedor!$C$3:$C$1000,posicoes_fornecedor!$B$3:$B$1000,$A82,posicoes_fornecedor!$A$3:$A$1000,$D82))</f>
        <v/>
      </c>
      <c r="F82" s="13" t="str">
        <f aca="false">IF($D82="","",SUMIFS(posicoes_fornecedor!$D$3:$D$1000,posicoes_fornecedor!$B$3:$B$1000,$A82,posicoes_fornecedor!$A$3:$A$1000,$D82))</f>
        <v/>
      </c>
      <c r="G82" s="13" t="str">
        <f aca="false">IF($D82="","",SUMIFS(posicoes_fornecedor!$E$3:$E$1000,posicoes_fornecedor!$B$3:$B$1000,$A82,posicoes_fornecedor!$A$3:$A$1000,$D82))</f>
        <v/>
      </c>
      <c r="H82" s="13" t="str">
        <f aca="false">IF($E82="","",$E82-$F82)</f>
        <v/>
      </c>
      <c r="I82" s="32" t="str">
        <f aca="false">IF(OR($E82="",$E82=0),"",$F82/$E82)</f>
        <v/>
      </c>
      <c r="J82" s="32" t="str">
        <f aca="false">IF(OR($E82="",$E82=0),"",$G82/$E82)</f>
        <v/>
      </c>
    </row>
    <row r="83" customFormat="false" ht="15" hidden="false" customHeight="false" outlineLevel="0" collapsed="false">
      <c r="A83" s="18"/>
      <c r="B83" s="18"/>
      <c r="C83" s="18"/>
      <c r="D83" s="31" t="str">
        <f aca="false">IF($A83="","",IF(SUMPRODUCT(MAX((posicoes_fornecedor!$B$3:$B$1000=$A83)*posicoes_fornecedor!$A$3:$A$1000))=0,"",SUMPRODUCT(MAX((posicoes_fornecedor!$B$3:$B$1000=$A83)*posicoes_fornecedor!$A$3:$A$1000))))</f>
        <v/>
      </c>
      <c r="E83" s="13" t="str">
        <f aca="false">IF($D83="","",SUMIFS(posicoes_fornecedor!$C$3:$C$1000,posicoes_fornecedor!$B$3:$B$1000,$A83,posicoes_fornecedor!$A$3:$A$1000,$D83))</f>
        <v/>
      </c>
      <c r="F83" s="13" t="str">
        <f aca="false">IF($D83="","",SUMIFS(posicoes_fornecedor!$D$3:$D$1000,posicoes_fornecedor!$B$3:$B$1000,$A83,posicoes_fornecedor!$A$3:$A$1000,$D83))</f>
        <v/>
      </c>
      <c r="G83" s="13" t="str">
        <f aca="false">IF($D83="","",SUMIFS(posicoes_fornecedor!$E$3:$E$1000,posicoes_fornecedor!$B$3:$B$1000,$A83,posicoes_fornecedor!$A$3:$A$1000,$D83))</f>
        <v/>
      </c>
      <c r="H83" s="13" t="str">
        <f aca="false">IF($E83="","",$E83-$F83)</f>
        <v/>
      </c>
      <c r="I83" s="32" t="str">
        <f aca="false">IF(OR($E83="",$E83=0),"",$F83/$E83)</f>
        <v/>
      </c>
      <c r="J83" s="32" t="str">
        <f aca="false">IF(OR($E83="",$E83=0),"",$G83/$E83)</f>
        <v/>
      </c>
    </row>
    <row r="84" customFormat="false" ht="15" hidden="false" customHeight="false" outlineLevel="0" collapsed="false">
      <c r="A84" s="18"/>
      <c r="B84" s="18"/>
      <c r="C84" s="18"/>
      <c r="D84" s="31" t="str">
        <f aca="false">IF($A84="","",IF(SUMPRODUCT(MAX((posicoes_fornecedor!$B$3:$B$1000=$A84)*posicoes_fornecedor!$A$3:$A$1000))=0,"",SUMPRODUCT(MAX((posicoes_fornecedor!$B$3:$B$1000=$A84)*posicoes_fornecedor!$A$3:$A$1000))))</f>
        <v/>
      </c>
      <c r="E84" s="13" t="str">
        <f aca="false">IF($D84="","",SUMIFS(posicoes_fornecedor!$C$3:$C$1000,posicoes_fornecedor!$B$3:$B$1000,$A84,posicoes_fornecedor!$A$3:$A$1000,$D84))</f>
        <v/>
      </c>
      <c r="F84" s="13" t="str">
        <f aca="false">IF($D84="","",SUMIFS(posicoes_fornecedor!$D$3:$D$1000,posicoes_fornecedor!$B$3:$B$1000,$A84,posicoes_fornecedor!$A$3:$A$1000,$D84))</f>
        <v/>
      </c>
      <c r="G84" s="13" t="str">
        <f aca="false">IF($D84="","",SUMIFS(posicoes_fornecedor!$E$3:$E$1000,posicoes_fornecedor!$B$3:$B$1000,$A84,posicoes_fornecedor!$A$3:$A$1000,$D84))</f>
        <v/>
      </c>
      <c r="H84" s="13" t="str">
        <f aca="false">IF($E84="","",$E84-$F84)</f>
        <v/>
      </c>
      <c r="I84" s="32" t="str">
        <f aca="false">IF(OR($E84="",$E84=0),"",$F84/$E84)</f>
        <v/>
      </c>
      <c r="J84" s="32" t="str">
        <f aca="false">IF(OR($E84="",$E84=0),"",$G84/$E84)</f>
        <v/>
      </c>
    </row>
    <row r="85" customFormat="false" ht="15" hidden="false" customHeight="false" outlineLevel="0" collapsed="false">
      <c r="A85" s="18"/>
      <c r="B85" s="18"/>
      <c r="C85" s="18"/>
      <c r="D85" s="31" t="str">
        <f aca="false">IF($A85="","",IF(SUMPRODUCT(MAX((posicoes_fornecedor!$B$3:$B$1000=$A85)*posicoes_fornecedor!$A$3:$A$1000))=0,"",SUMPRODUCT(MAX((posicoes_fornecedor!$B$3:$B$1000=$A85)*posicoes_fornecedor!$A$3:$A$1000))))</f>
        <v/>
      </c>
      <c r="E85" s="13" t="str">
        <f aca="false">IF($D85="","",SUMIFS(posicoes_fornecedor!$C$3:$C$1000,posicoes_fornecedor!$B$3:$B$1000,$A85,posicoes_fornecedor!$A$3:$A$1000,$D85))</f>
        <v/>
      </c>
      <c r="F85" s="13" t="str">
        <f aca="false">IF($D85="","",SUMIFS(posicoes_fornecedor!$D$3:$D$1000,posicoes_fornecedor!$B$3:$B$1000,$A85,posicoes_fornecedor!$A$3:$A$1000,$D85))</f>
        <v/>
      </c>
      <c r="G85" s="13" t="str">
        <f aca="false">IF($D85="","",SUMIFS(posicoes_fornecedor!$E$3:$E$1000,posicoes_fornecedor!$B$3:$B$1000,$A85,posicoes_fornecedor!$A$3:$A$1000,$D85))</f>
        <v/>
      </c>
      <c r="H85" s="13" t="str">
        <f aca="false">IF($E85="","",$E85-$F85)</f>
        <v/>
      </c>
      <c r="I85" s="32" t="str">
        <f aca="false">IF(OR($E85="",$E85=0),"",$F85/$E85)</f>
        <v/>
      </c>
      <c r="J85" s="32" t="str">
        <f aca="false">IF(OR($E85="",$E85=0),"",$G85/$E85)</f>
        <v/>
      </c>
    </row>
    <row r="86" customFormat="false" ht="15" hidden="false" customHeight="false" outlineLevel="0" collapsed="false">
      <c r="A86" s="18"/>
      <c r="B86" s="18"/>
      <c r="C86" s="18"/>
      <c r="D86" s="31" t="str">
        <f aca="false">IF($A86="","",IF(SUMPRODUCT(MAX((posicoes_fornecedor!$B$3:$B$1000=$A86)*posicoes_fornecedor!$A$3:$A$1000))=0,"",SUMPRODUCT(MAX((posicoes_fornecedor!$B$3:$B$1000=$A86)*posicoes_fornecedor!$A$3:$A$1000))))</f>
        <v/>
      </c>
      <c r="E86" s="13" t="str">
        <f aca="false">IF($D86="","",SUMIFS(posicoes_fornecedor!$C$3:$C$1000,posicoes_fornecedor!$B$3:$B$1000,$A86,posicoes_fornecedor!$A$3:$A$1000,$D86))</f>
        <v/>
      </c>
      <c r="F86" s="13" t="str">
        <f aca="false">IF($D86="","",SUMIFS(posicoes_fornecedor!$D$3:$D$1000,posicoes_fornecedor!$B$3:$B$1000,$A86,posicoes_fornecedor!$A$3:$A$1000,$D86))</f>
        <v/>
      </c>
      <c r="G86" s="13" t="str">
        <f aca="false">IF($D86="","",SUMIFS(posicoes_fornecedor!$E$3:$E$1000,posicoes_fornecedor!$B$3:$B$1000,$A86,posicoes_fornecedor!$A$3:$A$1000,$D86))</f>
        <v/>
      </c>
      <c r="H86" s="13" t="str">
        <f aca="false">IF($E86="","",$E86-$F86)</f>
        <v/>
      </c>
      <c r="I86" s="32" t="str">
        <f aca="false">IF(OR($E86="",$E86=0),"",$F86/$E86)</f>
        <v/>
      </c>
      <c r="J86" s="32" t="str">
        <f aca="false">IF(OR($E86="",$E86=0),"",$G86/$E86)</f>
        <v/>
      </c>
    </row>
    <row r="87" customFormat="false" ht="15" hidden="false" customHeight="false" outlineLevel="0" collapsed="false">
      <c r="A87" s="18"/>
      <c r="B87" s="18"/>
      <c r="C87" s="18"/>
      <c r="D87" s="31" t="str">
        <f aca="false">IF($A87="","",IF(SUMPRODUCT(MAX((posicoes_fornecedor!$B$3:$B$1000=$A87)*posicoes_fornecedor!$A$3:$A$1000))=0,"",SUMPRODUCT(MAX((posicoes_fornecedor!$B$3:$B$1000=$A87)*posicoes_fornecedor!$A$3:$A$1000))))</f>
        <v/>
      </c>
      <c r="E87" s="13" t="str">
        <f aca="false">IF($D87="","",SUMIFS(posicoes_fornecedor!$C$3:$C$1000,posicoes_fornecedor!$B$3:$B$1000,$A87,posicoes_fornecedor!$A$3:$A$1000,$D87))</f>
        <v/>
      </c>
      <c r="F87" s="13" t="str">
        <f aca="false">IF($D87="","",SUMIFS(posicoes_fornecedor!$D$3:$D$1000,posicoes_fornecedor!$B$3:$B$1000,$A87,posicoes_fornecedor!$A$3:$A$1000,$D87))</f>
        <v/>
      </c>
      <c r="G87" s="13" t="str">
        <f aca="false">IF($D87="","",SUMIFS(posicoes_fornecedor!$E$3:$E$1000,posicoes_fornecedor!$B$3:$B$1000,$A87,posicoes_fornecedor!$A$3:$A$1000,$D87))</f>
        <v/>
      </c>
      <c r="H87" s="13" t="str">
        <f aca="false">IF($E87="","",$E87-$F87)</f>
        <v/>
      </c>
      <c r="I87" s="32" t="str">
        <f aca="false">IF(OR($E87="",$E87=0),"",$F87/$E87)</f>
        <v/>
      </c>
      <c r="J87" s="32" t="str">
        <f aca="false">IF(OR($E87="",$E87=0),"",$G87/$E87)</f>
        <v/>
      </c>
    </row>
    <row r="88" customFormat="false" ht="15" hidden="false" customHeight="false" outlineLevel="0" collapsed="false">
      <c r="A88" s="18"/>
      <c r="B88" s="18"/>
      <c r="C88" s="18"/>
      <c r="D88" s="31" t="str">
        <f aca="false">IF($A88="","",IF(SUMPRODUCT(MAX((posicoes_fornecedor!$B$3:$B$1000=$A88)*posicoes_fornecedor!$A$3:$A$1000))=0,"",SUMPRODUCT(MAX((posicoes_fornecedor!$B$3:$B$1000=$A88)*posicoes_fornecedor!$A$3:$A$1000))))</f>
        <v/>
      </c>
      <c r="E88" s="13" t="str">
        <f aca="false">IF($D88="","",SUMIFS(posicoes_fornecedor!$C$3:$C$1000,posicoes_fornecedor!$B$3:$B$1000,$A88,posicoes_fornecedor!$A$3:$A$1000,$D88))</f>
        <v/>
      </c>
      <c r="F88" s="13" t="str">
        <f aca="false">IF($D88="","",SUMIFS(posicoes_fornecedor!$D$3:$D$1000,posicoes_fornecedor!$B$3:$B$1000,$A88,posicoes_fornecedor!$A$3:$A$1000,$D88))</f>
        <v/>
      </c>
      <c r="G88" s="13" t="str">
        <f aca="false">IF($D88="","",SUMIFS(posicoes_fornecedor!$E$3:$E$1000,posicoes_fornecedor!$B$3:$B$1000,$A88,posicoes_fornecedor!$A$3:$A$1000,$D88))</f>
        <v/>
      </c>
      <c r="H88" s="13" t="str">
        <f aca="false">IF($E88="","",$E88-$F88)</f>
        <v/>
      </c>
      <c r="I88" s="32" t="str">
        <f aca="false">IF(OR($E88="",$E88=0),"",$F88/$E88)</f>
        <v/>
      </c>
      <c r="J88" s="32" t="str">
        <f aca="false">IF(OR($E88="",$E88=0),"",$G88/$E88)</f>
        <v/>
      </c>
    </row>
    <row r="89" customFormat="false" ht="15" hidden="false" customHeight="false" outlineLevel="0" collapsed="false">
      <c r="A89" s="18"/>
      <c r="B89" s="18"/>
      <c r="C89" s="18"/>
      <c r="D89" s="31" t="str">
        <f aca="false">IF($A89="","",IF(SUMPRODUCT(MAX((posicoes_fornecedor!$B$3:$B$1000=$A89)*posicoes_fornecedor!$A$3:$A$1000))=0,"",SUMPRODUCT(MAX((posicoes_fornecedor!$B$3:$B$1000=$A89)*posicoes_fornecedor!$A$3:$A$1000))))</f>
        <v/>
      </c>
      <c r="E89" s="13" t="str">
        <f aca="false">IF($D89="","",SUMIFS(posicoes_fornecedor!$C$3:$C$1000,posicoes_fornecedor!$B$3:$B$1000,$A89,posicoes_fornecedor!$A$3:$A$1000,$D89))</f>
        <v/>
      </c>
      <c r="F89" s="13" t="str">
        <f aca="false">IF($D89="","",SUMIFS(posicoes_fornecedor!$D$3:$D$1000,posicoes_fornecedor!$B$3:$B$1000,$A89,posicoes_fornecedor!$A$3:$A$1000,$D89))</f>
        <v/>
      </c>
      <c r="G89" s="13" t="str">
        <f aca="false">IF($D89="","",SUMIFS(posicoes_fornecedor!$E$3:$E$1000,posicoes_fornecedor!$B$3:$B$1000,$A89,posicoes_fornecedor!$A$3:$A$1000,$D89))</f>
        <v/>
      </c>
      <c r="H89" s="13" t="str">
        <f aca="false">IF($E89="","",$E89-$F89)</f>
        <v/>
      </c>
      <c r="I89" s="32" t="str">
        <f aca="false">IF(OR($E89="",$E89=0),"",$F89/$E89)</f>
        <v/>
      </c>
      <c r="J89" s="32" t="str">
        <f aca="false">IF(OR($E89="",$E89=0),"",$G89/$E89)</f>
        <v/>
      </c>
    </row>
    <row r="90" customFormat="false" ht="15" hidden="false" customHeight="false" outlineLevel="0" collapsed="false">
      <c r="A90" s="18"/>
      <c r="B90" s="18"/>
      <c r="C90" s="18"/>
      <c r="D90" s="31" t="str">
        <f aca="false">IF($A90="","",IF(SUMPRODUCT(MAX((posicoes_fornecedor!$B$3:$B$1000=$A90)*posicoes_fornecedor!$A$3:$A$1000))=0,"",SUMPRODUCT(MAX((posicoes_fornecedor!$B$3:$B$1000=$A90)*posicoes_fornecedor!$A$3:$A$1000))))</f>
        <v/>
      </c>
      <c r="E90" s="13" t="str">
        <f aca="false">IF($D90="","",SUMIFS(posicoes_fornecedor!$C$3:$C$1000,posicoes_fornecedor!$B$3:$B$1000,$A90,posicoes_fornecedor!$A$3:$A$1000,$D90))</f>
        <v/>
      </c>
      <c r="F90" s="13" t="str">
        <f aca="false">IF($D90="","",SUMIFS(posicoes_fornecedor!$D$3:$D$1000,posicoes_fornecedor!$B$3:$B$1000,$A90,posicoes_fornecedor!$A$3:$A$1000,$D90))</f>
        <v/>
      </c>
      <c r="G90" s="13" t="str">
        <f aca="false">IF($D90="","",SUMIFS(posicoes_fornecedor!$E$3:$E$1000,posicoes_fornecedor!$B$3:$B$1000,$A90,posicoes_fornecedor!$A$3:$A$1000,$D90))</f>
        <v/>
      </c>
      <c r="H90" s="13" t="str">
        <f aca="false">IF($E90="","",$E90-$F90)</f>
        <v/>
      </c>
      <c r="I90" s="32" t="str">
        <f aca="false">IF(OR($E90="",$E90=0),"",$F90/$E90)</f>
        <v/>
      </c>
      <c r="J90" s="32" t="str">
        <f aca="false">IF(OR($E90="",$E90=0),"",$G90/$E90)</f>
        <v/>
      </c>
    </row>
    <row r="91" customFormat="false" ht="15" hidden="false" customHeight="false" outlineLevel="0" collapsed="false">
      <c r="A91" s="18"/>
      <c r="B91" s="18"/>
      <c r="C91" s="18"/>
      <c r="D91" s="31" t="str">
        <f aca="false">IF($A91="","",IF(SUMPRODUCT(MAX((posicoes_fornecedor!$B$3:$B$1000=$A91)*posicoes_fornecedor!$A$3:$A$1000))=0,"",SUMPRODUCT(MAX((posicoes_fornecedor!$B$3:$B$1000=$A91)*posicoes_fornecedor!$A$3:$A$1000))))</f>
        <v/>
      </c>
      <c r="E91" s="13" t="str">
        <f aca="false">IF($D91="","",SUMIFS(posicoes_fornecedor!$C$3:$C$1000,posicoes_fornecedor!$B$3:$B$1000,$A91,posicoes_fornecedor!$A$3:$A$1000,$D91))</f>
        <v/>
      </c>
      <c r="F91" s="13" t="str">
        <f aca="false">IF($D91="","",SUMIFS(posicoes_fornecedor!$D$3:$D$1000,posicoes_fornecedor!$B$3:$B$1000,$A91,posicoes_fornecedor!$A$3:$A$1000,$D91))</f>
        <v/>
      </c>
      <c r="G91" s="13" t="str">
        <f aca="false">IF($D91="","",SUMIFS(posicoes_fornecedor!$E$3:$E$1000,posicoes_fornecedor!$B$3:$B$1000,$A91,posicoes_fornecedor!$A$3:$A$1000,$D91))</f>
        <v/>
      </c>
      <c r="H91" s="13" t="str">
        <f aca="false">IF($E91="","",$E91-$F91)</f>
        <v/>
      </c>
      <c r="I91" s="32" t="str">
        <f aca="false">IF(OR($E91="",$E91=0),"",$F91/$E91)</f>
        <v/>
      </c>
      <c r="J91" s="32" t="str">
        <f aca="false">IF(OR($E91="",$E91=0),"",$G91/$E91)</f>
        <v/>
      </c>
    </row>
    <row r="92" customFormat="false" ht="15" hidden="false" customHeight="false" outlineLevel="0" collapsed="false">
      <c r="A92" s="18"/>
      <c r="B92" s="18"/>
      <c r="C92" s="18"/>
      <c r="D92" s="31" t="str">
        <f aca="false">IF($A92="","",IF(SUMPRODUCT(MAX((posicoes_fornecedor!$B$3:$B$1000=$A92)*posicoes_fornecedor!$A$3:$A$1000))=0,"",SUMPRODUCT(MAX((posicoes_fornecedor!$B$3:$B$1000=$A92)*posicoes_fornecedor!$A$3:$A$1000))))</f>
        <v/>
      </c>
      <c r="E92" s="13" t="str">
        <f aca="false">IF($D92="","",SUMIFS(posicoes_fornecedor!$C$3:$C$1000,posicoes_fornecedor!$B$3:$B$1000,$A92,posicoes_fornecedor!$A$3:$A$1000,$D92))</f>
        <v/>
      </c>
      <c r="F92" s="13" t="str">
        <f aca="false">IF($D92="","",SUMIFS(posicoes_fornecedor!$D$3:$D$1000,posicoes_fornecedor!$B$3:$B$1000,$A92,posicoes_fornecedor!$A$3:$A$1000,$D92))</f>
        <v/>
      </c>
      <c r="G92" s="13" t="str">
        <f aca="false">IF($D92="","",SUMIFS(posicoes_fornecedor!$E$3:$E$1000,posicoes_fornecedor!$B$3:$B$1000,$A92,posicoes_fornecedor!$A$3:$A$1000,$D92))</f>
        <v/>
      </c>
      <c r="H92" s="13" t="str">
        <f aca="false">IF($E92="","",$E92-$F92)</f>
        <v/>
      </c>
      <c r="I92" s="32" t="str">
        <f aca="false">IF(OR($E92="",$E92=0),"",$F92/$E92)</f>
        <v/>
      </c>
      <c r="J92" s="32" t="str">
        <f aca="false">IF(OR($E92="",$E92=0),"",$G92/$E92)</f>
        <v/>
      </c>
    </row>
    <row r="93" customFormat="false" ht="15" hidden="false" customHeight="false" outlineLevel="0" collapsed="false">
      <c r="A93" s="18"/>
      <c r="B93" s="18"/>
      <c r="C93" s="18"/>
      <c r="D93" s="31" t="str">
        <f aca="false">IF($A93="","",IF(SUMPRODUCT(MAX((posicoes_fornecedor!$B$3:$B$1000=$A93)*posicoes_fornecedor!$A$3:$A$1000))=0,"",SUMPRODUCT(MAX((posicoes_fornecedor!$B$3:$B$1000=$A93)*posicoes_fornecedor!$A$3:$A$1000))))</f>
        <v/>
      </c>
      <c r="E93" s="13" t="str">
        <f aca="false">IF($D93="","",SUMIFS(posicoes_fornecedor!$C$3:$C$1000,posicoes_fornecedor!$B$3:$B$1000,$A93,posicoes_fornecedor!$A$3:$A$1000,$D93))</f>
        <v/>
      </c>
      <c r="F93" s="13" t="str">
        <f aca="false">IF($D93="","",SUMIFS(posicoes_fornecedor!$D$3:$D$1000,posicoes_fornecedor!$B$3:$B$1000,$A93,posicoes_fornecedor!$A$3:$A$1000,$D93))</f>
        <v/>
      </c>
      <c r="G93" s="13" t="str">
        <f aca="false">IF($D93="","",SUMIFS(posicoes_fornecedor!$E$3:$E$1000,posicoes_fornecedor!$B$3:$B$1000,$A93,posicoes_fornecedor!$A$3:$A$1000,$D93))</f>
        <v/>
      </c>
      <c r="H93" s="13" t="str">
        <f aca="false">IF($E93="","",$E93-$F93)</f>
        <v/>
      </c>
      <c r="I93" s="32" t="str">
        <f aca="false">IF(OR($E93="",$E93=0),"",$F93/$E93)</f>
        <v/>
      </c>
      <c r="J93" s="32" t="str">
        <f aca="false">IF(OR($E93="",$E93=0),"",$G93/$E93)</f>
        <v/>
      </c>
    </row>
    <row r="94" customFormat="false" ht="15" hidden="false" customHeight="false" outlineLevel="0" collapsed="false">
      <c r="A94" s="18"/>
      <c r="B94" s="18"/>
      <c r="C94" s="18"/>
      <c r="D94" s="31" t="str">
        <f aca="false">IF($A94="","",IF(SUMPRODUCT(MAX((posicoes_fornecedor!$B$3:$B$1000=$A94)*posicoes_fornecedor!$A$3:$A$1000))=0,"",SUMPRODUCT(MAX((posicoes_fornecedor!$B$3:$B$1000=$A94)*posicoes_fornecedor!$A$3:$A$1000))))</f>
        <v/>
      </c>
      <c r="E94" s="13" t="str">
        <f aca="false">IF($D94="","",SUMIFS(posicoes_fornecedor!$C$3:$C$1000,posicoes_fornecedor!$B$3:$B$1000,$A94,posicoes_fornecedor!$A$3:$A$1000,$D94))</f>
        <v/>
      </c>
      <c r="F94" s="13" t="str">
        <f aca="false">IF($D94="","",SUMIFS(posicoes_fornecedor!$D$3:$D$1000,posicoes_fornecedor!$B$3:$B$1000,$A94,posicoes_fornecedor!$A$3:$A$1000,$D94))</f>
        <v/>
      </c>
      <c r="G94" s="13" t="str">
        <f aca="false">IF($D94="","",SUMIFS(posicoes_fornecedor!$E$3:$E$1000,posicoes_fornecedor!$B$3:$B$1000,$A94,posicoes_fornecedor!$A$3:$A$1000,$D94))</f>
        <v/>
      </c>
      <c r="H94" s="13" t="str">
        <f aca="false">IF($E94="","",$E94-$F94)</f>
        <v/>
      </c>
      <c r="I94" s="32" t="str">
        <f aca="false">IF(OR($E94="",$E94=0),"",$F94/$E94)</f>
        <v/>
      </c>
      <c r="J94" s="32" t="str">
        <f aca="false">IF(OR($E94="",$E94=0),"",$G94/$E94)</f>
        <v/>
      </c>
    </row>
    <row r="95" customFormat="false" ht="15" hidden="false" customHeight="false" outlineLevel="0" collapsed="false">
      <c r="A95" s="18"/>
      <c r="B95" s="18"/>
      <c r="C95" s="18"/>
      <c r="D95" s="31" t="str">
        <f aca="false">IF($A95="","",IF(SUMPRODUCT(MAX((posicoes_fornecedor!$B$3:$B$1000=$A95)*posicoes_fornecedor!$A$3:$A$1000))=0,"",SUMPRODUCT(MAX((posicoes_fornecedor!$B$3:$B$1000=$A95)*posicoes_fornecedor!$A$3:$A$1000))))</f>
        <v/>
      </c>
      <c r="E95" s="13" t="str">
        <f aca="false">IF($D95="","",SUMIFS(posicoes_fornecedor!$C$3:$C$1000,posicoes_fornecedor!$B$3:$B$1000,$A95,posicoes_fornecedor!$A$3:$A$1000,$D95))</f>
        <v/>
      </c>
      <c r="F95" s="13" t="str">
        <f aca="false">IF($D95="","",SUMIFS(posicoes_fornecedor!$D$3:$D$1000,posicoes_fornecedor!$B$3:$B$1000,$A95,posicoes_fornecedor!$A$3:$A$1000,$D95))</f>
        <v/>
      </c>
      <c r="G95" s="13" t="str">
        <f aca="false">IF($D95="","",SUMIFS(posicoes_fornecedor!$E$3:$E$1000,posicoes_fornecedor!$B$3:$B$1000,$A95,posicoes_fornecedor!$A$3:$A$1000,$D95))</f>
        <v/>
      </c>
      <c r="H95" s="13" t="str">
        <f aca="false">IF($E95="","",$E95-$F95)</f>
        <v/>
      </c>
      <c r="I95" s="32" t="str">
        <f aca="false">IF(OR($E95="",$E95=0),"",$F95/$E95)</f>
        <v/>
      </c>
      <c r="J95" s="32" t="str">
        <f aca="false">IF(OR($E95="",$E95=0),"",$G95/$E95)</f>
        <v/>
      </c>
    </row>
    <row r="96" customFormat="false" ht="15" hidden="false" customHeight="false" outlineLevel="0" collapsed="false">
      <c r="A96" s="18"/>
      <c r="B96" s="18"/>
      <c r="C96" s="18"/>
      <c r="D96" s="31" t="str">
        <f aca="false">IF($A96="","",IF(SUMPRODUCT(MAX((posicoes_fornecedor!$B$3:$B$1000=$A96)*posicoes_fornecedor!$A$3:$A$1000))=0,"",SUMPRODUCT(MAX((posicoes_fornecedor!$B$3:$B$1000=$A96)*posicoes_fornecedor!$A$3:$A$1000))))</f>
        <v/>
      </c>
      <c r="E96" s="13" t="str">
        <f aca="false">IF($D96="","",SUMIFS(posicoes_fornecedor!$C$3:$C$1000,posicoes_fornecedor!$B$3:$B$1000,$A96,posicoes_fornecedor!$A$3:$A$1000,$D96))</f>
        <v/>
      </c>
      <c r="F96" s="13" t="str">
        <f aca="false">IF($D96="","",SUMIFS(posicoes_fornecedor!$D$3:$D$1000,posicoes_fornecedor!$B$3:$B$1000,$A96,posicoes_fornecedor!$A$3:$A$1000,$D96))</f>
        <v/>
      </c>
      <c r="G96" s="13" t="str">
        <f aca="false">IF($D96="","",SUMIFS(posicoes_fornecedor!$E$3:$E$1000,posicoes_fornecedor!$B$3:$B$1000,$A96,posicoes_fornecedor!$A$3:$A$1000,$D96))</f>
        <v/>
      </c>
      <c r="H96" s="13" t="str">
        <f aca="false">IF($E96="","",$E96-$F96)</f>
        <v/>
      </c>
      <c r="I96" s="32" t="str">
        <f aca="false">IF(OR($E96="",$E96=0),"",$F96/$E96)</f>
        <v/>
      </c>
      <c r="J96" s="32" t="str">
        <f aca="false">IF(OR($E96="",$E96=0),"",$G96/$E96)</f>
        <v/>
      </c>
    </row>
    <row r="97" customFormat="false" ht="15" hidden="false" customHeight="false" outlineLevel="0" collapsed="false">
      <c r="A97" s="18"/>
      <c r="B97" s="18"/>
      <c r="C97" s="18"/>
      <c r="D97" s="31" t="str">
        <f aca="false">IF($A97="","",IF(SUMPRODUCT(MAX((posicoes_fornecedor!$B$3:$B$1000=$A97)*posicoes_fornecedor!$A$3:$A$1000))=0,"",SUMPRODUCT(MAX((posicoes_fornecedor!$B$3:$B$1000=$A97)*posicoes_fornecedor!$A$3:$A$1000))))</f>
        <v/>
      </c>
      <c r="E97" s="13" t="str">
        <f aca="false">IF($D97="","",SUMIFS(posicoes_fornecedor!$C$3:$C$1000,posicoes_fornecedor!$B$3:$B$1000,$A97,posicoes_fornecedor!$A$3:$A$1000,$D97))</f>
        <v/>
      </c>
      <c r="F97" s="13" t="str">
        <f aca="false">IF($D97="","",SUMIFS(posicoes_fornecedor!$D$3:$D$1000,posicoes_fornecedor!$B$3:$B$1000,$A97,posicoes_fornecedor!$A$3:$A$1000,$D97))</f>
        <v/>
      </c>
      <c r="G97" s="13" t="str">
        <f aca="false">IF($D97="","",SUMIFS(posicoes_fornecedor!$E$3:$E$1000,posicoes_fornecedor!$B$3:$B$1000,$A97,posicoes_fornecedor!$A$3:$A$1000,$D97))</f>
        <v/>
      </c>
      <c r="H97" s="13" t="str">
        <f aca="false">IF($E97="","",$E97-$F97)</f>
        <v/>
      </c>
      <c r="I97" s="32" t="str">
        <f aca="false">IF(OR($E97="",$E97=0),"",$F97/$E97)</f>
        <v/>
      </c>
      <c r="J97" s="32" t="str">
        <f aca="false">IF(OR($E97="",$E97=0),"",$G97/$E97)</f>
        <v/>
      </c>
    </row>
    <row r="98" customFormat="false" ht="15" hidden="false" customHeight="false" outlineLevel="0" collapsed="false">
      <c r="A98" s="18"/>
      <c r="B98" s="18"/>
      <c r="C98" s="18"/>
      <c r="D98" s="31" t="str">
        <f aca="false">IF($A98="","",IF(SUMPRODUCT(MAX((posicoes_fornecedor!$B$3:$B$1000=$A98)*posicoes_fornecedor!$A$3:$A$1000))=0,"",SUMPRODUCT(MAX((posicoes_fornecedor!$B$3:$B$1000=$A98)*posicoes_fornecedor!$A$3:$A$1000))))</f>
        <v/>
      </c>
      <c r="E98" s="13" t="str">
        <f aca="false">IF($D98="","",SUMIFS(posicoes_fornecedor!$C$3:$C$1000,posicoes_fornecedor!$B$3:$B$1000,$A98,posicoes_fornecedor!$A$3:$A$1000,$D98))</f>
        <v/>
      </c>
      <c r="F98" s="13" t="str">
        <f aca="false">IF($D98="","",SUMIFS(posicoes_fornecedor!$D$3:$D$1000,posicoes_fornecedor!$B$3:$B$1000,$A98,posicoes_fornecedor!$A$3:$A$1000,$D98))</f>
        <v/>
      </c>
      <c r="G98" s="13" t="str">
        <f aca="false">IF($D98="","",SUMIFS(posicoes_fornecedor!$E$3:$E$1000,posicoes_fornecedor!$B$3:$B$1000,$A98,posicoes_fornecedor!$A$3:$A$1000,$D98))</f>
        <v/>
      </c>
      <c r="H98" s="13" t="str">
        <f aca="false">IF($E98="","",$E98-$F98)</f>
        <v/>
      </c>
      <c r="I98" s="32" t="str">
        <f aca="false">IF(OR($E98="",$E98=0),"",$F98/$E98)</f>
        <v/>
      </c>
      <c r="J98" s="32" t="str">
        <f aca="false">IF(OR($E98="",$E98=0),"",$G98/$E98)</f>
        <v/>
      </c>
    </row>
    <row r="99" customFormat="false" ht="15" hidden="false" customHeight="false" outlineLevel="0" collapsed="false">
      <c r="A99" s="18"/>
      <c r="B99" s="18"/>
      <c r="C99" s="18"/>
      <c r="D99" s="31" t="str">
        <f aca="false">IF($A99="","",IF(SUMPRODUCT(MAX((posicoes_fornecedor!$B$3:$B$1000=$A99)*posicoes_fornecedor!$A$3:$A$1000))=0,"",SUMPRODUCT(MAX((posicoes_fornecedor!$B$3:$B$1000=$A99)*posicoes_fornecedor!$A$3:$A$1000))))</f>
        <v/>
      </c>
      <c r="E99" s="13" t="str">
        <f aca="false">IF($D99="","",SUMIFS(posicoes_fornecedor!$C$3:$C$1000,posicoes_fornecedor!$B$3:$B$1000,$A99,posicoes_fornecedor!$A$3:$A$1000,$D99))</f>
        <v/>
      </c>
      <c r="F99" s="13" t="str">
        <f aca="false">IF($D99="","",SUMIFS(posicoes_fornecedor!$D$3:$D$1000,posicoes_fornecedor!$B$3:$B$1000,$A99,posicoes_fornecedor!$A$3:$A$1000,$D99))</f>
        <v/>
      </c>
      <c r="G99" s="13" t="str">
        <f aca="false">IF($D99="","",SUMIFS(posicoes_fornecedor!$E$3:$E$1000,posicoes_fornecedor!$B$3:$B$1000,$A99,posicoes_fornecedor!$A$3:$A$1000,$D99))</f>
        <v/>
      </c>
      <c r="H99" s="13" t="str">
        <f aca="false">IF($E99="","",$E99-$F99)</f>
        <v/>
      </c>
      <c r="I99" s="32" t="str">
        <f aca="false">IF(OR($E99="",$E99=0),"",$F99/$E99)</f>
        <v/>
      </c>
      <c r="J99" s="32" t="str">
        <f aca="false">IF(OR($E99="",$E99=0),"",$G99/$E99)</f>
        <v/>
      </c>
    </row>
    <row r="100" customFormat="false" ht="15" hidden="false" customHeight="false" outlineLevel="0" collapsed="false">
      <c r="A100" s="18"/>
      <c r="B100" s="18"/>
      <c r="C100" s="18"/>
      <c r="D100" s="31" t="str">
        <f aca="false">IF($A100="","",IF(SUMPRODUCT(MAX((posicoes_fornecedor!$B$3:$B$1000=$A100)*posicoes_fornecedor!$A$3:$A$1000))=0,"",SUMPRODUCT(MAX((posicoes_fornecedor!$B$3:$B$1000=$A100)*posicoes_fornecedor!$A$3:$A$1000))))</f>
        <v/>
      </c>
      <c r="E100" s="13" t="str">
        <f aca="false">IF($D100="","",SUMIFS(posicoes_fornecedor!$C$3:$C$1000,posicoes_fornecedor!$B$3:$B$1000,$A100,posicoes_fornecedor!$A$3:$A$1000,$D100))</f>
        <v/>
      </c>
      <c r="F100" s="13" t="str">
        <f aca="false">IF($D100="","",SUMIFS(posicoes_fornecedor!$D$3:$D$1000,posicoes_fornecedor!$B$3:$B$1000,$A100,posicoes_fornecedor!$A$3:$A$1000,$D100))</f>
        <v/>
      </c>
      <c r="G100" s="13" t="str">
        <f aca="false">IF($D100="","",SUMIFS(posicoes_fornecedor!$E$3:$E$1000,posicoes_fornecedor!$B$3:$B$1000,$A100,posicoes_fornecedor!$A$3:$A$1000,$D100))</f>
        <v/>
      </c>
      <c r="H100" s="13" t="str">
        <f aca="false">IF($E100="","",$E100-$F100)</f>
        <v/>
      </c>
      <c r="I100" s="32" t="str">
        <f aca="false">IF(OR($E100="",$E100=0),"",$F100/$E100)</f>
        <v/>
      </c>
      <c r="J100" s="32" t="str">
        <f aca="false">IF(OR($E100="",$E100=0),"",$G100/$E100)</f>
        <v/>
      </c>
    </row>
    <row r="101" customFormat="false" ht="15" hidden="false" customHeight="false" outlineLevel="0" collapsed="false">
      <c r="A101" s="18"/>
      <c r="B101" s="18"/>
      <c r="C101" s="18"/>
      <c r="D101" s="31" t="str">
        <f aca="false">IF($A101="","",IF(SUMPRODUCT(MAX((posicoes_fornecedor!$B$3:$B$1000=$A101)*posicoes_fornecedor!$A$3:$A$1000))=0,"",SUMPRODUCT(MAX((posicoes_fornecedor!$B$3:$B$1000=$A101)*posicoes_fornecedor!$A$3:$A$1000))))</f>
        <v/>
      </c>
      <c r="E101" s="13" t="str">
        <f aca="false">IF($D101="","",SUMIFS(posicoes_fornecedor!$C$3:$C$1000,posicoes_fornecedor!$B$3:$B$1000,$A101,posicoes_fornecedor!$A$3:$A$1000,$D101))</f>
        <v/>
      </c>
      <c r="F101" s="13" t="str">
        <f aca="false">IF($D101="","",SUMIFS(posicoes_fornecedor!$D$3:$D$1000,posicoes_fornecedor!$B$3:$B$1000,$A101,posicoes_fornecedor!$A$3:$A$1000,$D101))</f>
        <v/>
      </c>
      <c r="G101" s="13" t="str">
        <f aca="false">IF($D101="","",SUMIFS(posicoes_fornecedor!$E$3:$E$1000,posicoes_fornecedor!$B$3:$B$1000,$A101,posicoes_fornecedor!$A$3:$A$1000,$D101))</f>
        <v/>
      </c>
      <c r="H101" s="13" t="str">
        <f aca="false">IF($E101="","",$E101-$F101)</f>
        <v/>
      </c>
      <c r="I101" s="32" t="str">
        <f aca="false">IF(OR($E101="",$E101=0),"",$F101/$E101)</f>
        <v/>
      </c>
      <c r="J101" s="32" t="str">
        <f aca="false">IF(OR($E101="",$E101=0),"",$G101/$E101)</f>
        <v/>
      </c>
    </row>
    <row r="102" customFormat="false" ht="15" hidden="false" customHeight="false" outlineLevel="0" collapsed="false">
      <c r="A102" s="18"/>
      <c r="B102" s="18"/>
      <c r="C102" s="18"/>
      <c r="D102" s="31" t="str">
        <f aca="false">IF($A102="","",IF(SUMPRODUCT(MAX((posicoes_fornecedor!$B$3:$B$1000=$A102)*posicoes_fornecedor!$A$3:$A$1000))=0,"",SUMPRODUCT(MAX((posicoes_fornecedor!$B$3:$B$1000=$A102)*posicoes_fornecedor!$A$3:$A$1000))))</f>
        <v/>
      </c>
      <c r="E102" s="13" t="str">
        <f aca="false">IF($D102="","",SUMIFS(posicoes_fornecedor!$C$3:$C$1000,posicoes_fornecedor!$B$3:$B$1000,$A102,posicoes_fornecedor!$A$3:$A$1000,$D102))</f>
        <v/>
      </c>
      <c r="F102" s="13" t="str">
        <f aca="false">IF($D102="","",SUMIFS(posicoes_fornecedor!$D$3:$D$1000,posicoes_fornecedor!$B$3:$B$1000,$A102,posicoes_fornecedor!$A$3:$A$1000,$D102))</f>
        <v/>
      </c>
      <c r="G102" s="13" t="str">
        <f aca="false">IF($D102="","",SUMIFS(posicoes_fornecedor!$E$3:$E$1000,posicoes_fornecedor!$B$3:$B$1000,$A102,posicoes_fornecedor!$A$3:$A$1000,$D102))</f>
        <v/>
      </c>
      <c r="H102" s="13" t="str">
        <f aca="false">IF($E102="","",$E102-$F102)</f>
        <v/>
      </c>
      <c r="I102" s="32" t="str">
        <f aca="false">IF(OR($E102="",$E102=0),"",$F102/$E102)</f>
        <v/>
      </c>
      <c r="J102" s="32" t="str">
        <f aca="false">IF(OR($E102="",$E102=0),"",$G102/$E102)</f>
        <v/>
      </c>
    </row>
    <row r="103" customFormat="false" ht="15" hidden="false" customHeight="false" outlineLevel="0" collapsed="false">
      <c r="A103" s="18"/>
      <c r="B103" s="18"/>
      <c r="C103" s="18"/>
      <c r="D103" s="31" t="str">
        <f aca="false">IF($A103="","",IF(SUMPRODUCT(MAX((posicoes_fornecedor!$B$3:$B$1000=$A103)*posicoes_fornecedor!$A$3:$A$1000))=0,"",SUMPRODUCT(MAX((posicoes_fornecedor!$B$3:$B$1000=$A103)*posicoes_fornecedor!$A$3:$A$1000))))</f>
        <v/>
      </c>
      <c r="E103" s="13" t="str">
        <f aca="false">IF($D103="","",SUMIFS(posicoes_fornecedor!$C$3:$C$1000,posicoes_fornecedor!$B$3:$B$1000,$A103,posicoes_fornecedor!$A$3:$A$1000,$D103))</f>
        <v/>
      </c>
      <c r="F103" s="13" t="str">
        <f aca="false">IF($D103="","",SUMIFS(posicoes_fornecedor!$D$3:$D$1000,posicoes_fornecedor!$B$3:$B$1000,$A103,posicoes_fornecedor!$A$3:$A$1000,$D103))</f>
        <v/>
      </c>
      <c r="G103" s="13" t="str">
        <f aca="false">IF($D103="","",SUMIFS(posicoes_fornecedor!$E$3:$E$1000,posicoes_fornecedor!$B$3:$B$1000,$A103,posicoes_fornecedor!$A$3:$A$1000,$D103))</f>
        <v/>
      </c>
      <c r="H103" s="13" t="str">
        <f aca="false">IF($E103="","",$E103-$F103)</f>
        <v/>
      </c>
      <c r="I103" s="32" t="str">
        <f aca="false">IF(OR($E103="",$E103=0),"",$F103/$E103)</f>
        <v/>
      </c>
      <c r="J103" s="32" t="str">
        <f aca="false">IF(OR($E103="",$E103=0),"",$G103/$E103)</f>
        <v/>
      </c>
    </row>
    <row r="104" customFormat="false" ht="15" hidden="false" customHeight="false" outlineLevel="0" collapsed="false">
      <c r="A104" s="18"/>
      <c r="B104" s="18"/>
      <c r="C104" s="18"/>
      <c r="D104" s="31" t="str">
        <f aca="false">IF($A104="","",IF(SUMPRODUCT(MAX((posicoes_fornecedor!$B$3:$B$1000=$A104)*posicoes_fornecedor!$A$3:$A$1000))=0,"",SUMPRODUCT(MAX((posicoes_fornecedor!$B$3:$B$1000=$A104)*posicoes_fornecedor!$A$3:$A$1000))))</f>
        <v/>
      </c>
      <c r="E104" s="13" t="str">
        <f aca="false">IF($D104="","",SUMIFS(posicoes_fornecedor!$C$3:$C$1000,posicoes_fornecedor!$B$3:$B$1000,$A104,posicoes_fornecedor!$A$3:$A$1000,$D104))</f>
        <v/>
      </c>
      <c r="F104" s="13" t="str">
        <f aca="false">IF($D104="","",SUMIFS(posicoes_fornecedor!$D$3:$D$1000,posicoes_fornecedor!$B$3:$B$1000,$A104,posicoes_fornecedor!$A$3:$A$1000,$D104))</f>
        <v/>
      </c>
      <c r="G104" s="13" t="str">
        <f aca="false">IF($D104="","",SUMIFS(posicoes_fornecedor!$E$3:$E$1000,posicoes_fornecedor!$B$3:$B$1000,$A104,posicoes_fornecedor!$A$3:$A$1000,$D104))</f>
        <v/>
      </c>
      <c r="H104" s="13" t="str">
        <f aca="false">IF($E104="","",$E104-$F104)</f>
        <v/>
      </c>
      <c r="I104" s="32" t="str">
        <f aca="false">IF(OR($E104="",$E104=0),"",$F104/$E104)</f>
        <v/>
      </c>
      <c r="J104" s="32" t="str">
        <f aca="false">IF(OR($E104="",$E104=0),"",$G104/$E104)</f>
        <v/>
      </c>
    </row>
    <row r="105" customFormat="false" ht="15" hidden="false" customHeight="false" outlineLevel="0" collapsed="false">
      <c r="A105" s="18"/>
      <c r="B105" s="18"/>
      <c r="C105" s="18"/>
      <c r="D105" s="31" t="str">
        <f aca="false">IF($A105="","",IF(SUMPRODUCT(MAX((posicoes_fornecedor!$B$3:$B$1000=$A105)*posicoes_fornecedor!$A$3:$A$1000))=0,"",SUMPRODUCT(MAX((posicoes_fornecedor!$B$3:$B$1000=$A105)*posicoes_fornecedor!$A$3:$A$1000))))</f>
        <v/>
      </c>
      <c r="E105" s="13" t="str">
        <f aca="false">IF($D105="","",SUMIFS(posicoes_fornecedor!$C$3:$C$1000,posicoes_fornecedor!$B$3:$B$1000,$A105,posicoes_fornecedor!$A$3:$A$1000,$D105))</f>
        <v/>
      </c>
      <c r="F105" s="13" t="str">
        <f aca="false">IF($D105="","",SUMIFS(posicoes_fornecedor!$D$3:$D$1000,posicoes_fornecedor!$B$3:$B$1000,$A105,posicoes_fornecedor!$A$3:$A$1000,$D105))</f>
        <v/>
      </c>
      <c r="G105" s="13" t="str">
        <f aca="false">IF($D105="","",SUMIFS(posicoes_fornecedor!$E$3:$E$1000,posicoes_fornecedor!$B$3:$B$1000,$A105,posicoes_fornecedor!$A$3:$A$1000,$D105))</f>
        <v/>
      </c>
      <c r="H105" s="13" t="str">
        <f aca="false">IF($E105="","",$E105-$F105)</f>
        <v/>
      </c>
      <c r="I105" s="32" t="str">
        <f aca="false">IF(OR($E105="",$E105=0),"",$F105/$E105)</f>
        <v/>
      </c>
      <c r="J105" s="32" t="str">
        <f aca="false">IF(OR($E105="",$E105=0),"",$G105/$E105)</f>
        <v/>
      </c>
    </row>
    <row r="106" customFormat="false" ht="15" hidden="false" customHeight="false" outlineLevel="0" collapsed="false">
      <c r="A106" s="18"/>
      <c r="B106" s="18"/>
      <c r="C106" s="18"/>
      <c r="D106" s="31" t="str">
        <f aca="false">IF($A106="","",IF(SUMPRODUCT(MAX((posicoes_fornecedor!$B$3:$B$1000=$A106)*posicoes_fornecedor!$A$3:$A$1000))=0,"",SUMPRODUCT(MAX((posicoes_fornecedor!$B$3:$B$1000=$A106)*posicoes_fornecedor!$A$3:$A$1000))))</f>
        <v/>
      </c>
      <c r="E106" s="13" t="str">
        <f aca="false">IF($D106="","",SUMIFS(posicoes_fornecedor!$C$3:$C$1000,posicoes_fornecedor!$B$3:$B$1000,$A106,posicoes_fornecedor!$A$3:$A$1000,$D106))</f>
        <v/>
      </c>
      <c r="F106" s="13" t="str">
        <f aca="false">IF($D106="","",SUMIFS(posicoes_fornecedor!$D$3:$D$1000,posicoes_fornecedor!$B$3:$B$1000,$A106,posicoes_fornecedor!$A$3:$A$1000,$D106))</f>
        <v/>
      </c>
      <c r="G106" s="13" t="str">
        <f aca="false">IF($D106="","",SUMIFS(posicoes_fornecedor!$E$3:$E$1000,posicoes_fornecedor!$B$3:$B$1000,$A106,posicoes_fornecedor!$A$3:$A$1000,$D106))</f>
        <v/>
      </c>
      <c r="H106" s="13" t="str">
        <f aca="false">IF($E106="","",$E106-$F106)</f>
        <v/>
      </c>
      <c r="I106" s="32" t="str">
        <f aca="false">IF(OR($E106="",$E106=0),"",$F106/$E106)</f>
        <v/>
      </c>
      <c r="J106" s="32" t="str">
        <f aca="false">IF(OR($E106="",$E106=0),"",$G106/$E106)</f>
        <v/>
      </c>
    </row>
    <row r="107" customFormat="false" ht="15" hidden="false" customHeight="false" outlineLevel="0" collapsed="false">
      <c r="A107" s="18"/>
      <c r="B107" s="18"/>
      <c r="C107" s="18"/>
      <c r="D107" s="31" t="str">
        <f aca="false">IF($A107="","",IF(SUMPRODUCT(MAX((posicoes_fornecedor!$B$3:$B$1000=$A107)*posicoes_fornecedor!$A$3:$A$1000))=0,"",SUMPRODUCT(MAX((posicoes_fornecedor!$B$3:$B$1000=$A107)*posicoes_fornecedor!$A$3:$A$1000))))</f>
        <v/>
      </c>
      <c r="E107" s="13" t="str">
        <f aca="false">IF($D107="","",SUMIFS(posicoes_fornecedor!$C$3:$C$1000,posicoes_fornecedor!$B$3:$B$1000,$A107,posicoes_fornecedor!$A$3:$A$1000,$D107))</f>
        <v/>
      </c>
      <c r="F107" s="13" t="str">
        <f aca="false">IF($D107="","",SUMIFS(posicoes_fornecedor!$D$3:$D$1000,posicoes_fornecedor!$B$3:$B$1000,$A107,posicoes_fornecedor!$A$3:$A$1000,$D107))</f>
        <v/>
      </c>
      <c r="G107" s="13" t="str">
        <f aca="false">IF($D107="","",SUMIFS(posicoes_fornecedor!$E$3:$E$1000,posicoes_fornecedor!$B$3:$B$1000,$A107,posicoes_fornecedor!$A$3:$A$1000,$D107))</f>
        <v/>
      </c>
      <c r="H107" s="13" t="str">
        <f aca="false">IF($E107="","",$E107-$F107)</f>
        <v/>
      </c>
      <c r="I107" s="32" t="str">
        <f aca="false">IF(OR($E107="",$E107=0),"",$F107/$E107)</f>
        <v/>
      </c>
      <c r="J107" s="32" t="str">
        <f aca="false">IF(OR($E107="",$E107=0),"",$G107/$E107)</f>
        <v/>
      </c>
    </row>
    <row r="108" customFormat="false" ht="15" hidden="false" customHeight="false" outlineLevel="0" collapsed="false">
      <c r="A108" s="18"/>
      <c r="B108" s="18"/>
      <c r="C108" s="18"/>
      <c r="D108" s="31" t="str">
        <f aca="false">IF($A108="","",IF(SUMPRODUCT(MAX((posicoes_fornecedor!$B$3:$B$1000=$A108)*posicoes_fornecedor!$A$3:$A$1000))=0,"",SUMPRODUCT(MAX((posicoes_fornecedor!$B$3:$B$1000=$A108)*posicoes_fornecedor!$A$3:$A$1000))))</f>
        <v/>
      </c>
      <c r="E108" s="13" t="str">
        <f aca="false">IF($D108="","",SUMIFS(posicoes_fornecedor!$C$3:$C$1000,posicoes_fornecedor!$B$3:$B$1000,$A108,posicoes_fornecedor!$A$3:$A$1000,$D108))</f>
        <v/>
      </c>
      <c r="F108" s="13" t="str">
        <f aca="false">IF($D108="","",SUMIFS(posicoes_fornecedor!$D$3:$D$1000,posicoes_fornecedor!$B$3:$B$1000,$A108,posicoes_fornecedor!$A$3:$A$1000,$D108))</f>
        <v/>
      </c>
      <c r="G108" s="13" t="str">
        <f aca="false">IF($D108="","",SUMIFS(posicoes_fornecedor!$E$3:$E$1000,posicoes_fornecedor!$B$3:$B$1000,$A108,posicoes_fornecedor!$A$3:$A$1000,$D108))</f>
        <v/>
      </c>
      <c r="H108" s="13" t="str">
        <f aca="false">IF($E108="","",$E108-$F108)</f>
        <v/>
      </c>
      <c r="I108" s="32" t="str">
        <f aca="false">IF(OR($E108="",$E108=0),"",$F108/$E108)</f>
        <v/>
      </c>
      <c r="J108" s="32" t="str">
        <f aca="false">IF(OR($E108="",$E108=0),"",$G108/$E108)</f>
        <v/>
      </c>
    </row>
    <row r="109" customFormat="false" ht="15" hidden="false" customHeight="false" outlineLevel="0" collapsed="false">
      <c r="A109" s="18"/>
      <c r="B109" s="18"/>
      <c r="C109" s="18"/>
      <c r="D109" s="31" t="str">
        <f aca="false">IF($A109="","",IF(SUMPRODUCT(MAX((posicoes_fornecedor!$B$3:$B$1000=$A109)*posicoes_fornecedor!$A$3:$A$1000))=0,"",SUMPRODUCT(MAX((posicoes_fornecedor!$B$3:$B$1000=$A109)*posicoes_fornecedor!$A$3:$A$1000))))</f>
        <v/>
      </c>
      <c r="E109" s="13" t="str">
        <f aca="false">IF($D109="","",SUMIFS(posicoes_fornecedor!$C$3:$C$1000,posicoes_fornecedor!$B$3:$B$1000,$A109,posicoes_fornecedor!$A$3:$A$1000,$D109))</f>
        <v/>
      </c>
      <c r="F109" s="13" t="str">
        <f aca="false">IF($D109="","",SUMIFS(posicoes_fornecedor!$D$3:$D$1000,posicoes_fornecedor!$B$3:$B$1000,$A109,posicoes_fornecedor!$A$3:$A$1000,$D109))</f>
        <v/>
      </c>
      <c r="G109" s="13" t="str">
        <f aca="false">IF($D109="","",SUMIFS(posicoes_fornecedor!$E$3:$E$1000,posicoes_fornecedor!$B$3:$B$1000,$A109,posicoes_fornecedor!$A$3:$A$1000,$D109))</f>
        <v/>
      </c>
      <c r="H109" s="13" t="str">
        <f aca="false">IF($E109="","",$E109-$F109)</f>
        <v/>
      </c>
      <c r="I109" s="32" t="str">
        <f aca="false">IF(OR($E109="",$E109=0),"",$F109/$E109)</f>
        <v/>
      </c>
      <c r="J109" s="32" t="str">
        <f aca="false">IF(OR($E109="",$E109=0),"",$G109/$E109)</f>
        <v/>
      </c>
    </row>
    <row r="110" customFormat="false" ht="15" hidden="false" customHeight="false" outlineLevel="0" collapsed="false">
      <c r="A110" s="18"/>
      <c r="B110" s="18"/>
      <c r="C110" s="18"/>
      <c r="D110" s="31" t="str">
        <f aca="false">IF($A110="","",IF(SUMPRODUCT(MAX((posicoes_fornecedor!$B$3:$B$1000=$A110)*posicoes_fornecedor!$A$3:$A$1000))=0,"",SUMPRODUCT(MAX((posicoes_fornecedor!$B$3:$B$1000=$A110)*posicoes_fornecedor!$A$3:$A$1000))))</f>
        <v/>
      </c>
      <c r="E110" s="13" t="str">
        <f aca="false">IF($D110="","",SUMIFS(posicoes_fornecedor!$C$3:$C$1000,posicoes_fornecedor!$B$3:$B$1000,$A110,posicoes_fornecedor!$A$3:$A$1000,$D110))</f>
        <v/>
      </c>
      <c r="F110" s="13" t="str">
        <f aca="false">IF($D110="","",SUMIFS(posicoes_fornecedor!$D$3:$D$1000,posicoes_fornecedor!$B$3:$B$1000,$A110,posicoes_fornecedor!$A$3:$A$1000,$D110))</f>
        <v/>
      </c>
      <c r="G110" s="13" t="str">
        <f aca="false">IF($D110="","",SUMIFS(posicoes_fornecedor!$E$3:$E$1000,posicoes_fornecedor!$B$3:$B$1000,$A110,posicoes_fornecedor!$A$3:$A$1000,$D110))</f>
        <v/>
      </c>
      <c r="H110" s="13" t="str">
        <f aca="false">IF($E110="","",$E110-$F110)</f>
        <v/>
      </c>
      <c r="I110" s="32" t="str">
        <f aca="false">IF(OR($E110="",$E110=0),"",$F110/$E110)</f>
        <v/>
      </c>
      <c r="J110" s="32" t="str">
        <f aca="false">IF(OR($E110="",$E110=0),"",$G110/$E110)</f>
        <v/>
      </c>
    </row>
    <row r="111" customFormat="false" ht="15" hidden="false" customHeight="false" outlineLevel="0" collapsed="false">
      <c r="A111" s="18"/>
      <c r="B111" s="18"/>
      <c r="C111" s="18"/>
      <c r="D111" s="31" t="str">
        <f aca="false">IF($A111="","",IF(SUMPRODUCT(MAX((posicoes_fornecedor!$B$3:$B$1000=$A111)*posicoes_fornecedor!$A$3:$A$1000))=0,"",SUMPRODUCT(MAX((posicoes_fornecedor!$B$3:$B$1000=$A111)*posicoes_fornecedor!$A$3:$A$1000))))</f>
        <v/>
      </c>
      <c r="E111" s="13" t="str">
        <f aca="false">IF($D111="","",SUMIFS(posicoes_fornecedor!$C$3:$C$1000,posicoes_fornecedor!$B$3:$B$1000,$A111,posicoes_fornecedor!$A$3:$A$1000,$D111))</f>
        <v/>
      </c>
      <c r="F111" s="13" t="str">
        <f aca="false">IF($D111="","",SUMIFS(posicoes_fornecedor!$D$3:$D$1000,posicoes_fornecedor!$B$3:$B$1000,$A111,posicoes_fornecedor!$A$3:$A$1000,$D111))</f>
        <v/>
      </c>
      <c r="G111" s="13" t="str">
        <f aca="false">IF($D111="","",SUMIFS(posicoes_fornecedor!$E$3:$E$1000,posicoes_fornecedor!$B$3:$B$1000,$A111,posicoes_fornecedor!$A$3:$A$1000,$D111))</f>
        <v/>
      </c>
      <c r="H111" s="13" t="str">
        <f aca="false">IF($E111="","",$E111-$F111)</f>
        <v/>
      </c>
      <c r="I111" s="32" t="str">
        <f aca="false">IF(OR($E111="",$E111=0),"",$F111/$E111)</f>
        <v/>
      </c>
      <c r="J111" s="32" t="str">
        <f aca="false">IF(OR($E111="",$E111=0),"",$G111/$E111)</f>
        <v/>
      </c>
    </row>
    <row r="112" customFormat="false" ht="15" hidden="false" customHeight="false" outlineLevel="0" collapsed="false">
      <c r="A112" s="18"/>
      <c r="B112" s="18"/>
      <c r="C112" s="18"/>
      <c r="D112" s="31" t="str">
        <f aca="false">IF($A112="","",IF(SUMPRODUCT(MAX((posicoes_fornecedor!$B$3:$B$1000=$A112)*posicoes_fornecedor!$A$3:$A$1000))=0,"",SUMPRODUCT(MAX((posicoes_fornecedor!$B$3:$B$1000=$A112)*posicoes_fornecedor!$A$3:$A$1000))))</f>
        <v/>
      </c>
      <c r="E112" s="13" t="str">
        <f aca="false">IF($D112="","",SUMIFS(posicoes_fornecedor!$C$3:$C$1000,posicoes_fornecedor!$B$3:$B$1000,$A112,posicoes_fornecedor!$A$3:$A$1000,$D112))</f>
        <v/>
      </c>
      <c r="F112" s="13" t="str">
        <f aca="false">IF($D112="","",SUMIFS(posicoes_fornecedor!$D$3:$D$1000,posicoes_fornecedor!$B$3:$B$1000,$A112,posicoes_fornecedor!$A$3:$A$1000,$D112))</f>
        <v/>
      </c>
      <c r="G112" s="13" t="str">
        <f aca="false">IF($D112="","",SUMIFS(posicoes_fornecedor!$E$3:$E$1000,posicoes_fornecedor!$B$3:$B$1000,$A112,posicoes_fornecedor!$A$3:$A$1000,$D112))</f>
        <v/>
      </c>
      <c r="H112" s="13" t="str">
        <f aca="false">IF($E112="","",$E112-$F112)</f>
        <v/>
      </c>
      <c r="I112" s="32" t="str">
        <f aca="false">IF(OR($E112="",$E112=0),"",$F112/$E112)</f>
        <v/>
      </c>
      <c r="J112" s="32" t="str">
        <f aca="false">IF(OR($E112="",$E112=0),"",$G112/$E112)</f>
        <v/>
      </c>
    </row>
    <row r="113" customFormat="false" ht="15" hidden="false" customHeight="false" outlineLevel="0" collapsed="false">
      <c r="A113" s="18"/>
      <c r="B113" s="18"/>
      <c r="C113" s="18"/>
      <c r="D113" s="31" t="str">
        <f aca="false">IF($A113="","",IF(SUMPRODUCT(MAX((posicoes_fornecedor!$B$3:$B$1000=$A113)*posicoes_fornecedor!$A$3:$A$1000))=0,"",SUMPRODUCT(MAX((posicoes_fornecedor!$B$3:$B$1000=$A113)*posicoes_fornecedor!$A$3:$A$1000))))</f>
        <v/>
      </c>
      <c r="E113" s="13" t="str">
        <f aca="false">IF($D113="","",SUMIFS(posicoes_fornecedor!$C$3:$C$1000,posicoes_fornecedor!$B$3:$B$1000,$A113,posicoes_fornecedor!$A$3:$A$1000,$D113))</f>
        <v/>
      </c>
      <c r="F113" s="13" t="str">
        <f aca="false">IF($D113="","",SUMIFS(posicoes_fornecedor!$D$3:$D$1000,posicoes_fornecedor!$B$3:$B$1000,$A113,posicoes_fornecedor!$A$3:$A$1000,$D113))</f>
        <v/>
      </c>
      <c r="G113" s="13" t="str">
        <f aca="false">IF($D113="","",SUMIFS(posicoes_fornecedor!$E$3:$E$1000,posicoes_fornecedor!$B$3:$B$1000,$A113,posicoes_fornecedor!$A$3:$A$1000,$D113))</f>
        <v/>
      </c>
      <c r="H113" s="13" t="str">
        <f aca="false">IF($E113="","",$E113-$F113)</f>
        <v/>
      </c>
      <c r="I113" s="32" t="str">
        <f aca="false">IF(OR($E113="",$E113=0),"",$F113/$E113)</f>
        <v/>
      </c>
      <c r="J113" s="32" t="str">
        <f aca="false">IF(OR($E113="",$E113=0),"",$G113/$E113)</f>
        <v/>
      </c>
    </row>
    <row r="114" customFormat="false" ht="15" hidden="false" customHeight="false" outlineLevel="0" collapsed="false">
      <c r="A114" s="18"/>
      <c r="B114" s="18"/>
      <c r="C114" s="18"/>
      <c r="D114" s="31" t="str">
        <f aca="false">IF($A114="","",IF(SUMPRODUCT(MAX((posicoes_fornecedor!$B$3:$B$1000=$A114)*posicoes_fornecedor!$A$3:$A$1000))=0,"",SUMPRODUCT(MAX((posicoes_fornecedor!$B$3:$B$1000=$A114)*posicoes_fornecedor!$A$3:$A$1000))))</f>
        <v/>
      </c>
      <c r="E114" s="13" t="str">
        <f aca="false">IF($D114="","",SUMIFS(posicoes_fornecedor!$C$3:$C$1000,posicoes_fornecedor!$B$3:$B$1000,$A114,posicoes_fornecedor!$A$3:$A$1000,$D114))</f>
        <v/>
      </c>
      <c r="F114" s="13" t="str">
        <f aca="false">IF($D114="","",SUMIFS(posicoes_fornecedor!$D$3:$D$1000,posicoes_fornecedor!$B$3:$B$1000,$A114,posicoes_fornecedor!$A$3:$A$1000,$D114))</f>
        <v/>
      </c>
      <c r="G114" s="13" t="str">
        <f aca="false">IF($D114="","",SUMIFS(posicoes_fornecedor!$E$3:$E$1000,posicoes_fornecedor!$B$3:$B$1000,$A114,posicoes_fornecedor!$A$3:$A$1000,$D114))</f>
        <v/>
      </c>
      <c r="H114" s="13" t="str">
        <f aca="false">IF($E114="","",$E114-$F114)</f>
        <v/>
      </c>
      <c r="I114" s="32" t="str">
        <f aca="false">IF(OR($E114="",$E114=0),"",$F114/$E114)</f>
        <v/>
      </c>
      <c r="J114" s="32" t="str">
        <f aca="false">IF(OR($E114="",$E114=0),"",$G114/$E114)</f>
        <v/>
      </c>
    </row>
    <row r="115" customFormat="false" ht="15" hidden="false" customHeight="false" outlineLevel="0" collapsed="false">
      <c r="A115" s="18"/>
      <c r="B115" s="18"/>
      <c r="C115" s="18"/>
      <c r="D115" s="31" t="str">
        <f aca="false">IF($A115="","",IF(SUMPRODUCT(MAX((posicoes_fornecedor!$B$3:$B$1000=$A115)*posicoes_fornecedor!$A$3:$A$1000))=0,"",SUMPRODUCT(MAX((posicoes_fornecedor!$B$3:$B$1000=$A115)*posicoes_fornecedor!$A$3:$A$1000))))</f>
        <v/>
      </c>
      <c r="E115" s="13" t="str">
        <f aca="false">IF($D115="","",SUMIFS(posicoes_fornecedor!$C$3:$C$1000,posicoes_fornecedor!$B$3:$B$1000,$A115,posicoes_fornecedor!$A$3:$A$1000,$D115))</f>
        <v/>
      </c>
      <c r="F115" s="13" t="str">
        <f aca="false">IF($D115="","",SUMIFS(posicoes_fornecedor!$D$3:$D$1000,posicoes_fornecedor!$B$3:$B$1000,$A115,posicoes_fornecedor!$A$3:$A$1000,$D115))</f>
        <v/>
      </c>
      <c r="G115" s="13" t="str">
        <f aca="false">IF($D115="","",SUMIFS(posicoes_fornecedor!$E$3:$E$1000,posicoes_fornecedor!$B$3:$B$1000,$A115,posicoes_fornecedor!$A$3:$A$1000,$D115))</f>
        <v/>
      </c>
      <c r="H115" s="13" t="str">
        <f aca="false">IF($E115="","",$E115-$F115)</f>
        <v/>
      </c>
      <c r="I115" s="32" t="str">
        <f aca="false">IF(OR($E115="",$E115=0),"",$F115/$E115)</f>
        <v/>
      </c>
      <c r="J115" s="32" t="str">
        <f aca="false">IF(OR($E115="",$E115=0),"",$G115/$E115)</f>
        <v/>
      </c>
    </row>
    <row r="116" customFormat="false" ht="15" hidden="false" customHeight="false" outlineLevel="0" collapsed="false">
      <c r="A116" s="18"/>
      <c r="B116" s="18"/>
      <c r="C116" s="18"/>
      <c r="D116" s="31" t="str">
        <f aca="false">IF($A116="","",IF(SUMPRODUCT(MAX((posicoes_fornecedor!$B$3:$B$1000=$A116)*posicoes_fornecedor!$A$3:$A$1000))=0,"",SUMPRODUCT(MAX((posicoes_fornecedor!$B$3:$B$1000=$A116)*posicoes_fornecedor!$A$3:$A$1000))))</f>
        <v/>
      </c>
      <c r="E116" s="13" t="str">
        <f aca="false">IF($D116="","",SUMIFS(posicoes_fornecedor!$C$3:$C$1000,posicoes_fornecedor!$B$3:$B$1000,$A116,posicoes_fornecedor!$A$3:$A$1000,$D116))</f>
        <v/>
      </c>
      <c r="F116" s="13" t="str">
        <f aca="false">IF($D116="","",SUMIFS(posicoes_fornecedor!$D$3:$D$1000,posicoes_fornecedor!$B$3:$B$1000,$A116,posicoes_fornecedor!$A$3:$A$1000,$D116))</f>
        <v/>
      </c>
      <c r="G116" s="13" t="str">
        <f aca="false">IF($D116="","",SUMIFS(posicoes_fornecedor!$E$3:$E$1000,posicoes_fornecedor!$B$3:$B$1000,$A116,posicoes_fornecedor!$A$3:$A$1000,$D116))</f>
        <v/>
      </c>
      <c r="H116" s="13" t="str">
        <f aca="false">IF($E116="","",$E116-$F116)</f>
        <v/>
      </c>
      <c r="I116" s="32" t="str">
        <f aca="false">IF(OR($E116="",$E116=0),"",$F116/$E116)</f>
        <v/>
      </c>
      <c r="J116" s="32" t="str">
        <f aca="false">IF(OR($E116="",$E116=0),"",$G116/$E116)</f>
        <v/>
      </c>
    </row>
    <row r="117" customFormat="false" ht="15" hidden="false" customHeight="false" outlineLevel="0" collapsed="false">
      <c r="A117" s="18"/>
      <c r="B117" s="18"/>
      <c r="C117" s="18"/>
      <c r="D117" s="31" t="str">
        <f aca="false">IF($A117="","",IF(SUMPRODUCT(MAX((posicoes_fornecedor!$B$3:$B$1000=$A117)*posicoes_fornecedor!$A$3:$A$1000))=0,"",SUMPRODUCT(MAX((posicoes_fornecedor!$B$3:$B$1000=$A117)*posicoes_fornecedor!$A$3:$A$1000))))</f>
        <v/>
      </c>
      <c r="E117" s="13" t="str">
        <f aca="false">IF($D117="","",SUMIFS(posicoes_fornecedor!$C$3:$C$1000,posicoes_fornecedor!$B$3:$B$1000,$A117,posicoes_fornecedor!$A$3:$A$1000,$D117))</f>
        <v/>
      </c>
      <c r="F117" s="13" t="str">
        <f aca="false">IF($D117="","",SUMIFS(posicoes_fornecedor!$D$3:$D$1000,posicoes_fornecedor!$B$3:$B$1000,$A117,posicoes_fornecedor!$A$3:$A$1000,$D117))</f>
        <v/>
      </c>
      <c r="G117" s="13" t="str">
        <f aca="false">IF($D117="","",SUMIFS(posicoes_fornecedor!$E$3:$E$1000,posicoes_fornecedor!$B$3:$B$1000,$A117,posicoes_fornecedor!$A$3:$A$1000,$D117))</f>
        <v/>
      </c>
      <c r="H117" s="13" t="str">
        <f aca="false">IF($E117="","",$E117-$F117)</f>
        <v/>
      </c>
      <c r="I117" s="32" t="str">
        <f aca="false">IF(OR($E117="",$E117=0),"",$F117/$E117)</f>
        <v/>
      </c>
      <c r="J117" s="32" t="str">
        <f aca="false">IF(OR($E117="",$E117=0),"",$G117/$E117)</f>
        <v/>
      </c>
    </row>
    <row r="118" customFormat="false" ht="15" hidden="false" customHeight="false" outlineLevel="0" collapsed="false">
      <c r="A118" s="18"/>
      <c r="B118" s="18"/>
      <c r="C118" s="18"/>
      <c r="D118" s="31" t="str">
        <f aca="false">IF($A118="","",IF(SUMPRODUCT(MAX((posicoes_fornecedor!$B$3:$B$1000=$A118)*posicoes_fornecedor!$A$3:$A$1000))=0,"",SUMPRODUCT(MAX((posicoes_fornecedor!$B$3:$B$1000=$A118)*posicoes_fornecedor!$A$3:$A$1000))))</f>
        <v/>
      </c>
      <c r="E118" s="13" t="str">
        <f aca="false">IF($D118="","",SUMIFS(posicoes_fornecedor!$C$3:$C$1000,posicoes_fornecedor!$B$3:$B$1000,$A118,posicoes_fornecedor!$A$3:$A$1000,$D118))</f>
        <v/>
      </c>
      <c r="F118" s="13" t="str">
        <f aca="false">IF($D118="","",SUMIFS(posicoes_fornecedor!$D$3:$D$1000,posicoes_fornecedor!$B$3:$B$1000,$A118,posicoes_fornecedor!$A$3:$A$1000,$D118))</f>
        <v/>
      </c>
      <c r="G118" s="13" t="str">
        <f aca="false">IF($D118="","",SUMIFS(posicoes_fornecedor!$E$3:$E$1000,posicoes_fornecedor!$B$3:$B$1000,$A118,posicoes_fornecedor!$A$3:$A$1000,$D118))</f>
        <v/>
      </c>
      <c r="H118" s="13" t="str">
        <f aca="false">IF($E118="","",$E118-$F118)</f>
        <v/>
      </c>
      <c r="I118" s="32" t="str">
        <f aca="false">IF(OR($E118="",$E118=0),"",$F118/$E118)</f>
        <v/>
      </c>
      <c r="J118" s="32" t="str">
        <f aca="false">IF(OR($E118="",$E118=0),"",$G118/$E118)</f>
        <v/>
      </c>
    </row>
    <row r="119" customFormat="false" ht="15" hidden="false" customHeight="false" outlineLevel="0" collapsed="false">
      <c r="A119" s="18"/>
      <c r="B119" s="18"/>
      <c r="C119" s="18"/>
      <c r="D119" s="31" t="str">
        <f aca="false">IF($A119="","",IF(SUMPRODUCT(MAX((posicoes_fornecedor!$B$3:$B$1000=$A119)*posicoes_fornecedor!$A$3:$A$1000))=0,"",SUMPRODUCT(MAX((posicoes_fornecedor!$B$3:$B$1000=$A119)*posicoes_fornecedor!$A$3:$A$1000))))</f>
        <v/>
      </c>
      <c r="E119" s="13" t="str">
        <f aca="false">IF($D119="","",SUMIFS(posicoes_fornecedor!$C$3:$C$1000,posicoes_fornecedor!$B$3:$B$1000,$A119,posicoes_fornecedor!$A$3:$A$1000,$D119))</f>
        <v/>
      </c>
      <c r="F119" s="13" t="str">
        <f aca="false">IF($D119="","",SUMIFS(posicoes_fornecedor!$D$3:$D$1000,posicoes_fornecedor!$B$3:$B$1000,$A119,posicoes_fornecedor!$A$3:$A$1000,$D119))</f>
        <v/>
      </c>
      <c r="G119" s="13" t="str">
        <f aca="false">IF($D119="","",SUMIFS(posicoes_fornecedor!$E$3:$E$1000,posicoes_fornecedor!$B$3:$B$1000,$A119,posicoes_fornecedor!$A$3:$A$1000,$D119))</f>
        <v/>
      </c>
      <c r="H119" s="13" t="str">
        <f aca="false">IF($E119="","",$E119-$F119)</f>
        <v/>
      </c>
      <c r="I119" s="32" t="str">
        <f aca="false">IF(OR($E119="",$E119=0),"",$F119/$E119)</f>
        <v/>
      </c>
      <c r="J119" s="32" t="str">
        <f aca="false">IF(OR($E119="",$E119=0),"",$G119/$E119)</f>
        <v/>
      </c>
    </row>
    <row r="120" customFormat="false" ht="15" hidden="false" customHeight="false" outlineLevel="0" collapsed="false">
      <c r="A120" s="18"/>
      <c r="B120" s="18"/>
      <c r="C120" s="18"/>
      <c r="D120" s="31" t="str">
        <f aca="false">IF($A120="","",IF(SUMPRODUCT(MAX((posicoes_fornecedor!$B$3:$B$1000=$A120)*posicoes_fornecedor!$A$3:$A$1000))=0,"",SUMPRODUCT(MAX((posicoes_fornecedor!$B$3:$B$1000=$A120)*posicoes_fornecedor!$A$3:$A$1000))))</f>
        <v/>
      </c>
      <c r="E120" s="13" t="str">
        <f aca="false">IF($D120="","",SUMIFS(posicoes_fornecedor!$C$3:$C$1000,posicoes_fornecedor!$B$3:$B$1000,$A120,posicoes_fornecedor!$A$3:$A$1000,$D120))</f>
        <v/>
      </c>
      <c r="F120" s="13" t="str">
        <f aca="false">IF($D120="","",SUMIFS(posicoes_fornecedor!$D$3:$D$1000,posicoes_fornecedor!$B$3:$B$1000,$A120,posicoes_fornecedor!$A$3:$A$1000,$D120))</f>
        <v/>
      </c>
      <c r="G120" s="13" t="str">
        <f aca="false">IF($D120="","",SUMIFS(posicoes_fornecedor!$E$3:$E$1000,posicoes_fornecedor!$B$3:$B$1000,$A120,posicoes_fornecedor!$A$3:$A$1000,$D120))</f>
        <v/>
      </c>
      <c r="H120" s="13" t="str">
        <f aca="false">IF($E120="","",$E120-$F120)</f>
        <v/>
      </c>
      <c r="I120" s="32" t="str">
        <f aca="false">IF(OR($E120="",$E120=0),"",$F120/$E120)</f>
        <v/>
      </c>
      <c r="J120" s="32" t="str">
        <f aca="false">IF(OR($E120="",$E120=0),"",$G120/$E120)</f>
        <v/>
      </c>
    </row>
    <row r="121" customFormat="false" ht="15" hidden="false" customHeight="false" outlineLevel="0" collapsed="false">
      <c r="A121" s="18"/>
      <c r="B121" s="18"/>
      <c r="C121" s="18"/>
      <c r="D121" s="31" t="str">
        <f aca="false">IF($A121="","",IF(SUMPRODUCT(MAX((posicoes_fornecedor!$B$3:$B$1000=$A121)*posicoes_fornecedor!$A$3:$A$1000))=0,"",SUMPRODUCT(MAX((posicoes_fornecedor!$B$3:$B$1000=$A121)*posicoes_fornecedor!$A$3:$A$1000))))</f>
        <v/>
      </c>
      <c r="E121" s="13" t="str">
        <f aca="false">IF($D121="","",SUMIFS(posicoes_fornecedor!$C$3:$C$1000,posicoes_fornecedor!$B$3:$B$1000,$A121,posicoes_fornecedor!$A$3:$A$1000,$D121))</f>
        <v/>
      </c>
      <c r="F121" s="13" t="str">
        <f aca="false">IF($D121="","",SUMIFS(posicoes_fornecedor!$D$3:$D$1000,posicoes_fornecedor!$B$3:$B$1000,$A121,posicoes_fornecedor!$A$3:$A$1000,$D121))</f>
        <v/>
      </c>
      <c r="G121" s="13" t="str">
        <f aca="false">IF($D121="","",SUMIFS(posicoes_fornecedor!$E$3:$E$1000,posicoes_fornecedor!$B$3:$B$1000,$A121,posicoes_fornecedor!$A$3:$A$1000,$D121))</f>
        <v/>
      </c>
      <c r="H121" s="13" t="str">
        <f aca="false">IF($E121="","",$E121-$F121)</f>
        <v/>
      </c>
      <c r="I121" s="32" t="str">
        <f aca="false">IF(OR($E121="",$E121=0),"",$F121/$E121)</f>
        <v/>
      </c>
      <c r="J121" s="32" t="str">
        <f aca="false">IF(OR($E121="",$E121=0),"",$G121/$E121)</f>
        <v/>
      </c>
    </row>
    <row r="122" customFormat="false" ht="15" hidden="false" customHeight="false" outlineLevel="0" collapsed="false">
      <c r="A122" s="18"/>
      <c r="B122" s="18"/>
      <c r="C122" s="18"/>
      <c r="D122" s="31" t="str">
        <f aca="false">IF($A122="","",IF(SUMPRODUCT(MAX((posicoes_fornecedor!$B$3:$B$1000=$A122)*posicoes_fornecedor!$A$3:$A$1000))=0,"",SUMPRODUCT(MAX((posicoes_fornecedor!$B$3:$B$1000=$A122)*posicoes_fornecedor!$A$3:$A$1000))))</f>
        <v/>
      </c>
      <c r="E122" s="13" t="str">
        <f aca="false">IF($D122="","",SUMIFS(posicoes_fornecedor!$C$3:$C$1000,posicoes_fornecedor!$B$3:$B$1000,$A122,posicoes_fornecedor!$A$3:$A$1000,$D122))</f>
        <v/>
      </c>
      <c r="F122" s="13" t="str">
        <f aca="false">IF($D122="","",SUMIFS(posicoes_fornecedor!$D$3:$D$1000,posicoes_fornecedor!$B$3:$B$1000,$A122,posicoes_fornecedor!$A$3:$A$1000,$D122))</f>
        <v/>
      </c>
      <c r="G122" s="13" t="str">
        <f aca="false">IF($D122="","",SUMIFS(posicoes_fornecedor!$E$3:$E$1000,posicoes_fornecedor!$B$3:$B$1000,$A122,posicoes_fornecedor!$A$3:$A$1000,$D122))</f>
        <v/>
      </c>
      <c r="H122" s="13" t="str">
        <f aca="false">IF($E122="","",$E122-$F122)</f>
        <v/>
      </c>
      <c r="I122" s="32" t="str">
        <f aca="false">IF(OR($E122="",$E122=0),"",$F122/$E122)</f>
        <v/>
      </c>
      <c r="J122" s="32" t="str">
        <f aca="false">IF(OR($E122="",$E122=0),"",$G122/$E122)</f>
        <v/>
      </c>
    </row>
    <row r="123" customFormat="false" ht="15" hidden="false" customHeight="false" outlineLevel="0" collapsed="false">
      <c r="A123" s="18"/>
      <c r="B123" s="18"/>
      <c r="C123" s="18"/>
      <c r="D123" s="31" t="str">
        <f aca="false">IF($A123="","",IF(SUMPRODUCT(MAX((posicoes_fornecedor!$B$3:$B$1000=$A123)*posicoes_fornecedor!$A$3:$A$1000))=0,"",SUMPRODUCT(MAX((posicoes_fornecedor!$B$3:$B$1000=$A123)*posicoes_fornecedor!$A$3:$A$1000))))</f>
        <v/>
      </c>
      <c r="E123" s="13" t="str">
        <f aca="false">IF($D123="","",SUMIFS(posicoes_fornecedor!$C$3:$C$1000,posicoes_fornecedor!$B$3:$B$1000,$A123,posicoes_fornecedor!$A$3:$A$1000,$D123))</f>
        <v/>
      </c>
      <c r="F123" s="13" t="str">
        <f aca="false">IF($D123="","",SUMIFS(posicoes_fornecedor!$D$3:$D$1000,posicoes_fornecedor!$B$3:$B$1000,$A123,posicoes_fornecedor!$A$3:$A$1000,$D123))</f>
        <v/>
      </c>
      <c r="G123" s="13" t="str">
        <f aca="false">IF($D123="","",SUMIFS(posicoes_fornecedor!$E$3:$E$1000,posicoes_fornecedor!$B$3:$B$1000,$A123,posicoes_fornecedor!$A$3:$A$1000,$D123))</f>
        <v/>
      </c>
      <c r="H123" s="13" t="str">
        <f aca="false">IF($E123="","",$E123-$F123)</f>
        <v/>
      </c>
      <c r="I123" s="32" t="str">
        <f aca="false">IF(OR($E123="",$E123=0),"",$F123/$E123)</f>
        <v/>
      </c>
      <c r="J123" s="32" t="str">
        <f aca="false">IF(OR($E123="",$E123=0),"",$G123/$E123)</f>
        <v/>
      </c>
    </row>
    <row r="124" customFormat="false" ht="15" hidden="false" customHeight="false" outlineLevel="0" collapsed="false">
      <c r="A124" s="18"/>
      <c r="B124" s="18"/>
      <c r="C124" s="18"/>
      <c r="D124" s="31" t="str">
        <f aca="false">IF($A124="","",IF(SUMPRODUCT(MAX((posicoes_fornecedor!$B$3:$B$1000=$A124)*posicoes_fornecedor!$A$3:$A$1000))=0,"",SUMPRODUCT(MAX((posicoes_fornecedor!$B$3:$B$1000=$A124)*posicoes_fornecedor!$A$3:$A$1000))))</f>
        <v/>
      </c>
      <c r="E124" s="13" t="str">
        <f aca="false">IF($D124="","",SUMIFS(posicoes_fornecedor!$C$3:$C$1000,posicoes_fornecedor!$B$3:$B$1000,$A124,posicoes_fornecedor!$A$3:$A$1000,$D124))</f>
        <v/>
      </c>
      <c r="F124" s="13" t="str">
        <f aca="false">IF($D124="","",SUMIFS(posicoes_fornecedor!$D$3:$D$1000,posicoes_fornecedor!$B$3:$B$1000,$A124,posicoes_fornecedor!$A$3:$A$1000,$D124))</f>
        <v/>
      </c>
      <c r="G124" s="13" t="str">
        <f aca="false">IF($D124="","",SUMIFS(posicoes_fornecedor!$E$3:$E$1000,posicoes_fornecedor!$B$3:$B$1000,$A124,posicoes_fornecedor!$A$3:$A$1000,$D124))</f>
        <v/>
      </c>
      <c r="H124" s="13" t="str">
        <f aca="false">IF($E124="","",$E124-$F124)</f>
        <v/>
      </c>
      <c r="I124" s="32" t="str">
        <f aca="false">IF(OR($E124="",$E124=0),"",$F124/$E124)</f>
        <v/>
      </c>
      <c r="J124" s="32" t="str">
        <f aca="false">IF(OR($E124="",$E124=0),"",$G124/$E124)</f>
        <v/>
      </c>
    </row>
    <row r="125" customFormat="false" ht="15" hidden="false" customHeight="false" outlineLevel="0" collapsed="false">
      <c r="A125" s="18"/>
      <c r="B125" s="18"/>
      <c r="C125" s="18"/>
      <c r="D125" s="31" t="str">
        <f aca="false">IF($A125="","",IF(SUMPRODUCT(MAX((posicoes_fornecedor!$B$3:$B$1000=$A125)*posicoes_fornecedor!$A$3:$A$1000))=0,"",SUMPRODUCT(MAX((posicoes_fornecedor!$B$3:$B$1000=$A125)*posicoes_fornecedor!$A$3:$A$1000))))</f>
        <v/>
      </c>
      <c r="E125" s="13" t="str">
        <f aca="false">IF($D125="","",SUMIFS(posicoes_fornecedor!$C$3:$C$1000,posicoes_fornecedor!$B$3:$B$1000,$A125,posicoes_fornecedor!$A$3:$A$1000,$D125))</f>
        <v/>
      </c>
      <c r="F125" s="13" t="str">
        <f aca="false">IF($D125="","",SUMIFS(posicoes_fornecedor!$D$3:$D$1000,posicoes_fornecedor!$B$3:$B$1000,$A125,posicoes_fornecedor!$A$3:$A$1000,$D125))</f>
        <v/>
      </c>
      <c r="G125" s="13" t="str">
        <f aca="false">IF($D125="","",SUMIFS(posicoes_fornecedor!$E$3:$E$1000,posicoes_fornecedor!$B$3:$B$1000,$A125,posicoes_fornecedor!$A$3:$A$1000,$D125))</f>
        <v/>
      </c>
      <c r="H125" s="13" t="str">
        <f aca="false">IF($E125="","",$E125-$F125)</f>
        <v/>
      </c>
      <c r="I125" s="32" t="str">
        <f aca="false">IF(OR($E125="",$E125=0),"",$F125/$E125)</f>
        <v/>
      </c>
      <c r="J125" s="32" t="str">
        <f aca="false">IF(OR($E125="",$E125=0),"",$G125/$E125)</f>
        <v/>
      </c>
    </row>
    <row r="126" customFormat="false" ht="15" hidden="false" customHeight="false" outlineLevel="0" collapsed="false">
      <c r="A126" s="18"/>
      <c r="B126" s="18"/>
      <c r="C126" s="18"/>
      <c r="D126" s="31" t="str">
        <f aca="false">IF($A126="","",IF(SUMPRODUCT(MAX((posicoes_fornecedor!$B$3:$B$1000=$A126)*posicoes_fornecedor!$A$3:$A$1000))=0,"",SUMPRODUCT(MAX((posicoes_fornecedor!$B$3:$B$1000=$A126)*posicoes_fornecedor!$A$3:$A$1000))))</f>
        <v/>
      </c>
      <c r="E126" s="13" t="str">
        <f aca="false">IF($D126="","",SUMIFS(posicoes_fornecedor!$C$3:$C$1000,posicoes_fornecedor!$B$3:$B$1000,$A126,posicoes_fornecedor!$A$3:$A$1000,$D126))</f>
        <v/>
      </c>
      <c r="F126" s="13" t="str">
        <f aca="false">IF($D126="","",SUMIFS(posicoes_fornecedor!$D$3:$D$1000,posicoes_fornecedor!$B$3:$B$1000,$A126,posicoes_fornecedor!$A$3:$A$1000,$D126))</f>
        <v/>
      </c>
      <c r="G126" s="13" t="str">
        <f aca="false">IF($D126="","",SUMIFS(posicoes_fornecedor!$E$3:$E$1000,posicoes_fornecedor!$B$3:$B$1000,$A126,posicoes_fornecedor!$A$3:$A$1000,$D126))</f>
        <v/>
      </c>
      <c r="H126" s="13" t="str">
        <f aca="false">IF($E126="","",$E126-$F126)</f>
        <v/>
      </c>
      <c r="I126" s="32" t="str">
        <f aca="false">IF(OR($E126="",$E126=0),"",$F126/$E126)</f>
        <v/>
      </c>
      <c r="J126" s="32" t="str">
        <f aca="false">IF(OR($E126="",$E126=0),"",$G126/$E126)</f>
        <v/>
      </c>
    </row>
    <row r="127" customFormat="false" ht="15" hidden="false" customHeight="false" outlineLevel="0" collapsed="false">
      <c r="A127" s="18"/>
      <c r="B127" s="18"/>
      <c r="C127" s="18"/>
      <c r="D127" s="31" t="str">
        <f aca="false">IF($A127="","",IF(SUMPRODUCT(MAX((posicoes_fornecedor!$B$3:$B$1000=$A127)*posicoes_fornecedor!$A$3:$A$1000))=0,"",SUMPRODUCT(MAX((posicoes_fornecedor!$B$3:$B$1000=$A127)*posicoes_fornecedor!$A$3:$A$1000))))</f>
        <v/>
      </c>
      <c r="E127" s="13" t="str">
        <f aca="false">IF($D127="","",SUMIFS(posicoes_fornecedor!$C$3:$C$1000,posicoes_fornecedor!$B$3:$B$1000,$A127,posicoes_fornecedor!$A$3:$A$1000,$D127))</f>
        <v/>
      </c>
      <c r="F127" s="13" t="str">
        <f aca="false">IF($D127="","",SUMIFS(posicoes_fornecedor!$D$3:$D$1000,posicoes_fornecedor!$B$3:$B$1000,$A127,posicoes_fornecedor!$A$3:$A$1000,$D127))</f>
        <v/>
      </c>
      <c r="G127" s="13" t="str">
        <f aca="false">IF($D127="","",SUMIFS(posicoes_fornecedor!$E$3:$E$1000,posicoes_fornecedor!$B$3:$B$1000,$A127,posicoes_fornecedor!$A$3:$A$1000,$D127))</f>
        <v/>
      </c>
      <c r="H127" s="13" t="str">
        <f aca="false">IF($E127="","",$E127-$F127)</f>
        <v/>
      </c>
      <c r="I127" s="32" t="str">
        <f aca="false">IF(OR($E127="",$E127=0),"",$F127/$E127)</f>
        <v/>
      </c>
      <c r="J127" s="32" t="str">
        <f aca="false">IF(OR($E127="",$E127=0),"",$G127/$E127)</f>
        <v/>
      </c>
    </row>
    <row r="128" customFormat="false" ht="15" hidden="false" customHeight="false" outlineLevel="0" collapsed="false">
      <c r="A128" s="18"/>
      <c r="B128" s="18"/>
      <c r="C128" s="18"/>
      <c r="D128" s="31" t="str">
        <f aca="false">IF($A128="","",IF(SUMPRODUCT(MAX((posicoes_fornecedor!$B$3:$B$1000=$A128)*posicoes_fornecedor!$A$3:$A$1000))=0,"",SUMPRODUCT(MAX((posicoes_fornecedor!$B$3:$B$1000=$A128)*posicoes_fornecedor!$A$3:$A$1000))))</f>
        <v/>
      </c>
      <c r="E128" s="13" t="str">
        <f aca="false">IF($D128="","",SUMIFS(posicoes_fornecedor!$C$3:$C$1000,posicoes_fornecedor!$B$3:$B$1000,$A128,posicoes_fornecedor!$A$3:$A$1000,$D128))</f>
        <v/>
      </c>
      <c r="F128" s="13" t="str">
        <f aca="false">IF($D128="","",SUMIFS(posicoes_fornecedor!$D$3:$D$1000,posicoes_fornecedor!$B$3:$B$1000,$A128,posicoes_fornecedor!$A$3:$A$1000,$D128))</f>
        <v/>
      </c>
      <c r="G128" s="13" t="str">
        <f aca="false">IF($D128="","",SUMIFS(posicoes_fornecedor!$E$3:$E$1000,posicoes_fornecedor!$B$3:$B$1000,$A128,posicoes_fornecedor!$A$3:$A$1000,$D128))</f>
        <v/>
      </c>
      <c r="H128" s="13" t="str">
        <f aca="false">IF($E128="","",$E128-$F128)</f>
        <v/>
      </c>
      <c r="I128" s="32" t="str">
        <f aca="false">IF(OR($E128="",$E128=0),"",$F128/$E128)</f>
        <v/>
      </c>
      <c r="J128" s="32" t="str">
        <f aca="false">IF(OR($E128="",$E128=0),"",$G128/$E128)</f>
        <v/>
      </c>
    </row>
    <row r="129" customFormat="false" ht="15" hidden="false" customHeight="false" outlineLevel="0" collapsed="false">
      <c r="A129" s="18"/>
      <c r="B129" s="18"/>
      <c r="C129" s="18"/>
      <c r="D129" s="31" t="str">
        <f aca="false">IF($A129="","",IF(SUMPRODUCT(MAX((posicoes_fornecedor!$B$3:$B$1000=$A129)*posicoes_fornecedor!$A$3:$A$1000))=0,"",SUMPRODUCT(MAX((posicoes_fornecedor!$B$3:$B$1000=$A129)*posicoes_fornecedor!$A$3:$A$1000))))</f>
        <v/>
      </c>
      <c r="E129" s="13" t="str">
        <f aca="false">IF($D129="","",SUMIFS(posicoes_fornecedor!$C$3:$C$1000,posicoes_fornecedor!$B$3:$B$1000,$A129,posicoes_fornecedor!$A$3:$A$1000,$D129))</f>
        <v/>
      </c>
      <c r="F129" s="13" t="str">
        <f aca="false">IF($D129="","",SUMIFS(posicoes_fornecedor!$D$3:$D$1000,posicoes_fornecedor!$B$3:$B$1000,$A129,posicoes_fornecedor!$A$3:$A$1000,$D129))</f>
        <v/>
      </c>
      <c r="G129" s="13" t="str">
        <f aca="false">IF($D129="","",SUMIFS(posicoes_fornecedor!$E$3:$E$1000,posicoes_fornecedor!$B$3:$B$1000,$A129,posicoes_fornecedor!$A$3:$A$1000,$D129))</f>
        <v/>
      </c>
      <c r="H129" s="13" t="str">
        <f aca="false">IF($E129="","",$E129-$F129)</f>
        <v/>
      </c>
      <c r="I129" s="32" t="str">
        <f aca="false">IF(OR($E129="",$E129=0),"",$F129/$E129)</f>
        <v/>
      </c>
      <c r="J129" s="32" t="str">
        <f aca="false">IF(OR($E129="",$E129=0),"",$G129/$E129)</f>
        <v/>
      </c>
    </row>
    <row r="130" customFormat="false" ht="15" hidden="false" customHeight="false" outlineLevel="0" collapsed="false">
      <c r="A130" s="18"/>
      <c r="B130" s="18"/>
      <c r="C130" s="18"/>
      <c r="D130" s="31" t="str">
        <f aca="false">IF($A130="","",IF(SUMPRODUCT(MAX((posicoes_fornecedor!$B$3:$B$1000=$A130)*posicoes_fornecedor!$A$3:$A$1000))=0,"",SUMPRODUCT(MAX((posicoes_fornecedor!$B$3:$B$1000=$A130)*posicoes_fornecedor!$A$3:$A$1000))))</f>
        <v/>
      </c>
      <c r="E130" s="13" t="str">
        <f aca="false">IF($D130="","",SUMIFS(posicoes_fornecedor!$C$3:$C$1000,posicoes_fornecedor!$B$3:$B$1000,$A130,posicoes_fornecedor!$A$3:$A$1000,$D130))</f>
        <v/>
      </c>
      <c r="F130" s="13" t="str">
        <f aca="false">IF($D130="","",SUMIFS(posicoes_fornecedor!$D$3:$D$1000,posicoes_fornecedor!$B$3:$B$1000,$A130,posicoes_fornecedor!$A$3:$A$1000,$D130))</f>
        <v/>
      </c>
      <c r="G130" s="13" t="str">
        <f aca="false">IF($D130="","",SUMIFS(posicoes_fornecedor!$E$3:$E$1000,posicoes_fornecedor!$B$3:$B$1000,$A130,posicoes_fornecedor!$A$3:$A$1000,$D130))</f>
        <v/>
      </c>
      <c r="H130" s="13" t="str">
        <f aca="false">IF($E130="","",$E130-$F130)</f>
        <v/>
      </c>
      <c r="I130" s="32" t="str">
        <f aca="false">IF(OR($E130="",$E130=0),"",$F130/$E130)</f>
        <v/>
      </c>
      <c r="J130" s="32" t="str">
        <f aca="false">IF(OR($E130="",$E130=0),"",$G130/$E130)</f>
        <v/>
      </c>
    </row>
    <row r="131" customFormat="false" ht="15" hidden="false" customHeight="false" outlineLevel="0" collapsed="false">
      <c r="A131" s="18"/>
      <c r="B131" s="18"/>
      <c r="C131" s="18"/>
      <c r="D131" s="31" t="str">
        <f aca="false">IF($A131="","",IF(SUMPRODUCT(MAX((posicoes_fornecedor!$B$3:$B$1000=$A131)*posicoes_fornecedor!$A$3:$A$1000))=0,"",SUMPRODUCT(MAX((posicoes_fornecedor!$B$3:$B$1000=$A131)*posicoes_fornecedor!$A$3:$A$1000))))</f>
        <v/>
      </c>
      <c r="E131" s="13" t="str">
        <f aca="false">IF($D131="","",SUMIFS(posicoes_fornecedor!$C$3:$C$1000,posicoes_fornecedor!$B$3:$B$1000,$A131,posicoes_fornecedor!$A$3:$A$1000,$D131))</f>
        <v/>
      </c>
      <c r="F131" s="13" t="str">
        <f aca="false">IF($D131="","",SUMIFS(posicoes_fornecedor!$D$3:$D$1000,posicoes_fornecedor!$B$3:$B$1000,$A131,posicoes_fornecedor!$A$3:$A$1000,$D131))</f>
        <v/>
      </c>
      <c r="G131" s="13" t="str">
        <f aca="false">IF($D131="","",SUMIFS(posicoes_fornecedor!$E$3:$E$1000,posicoes_fornecedor!$B$3:$B$1000,$A131,posicoes_fornecedor!$A$3:$A$1000,$D131))</f>
        <v/>
      </c>
      <c r="H131" s="13" t="str">
        <f aca="false">IF($E131="","",$E131-$F131)</f>
        <v/>
      </c>
      <c r="I131" s="32" t="str">
        <f aca="false">IF(OR($E131="",$E131=0),"",$F131/$E131)</f>
        <v/>
      </c>
      <c r="J131" s="32" t="str">
        <f aca="false">IF(OR($E131="",$E131=0),"",$G131/$E131)</f>
        <v/>
      </c>
    </row>
    <row r="132" customFormat="false" ht="15" hidden="false" customHeight="false" outlineLevel="0" collapsed="false">
      <c r="A132" s="18"/>
      <c r="B132" s="18"/>
      <c r="C132" s="18"/>
      <c r="D132" s="31" t="str">
        <f aca="false">IF($A132="","",IF(SUMPRODUCT(MAX((posicoes_fornecedor!$B$3:$B$1000=$A132)*posicoes_fornecedor!$A$3:$A$1000))=0,"",SUMPRODUCT(MAX((posicoes_fornecedor!$B$3:$B$1000=$A132)*posicoes_fornecedor!$A$3:$A$1000))))</f>
        <v/>
      </c>
      <c r="E132" s="13" t="str">
        <f aca="false">IF($D132="","",SUMIFS(posicoes_fornecedor!$C$3:$C$1000,posicoes_fornecedor!$B$3:$B$1000,$A132,posicoes_fornecedor!$A$3:$A$1000,$D132))</f>
        <v/>
      </c>
      <c r="F132" s="13" t="str">
        <f aca="false">IF($D132="","",SUMIFS(posicoes_fornecedor!$D$3:$D$1000,posicoes_fornecedor!$B$3:$B$1000,$A132,posicoes_fornecedor!$A$3:$A$1000,$D132))</f>
        <v/>
      </c>
      <c r="G132" s="13" t="str">
        <f aca="false">IF($D132="","",SUMIFS(posicoes_fornecedor!$E$3:$E$1000,posicoes_fornecedor!$B$3:$B$1000,$A132,posicoes_fornecedor!$A$3:$A$1000,$D132))</f>
        <v/>
      </c>
      <c r="H132" s="13" t="str">
        <f aca="false">IF($E132="","",$E132-$F132)</f>
        <v/>
      </c>
      <c r="I132" s="32" t="str">
        <f aca="false">IF(OR($E132="",$E132=0),"",$F132/$E132)</f>
        <v/>
      </c>
      <c r="J132" s="32" t="str">
        <f aca="false">IF(OR($E132="",$E132=0),"",$G132/$E132)</f>
        <v/>
      </c>
    </row>
    <row r="133" customFormat="false" ht="15" hidden="false" customHeight="false" outlineLevel="0" collapsed="false">
      <c r="A133" s="18"/>
      <c r="B133" s="18"/>
      <c r="C133" s="18"/>
      <c r="D133" s="31" t="str">
        <f aca="false">IF($A133="","",IF(SUMPRODUCT(MAX((posicoes_fornecedor!$B$3:$B$1000=$A133)*posicoes_fornecedor!$A$3:$A$1000))=0,"",SUMPRODUCT(MAX((posicoes_fornecedor!$B$3:$B$1000=$A133)*posicoes_fornecedor!$A$3:$A$1000))))</f>
        <v/>
      </c>
      <c r="E133" s="13" t="str">
        <f aca="false">IF($D133="","",SUMIFS(posicoes_fornecedor!$C$3:$C$1000,posicoes_fornecedor!$B$3:$B$1000,$A133,posicoes_fornecedor!$A$3:$A$1000,$D133))</f>
        <v/>
      </c>
      <c r="F133" s="13" t="str">
        <f aca="false">IF($D133="","",SUMIFS(posicoes_fornecedor!$D$3:$D$1000,posicoes_fornecedor!$B$3:$B$1000,$A133,posicoes_fornecedor!$A$3:$A$1000,$D133))</f>
        <v/>
      </c>
      <c r="G133" s="13" t="str">
        <f aca="false">IF($D133="","",SUMIFS(posicoes_fornecedor!$E$3:$E$1000,posicoes_fornecedor!$B$3:$B$1000,$A133,posicoes_fornecedor!$A$3:$A$1000,$D133))</f>
        <v/>
      </c>
      <c r="H133" s="13" t="str">
        <f aca="false">IF($E133="","",$E133-$F133)</f>
        <v/>
      </c>
      <c r="I133" s="32" t="str">
        <f aca="false">IF(OR($E133="",$E133=0),"",$F133/$E133)</f>
        <v/>
      </c>
      <c r="J133" s="32" t="str">
        <f aca="false">IF(OR($E133="",$E133=0),"",$G133/$E133)</f>
        <v/>
      </c>
    </row>
    <row r="134" customFormat="false" ht="15" hidden="false" customHeight="false" outlineLevel="0" collapsed="false">
      <c r="A134" s="18"/>
      <c r="B134" s="18"/>
      <c r="C134" s="18"/>
      <c r="D134" s="31" t="str">
        <f aca="false">IF($A134="","",IF(SUMPRODUCT(MAX((posicoes_fornecedor!$B$3:$B$1000=$A134)*posicoes_fornecedor!$A$3:$A$1000))=0,"",SUMPRODUCT(MAX((posicoes_fornecedor!$B$3:$B$1000=$A134)*posicoes_fornecedor!$A$3:$A$1000))))</f>
        <v/>
      </c>
      <c r="E134" s="13" t="str">
        <f aca="false">IF($D134="","",SUMIFS(posicoes_fornecedor!$C$3:$C$1000,posicoes_fornecedor!$B$3:$B$1000,$A134,posicoes_fornecedor!$A$3:$A$1000,$D134))</f>
        <v/>
      </c>
      <c r="F134" s="13" t="str">
        <f aca="false">IF($D134="","",SUMIFS(posicoes_fornecedor!$D$3:$D$1000,posicoes_fornecedor!$B$3:$B$1000,$A134,posicoes_fornecedor!$A$3:$A$1000,$D134))</f>
        <v/>
      </c>
      <c r="G134" s="13" t="str">
        <f aca="false">IF($D134="","",SUMIFS(posicoes_fornecedor!$E$3:$E$1000,posicoes_fornecedor!$B$3:$B$1000,$A134,posicoes_fornecedor!$A$3:$A$1000,$D134))</f>
        <v/>
      </c>
      <c r="H134" s="13" t="str">
        <f aca="false">IF($E134="","",$E134-$F134)</f>
        <v/>
      </c>
      <c r="I134" s="32" t="str">
        <f aca="false">IF(OR($E134="",$E134=0),"",$F134/$E134)</f>
        <v/>
      </c>
      <c r="J134" s="32" t="str">
        <f aca="false">IF(OR($E134="",$E134=0),"",$G134/$E134)</f>
        <v/>
      </c>
    </row>
    <row r="135" customFormat="false" ht="15" hidden="false" customHeight="false" outlineLevel="0" collapsed="false">
      <c r="A135" s="18"/>
      <c r="B135" s="18"/>
      <c r="C135" s="18"/>
      <c r="D135" s="31" t="str">
        <f aca="false">IF($A135="","",IF(SUMPRODUCT(MAX((posicoes_fornecedor!$B$3:$B$1000=$A135)*posicoes_fornecedor!$A$3:$A$1000))=0,"",SUMPRODUCT(MAX((posicoes_fornecedor!$B$3:$B$1000=$A135)*posicoes_fornecedor!$A$3:$A$1000))))</f>
        <v/>
      </c>
      <c r="E135" s="13" t="str">
        <f aca="false">IF($D135="","",SUMIFS(posicoes_fornecedor!$C$3:$C$1000,posicoes_fornecedor!$B$3:$B$1000,$A135,posicoes_fornecedor!$A$3:$A$1000,$D135))</f>
        <v/>
      </c>
      <c r="F135" s="13" t="str">
        <f aca="false">IF($D135="","",SUMIFS(posicoes_fornecedor!$D$3:$D$1000,posicoes_fornecedor!$B$3:$B$1000,$A135,posicoes_fornecedor!$A$3:$A$1000,$D135))</f>
        <v/>
      </c>
      <c r="G135" s="13" t="str">
        <f aca="false">IF($D135="","",SUMIFS(posicoes_fornecedor!$E$3:$E$1000,posicoes_fornecedor!$B$3:$B$1000,$A135,posicoes_fornecedor!$A$3:$A$1000,$D135))</f>
        <v/>
      </c>
      <c r="H135" s="13" t="str">
        <f aca="false">IF($E135="","",$E135-$F135)</f>
        <v/>
      </c>
      <c r="I135" s="32" t="str">
        <f aca="false">IF(OR($E135="",$E135=0),"",$F135/$E135)</f>
        <v/>
      </c>
      <c r="J135" s="32" t="str">
        <f aca="false">IF(OR($E135="",$E135=0),"",$G135/$E135)</f>
        <v/>
      </c>
    </row>
    <row r="136" customFormat="false" ht="15" hidden="false" customHeight="false" outlineLevel="0" collapsed="false">
      <c r="A136" s="18"/>
      <c r="B136" s="18"/>
      <c r="C136" s="18"/>
      <c r="D136" s="31" t="str">
        <f aca="false">IF($A136="","",IF(SUMPRODUCT(MAX((posicoes_fornecedor!$B$3:$B$1000=$A136)*posicoes_fornecedor!$A$3:$A$1000))=0,"",SUMPRODUCT(MAX((posicoes_fornecedor!$B$3:$B$1000=$A136)*posicoes_fornecedor!$A$3:$A$1000))))</f>
        <v/>
      </c>
      <c r="E136" s="13" t="str">
        <f aca="false">IF($D136="","",SUMIFS(posicoes_fornecedor!$C$3:$C$1000,posicoes_fornecedor!$B$3:$B$1000,$A136,posicoes_fornecedor!$A$3:$A$1000,$D136))</f>
        <v/>
      </c>
      <c r="F136" s="13" t="str">
        <f aca="false">IF($D136="","",SUMIFS(posicoes_fornecedor!$D$3:$D$1000,posicoes_fornecedor!$B$3:$B$1000,$A136,posicoes_fornecedor!$A$3:$A$1000,$D136))</f>
        <v/>
      </c>
      <c r="G136" s="13" t="str">
        <f aca="false">IF($D136="","",SUMIFS(posicoes_fornecedor!$E$3:$E$1000,posicoes_fornecedor!$B$3:$B$1000,$A136,posicoes_fornecedor!$A$3:$A$1000,$D136))</f>
        <v/>
      </c>
      <c r="H136" s="13" t="str">
        <f aca="false">IF($E136="","",$E136-$F136)</f>
        <v/>
      </c>
      <c r="I136" s="32" t="str">
        <f aca="false">IF(OR($E136="",$E136=0),"",$F136/$E136)</f>
        <v/>
      </c>
      <c r="J136" s="32" t="str">
        <f aca="false">IF(OR($E136="",$E136=0),"",$G136/$E136)</f>
        <v/>
      </c>
    </row>
    <row r="137" customFormat="false" ht="15" hidden="false" customHeight="false" outlineLevel="0" collapsed="false">
      <c r="A137" s="18"/>
      <c r="B137" s="18"/>
      <c r="C137" s="18"/>
      <c r="D137" s="31" t="str">
        <f aca="false">IF($A137="","",IF(SUMPRODUCT(MAX((posicoes_fornecedor!$B$3:$B$1000=$A137)*posicoes_fornecedor!$A$3:$A$1000))=0,"",SUMPRODUCT(MAX((posicoes_fornecedor!$B$3:$B$1000=$A137)*posicoes_fornecedor!$A$3:$A$1000))))</f>
        <v/>
      </c>
      <c r="E137" s="13" t="str">
        <f aca="false">IF($D137="","",SUMIFS(posicoes_fornecedor!$C$3:$C$1000,posicoes_fornecedor!$B$3:$B$1000,$A137,posicoes_fornecedor!$A$3:$A$1000,$D137))</f>
        <v/>
      </c>
      <c r="F137" s="13" t="str">
        <f aca="false">IF($D137="","",SUMIFS(posicoes_fornecedor!$D$3:$D$1000,posicoes_fornecedor!$B$3:$B$1000,$A137,posicoes_fornecedor!$A$3:$A$1000,$D137))</f>
        <v/>
      </c>
      <c r="G137" s="13" t="str">
        <f aca="false">IF($D137="","",SUMIFS(posicoes_fornecedor!$E$3:$E$1000,posicoes_fornecedor!$B$3:$B$1000,$A137,posicoes_fornecedor!$A$3:$A$1000,$D137))</f>
        <v/>
      </c>
      <c r="H137" s="13" t="str">
        <f aca="false">IF($E137="","",$E137-$F137)</f>
        <v/>
      </c>
      <c r="I137" s="32" t="str">
        <f aca="false">IF(OR($E137="",$E137=0),"",$F137/$E137)</f>
        <v/>
      </c>
      <c r="J137" s="32" t="str">
        <f aca="false">IF(OR($E137="",$E137=0),"",$G137/$E137)</f>
        <v/>
      </c>
    </row>
    <row r="138" customFormat="false" ht="15" hidden="false" customHeight="false" outlineLevel="0" collapsed="false">
      <c r="A138" s="18"/>
      <c r="B138" s="18"/>
      <c r="C138" s="18"/>
      <c r="D138" s="31" t="str">
        <f aca="false">IF($A138="","",IF(SUMPRODUCT(MAX((posicoes_fornecedor!$B$3:$B$1000=$A138)*posicoes_fornecedor!$A$3:$A$1000))=0,"",SUMPRODUCT(MAX((posicoes_fornecedor!$B$3:$B$1000=$A138)*posicoes_fornecedor!$A$3:$A$1000))))</f>
        <v/>
      </c>
      <c r="E138" s="13" t="str">
        <f aca="false">IF($D138="","",SUMIFS(posicoes_fornecedor!$C$3:$C$1000,posicoes_fornecedor!$B$3:$B$1000,$A138,posicoes_fornecedor!$A$3:$A$1000,$D138))</f>
        <v/>
      </c>
      <c r="F138" s="13" t="str">
        <f aca="false">IF($D138="","",SUMIFS(posicoes_fornecedor!$D$3:$D$1000,posicoes_fornecedor!$B$3:$B$1000,$A138,posicoes_fornecedor!$A$3:$A$1000,$D138))</f>
        <v/>
      </c>
      <c r="G138" s="13" t="str">
        <f aca="false">IF($D138="","",SUMIFS(posicoes_fornecedor!$E$3:$E$1000,posicoes_fornecedor!$B$3:$B$1000,$A138,posicoes_fornecedor!$A$3:$A$1000,$D138))</f>
        <v/>
      </c>
      <c r="H138" s="13" t="str">
        <f aca="false">IF($E138="","",$E138-$F138)</f>
        <v/>
      </c>
      <c r="I138" s="32" t="str">
        <f aca="false">IF(OR($E138="",$E138=0),"",$F138/$E138)</f>
        <v/>
      </c>
      <c r="J138" s="32" t="str">
        <f aca="false">IF(OR($E138="",$E138=0),"",$G138/$E138)</f>
        <v/>
      </c>
    </row>
    <row r="139" customFormat="false" ht="15" hidden="false" customHeight="false" outlineLevel="0" collapsed="false">
      <c r="A139" s="18"/>
      <c r="B139" s="18"/>
      <c r="C139" s="18"/>
      <c r="D139" s="31" t="str">
        <f aca="false">IF($A139="","",IF(SUMPRODUCT(MAX((posicoes_fornecedor!$B$3:$B$1000=$A139)*posicoes_fornecedor!$A$3:$A$1000))=0,"",SUMPRODUCT(MAX((posicoes_fornecedor!$B$3:$B$1000=$A139)*posicoes_fornecedor!$A$3:$A$1000))))</f>
        <v/>
      </c>
      <c r="E139" s="13" t="str">
        <f aca="false">IF($D139="","",SUMIFS(posicoes_fornecedor!$C$3:$C$1000,posicoes_fornecedor!$B$3:$B$1000,$A139,posicoes_fornecedor!$A$3:$A$1000,$D139))</f>
        <v/>
      </c>
      <c r="F139" s="13" t="str">
        <f aca="false">IF($D139="","",SUMIFS(posicoes_fornecedor!$D$3:$D$1000,posicoes_fornecedor!$B$3:$B$1000,$A139,posicoes_fornecedor!$A$3:$A$1000,$D139))</f>
        <v/>
      </c>
      <c r="G139" s="13" t="str">
        <f aca="false">IF($D139="","",SUMIFS(posicoes_fornecedor!$E$3:$E$1000,posicoes_fornecedor!$B$3:$B$1000,$A139,posicoes_fornecedor!$A$3:$A$1000,$D139))</f>
        <v/>
      </c>
      <c r="H139" s="13" t="str">
        <f aca="false">IF($E139="","",$E139-$F139)</f>
        <v/>
      </c>
      <c r="I139" s="32" t="str">
        <f aca="false">IF(OR($E139="",$E139=0),"",$F139/$E139)</f>
        <v/>
      </c>
      <c r="J139" s="32" t="str">
        <f aca="false">IF(OR($E139="",$E139=0),"",$G139/$E139)</f>
        <v/>
      </c>
    </row>
    <row r="140" customFormat="false" ht="15" hidden="false" customHeight="false" outlineLevel="0" collapsed="false">
      <c r="A140" s="18"/>
      <c r="B140" s="18"/>
      <c r="C140" s="18"/>
      <c r="D140" s="31" t="str">
        <f aca="false">IF($A140="","",IF(SUMPRODUCT(MAX((posicoes_fornecedor!$B$3:$B$1000=$A140)*posicoes_fornecedor!$A$3:$A$1000))=0,"",SUMPRODUCT(MAX((posicoes_fornecedor!$B$3:$B$1000=$A140)*posicoes_fornecedor!$A$3:$A$1000))))</f>
        <v/>
      </c>
      <c r="E140" s="13" t="str">
        <f aca="false">IF($D140="","",SUMIFS(posicoes_fornecedor!$C$3:$C$1000,posicoes_fornecedor!$B$3:$B$1000,$A140,posicoes_fornecedor!$A$3:$A$1000,$D140))</f>
        <v/>
      </c>
      <c r="F140" s="13" t="str">
        <f aca="false">IF($D140="","",SUMIFS(posicoes_fornecedor!$D$3:$D$1000,posicoes_fornecedor!$B$3:$B$1000,$A140,posicoes_fornecedor!$A$3:$A$1000,$D140))</f>
        <v/>
      </c>
      <c r="G140" s="13" t="str">
        <f aca="false">IF($D140="","",SUMIFS(posicoes_fornecedor!$E$3:$E$1000,posicoes_fornecedor!$B$3:$B$1000,$A140,posicoes_fornecedor!$A$3:$A$1000,$D140))</f>
        <v/>
      </c>
      <c r="H140" s="13" t="str">
        <f aca="false">IF($E140="","",$E140-$F140)</f>
        <v/>
      </c>
      <c r="I140" s="32" t="str">
        <f aca="false">IF(OR($E140="",$E140=0),"",$F140/$E140)</f>
        <v/>
      </c>
      <c r="J140" s="32" t="str">
        <f aca="false">IF(OR($E140="",$E140=0),"",$G140/$E140)</f>
        <v/>
      </c>
    </row>
    <row r="141" customFormat="false" ht="15" hidden="false" customHeight="false" outlineLevel="0" collapsed="false">
      <c r="A141" s="18"/>
      <c r="B141" s="18"/>
      <c r="C141" s="18"/>
      <c r="D141" s="31" t="str">
        <f aca="false">IF($A141="","",IF(SUMPRODUCT(MAX((posicoes_fornecedor!$B$3:$B$1000=$A141)*posicoes_fornecedor!$A$3:$A$1000))=0,"",SUMPRODUCT(MAX((posicoes_fornecedor!$B$3:$B$1000=$A141)*posicoes_fornecedor!$A$3:$A$1000))))</f>
        <v/>
      </c>
      <c r="E141" s="13" t="str">
        <f aca="false">IF($D141="","",SUMIFS(posicoes_fornecedor!$C$3:$C$1000,posicoes_fornecedor!$B$3:$B$1000,$A141,posicoes_fornecedor!$A$3:$A$1000,$D141))</f>
        <v/>
      </c>
      <c r="F141" s="13" t="str">
        <f aca="false">IF($D141="","",SUMIFS(posicoes_fornecedor!$D$3:$D$1000,posicoes_fornecedor!$B$3:$B$1000,$A141,posicoes_fornecedor!$A$3:$A$1000,$D141))</f>
        <v/>
      </c>
      <c r="G141" s="13" t="str">
        <f aca="false">IF($D141="","",SUMIFS(posicoes_fornecedor!$E$3:$E$1000,posicoes_fornecedor!$B$3:$B$1000,$A141,posicoes_fornecedor!$A$3:$A$1000,$D141))</f>
        <v/>
      </c>
      <c r="H141" s="13" t="str">
        <f aca="false">IF($E141="","",$E141-$F141)</f>
        <v/>
      </c>
      <c r="I141" s="32" t="str">
        <f aca="false">IF(OR($E141="",$E141=0),"",$F141/$E141)</f>
        <v/>
      </c>
      <c r="J141" s="32" t="str">
        <f aca="false">IF(OR($E141="",$E141=0),"",$G141/$E141)</f>
        <v/>
      </c>
    </row>
    <row r="142" customFormat="false" ht="15" hidden="false" customHeight="false" outlineLevel="0" collapsed="false">
      <c r="A142" s="18"/>
      <c r="B142" s="18"/>
      <c r="C142" s="18"/>
      <c r="D142" s="31" t="str">
        <f aca="false">IF($A142="","",IF(SUMPRODUCT(MAX((posicoes_fornecedor!$B$3:$B$1000=$A142)*posicoes_fornecedor!$A$3:$A$1000))=0,"",SUMPRODUCT(MAX((posicoes_fornecedor!$B$3:$B$1000=$A142)*posicoes_fornecedor!$A$3:$A$1000))))</f>
        <v/>
      </c>
      <c r="E142" s="13" t="str">
        <f aca="false">IF($D142="","",SUMIFS(posicoes_fornecedor!$C$3:$C$1000,posicoes_fornecedor!$B$3:$B$1000,$A142,posicoes_fornecedor!$A$3:$A$1000,$D142))</f>
        <v/>
      </c>
      <c r="F142" s="13" t="str">
        <f aca="false">IF($D142="","",SUMIFS(posicoes_fornecedor!$D$3:$D$1000,posicoes_fornecedor!$B$3:$B$1000,$A142,posicoes_fornecedor!$A$3:$A$1000,$D142))</f>
        <v/>
      </c>
      <c r="G142" s="13" t="str">
        <f aca="false">IF($D142="","",SUMIFS(posicoes_fornecedor!$E$3:$E$1000,posicoes_fornecedor!$B$3:$B$1000,$A142,posicoes_fornecedor!$A$3:$A$1000,$D142))</f>
        <v/>
      </c>
      <c r="H142" s="13" t="str">
        <f aca="false">IF($E142="","",$E142-$F142)</f>
        <v/>
      </c>
      <c r="I142" s="32" t="str">
        <f aca="false">IF(OR($E142="",$E142=0),"",$F142/$E142)</f>
        <v/>
      </c>
      <c r="J142" s="32" t="str">
        <f aca="false">IF(OR($E142="",$E142=0),"",$G142/$E142)</f>
        <v/>
      </c>
    </row>
    <row r="143" customFormat="false" ht="15" hidden="false" customHeight="false" outlineLevel="0" collapsed="false">
      <c r="A143" s="18"/>
      <c r="B143" s="18"/>
      <c r="C143" s="18"/>
      <c r="D143" s="31" t="str">
        <f aca="false">IF($A143="","",IF(SUMPRODUCT(MAX((posicoes_fornecedor!$B$3:$B$1000=$A143)*posicoes_fornecedor!$A$3:$A$1000))=0,"",SUMPRODUCT(MAX((posicoes_fornecedor!$B$3:$B$1000=$A143)*posicoes_fornecedor!$A$3:$A$1000))))</f>
        <v/>
      </c>
      <c r="E143" s="13" t="str">
        <f aca="false">IF($D143="","",SUMIFS(posicoes_fornecedor!$C$3:$C$1000,posicoes_fornecedor!$B$3:$B$1000,$A143,posicoes_fornecedor!$A$3:$A$1000,$D143))</f>
        <v/>
      </c>
      <c r="F143" s="13" t="str">
        <f aca="false">IF($D143="","",SUMIFS(posicoes_fornecedor!$D$3:$D$1000,posicoes_fornecedor!$B$3:$B$1000,$A143,posicoes_fornecedor!$A$3:$A$1000,$D143))</f>
        <v/>
      </c>
      <c r="G143" s="13" t="str">
        <f aca="false">IF($D143="","",SUMIFS(posicoes_fornecedor!$E$3:$E$1000,posicoes_fornecedor!$B$3:$B$1000,$A143,posicoes_fornecedor!$A$3:$A$1000,$D143))</f>
        <v/>
      </c>
      <c r="H143" s="13" t="str">
        <f aca="false">IF($E143="","",$E143-$F143)</f>
        <v/>
      </c>
      <c r="I143" s="32" t="str">
        <f aca="false">IF(OR($E143="",$E143=0),"",$F143/$E143)</f>
        <v/>
      </c>
      <c r="J143" s="32" t="str">
        <f aca="false">IF(OR($E143="",$E143=0),"",$G143/$E143)</f>
        <v/>
      </c>
    </row>
    <row r="144" customFormat="false" ht="15" hidden="false" customHeight="false" outlineLevel="0" collapsed="false">
      <c r="A144" s="18"/>
      <c r="B144" s="18"/>
      <c r="C144" s="18"/>
      <c r="D144" s="31" t="str">
        <f aca="false">IF($A144="","",IF(SUMPRODUCT(MAX((posicoes_fornecedor!$B$3:$B$1000=$A144)*posicoes_fornecedor!$A$3:$A$1000))=0,"",SUMPRODUCT(MAX((posicoes_fornecedor!$B$3:$B$1000=$A144)*posicoes_fornecedor!$A$3:$A$1000))))</f>
        <v/>
      </c>
      <c r="E144" s="13" t="str">
        <f aca="false">IF($D144="","",SUMIFS(posicoes_fornecedor!$C$3:$C$1000,posicoes_fornecedor!$B$3:$B$1000,$A144,posicoes_fornecedor!$A$3:$A$1000,$D144))</f>
        <v/>
      </c>
      <c r="F144" s="13" t="str">
        <f aca="false">IF($D144="","",SUMIFS(posicoes_fornecedor!$D$3:$D$1000,posicoes_fornecedor!$B$3:$B$1000,$A144,posicoes_fornecedor!$A$3:$A$1000,$D144))</f>
        <v/>
      </c>
      <c r="G144" s="13" t="str">
        <f aca="false">IF($D144="","",SUMIFS(posicoes_fornecedor!$E$3:$E$1000,posicoes_fornecedor!$B$3:$B$1000,$A144,posicoes_fornecedor!$A$3:$A$1000,$D144))</f>
        <v/>
      </c>
      <c r="H144" s="13" t="str">
        <f aca="false">IF($E144="","",$E144-$F144)</f>
        <v/>
      </c>
      <c r="I144" s="32" t="str">
        <f aca="false">IF(OR($E144="",$E144=0),"",$F144/$E144)</f>
        <v/>
      </c>
      <c r="J144" s="32" t="str">
        <f aca="false">IF(OR($E144="",$E144=0),"",$G144/$E144)</f>
        <v/>
      </c>
    </row>
    <row r="145" customFormat="false" ht="15" hidden="false" customHeight="false" outlineLevel="0" collapsed="false">
      <c r="A145" s="18"/>
      <c r="B145" s="18"/>
      <c r="C145" s="18"/>
      <c r="D145" s="31" t="str">
        <f aca="false">IF($A145="","",IF(SUMPRODUCT(MAX((posicoes_fornecedor!$B$3:$B$1000=$A145)*posicoes_fornecedor!$A$3:$A$1000))=0,"",SUMPRODUCT(MAX((posicoes_fornecedor!$B$3:$B$1000=$A145)*posicoes_fornecedor!$A$3:$A$1000))))</f>
        <v/>
      </c>
      <c r="E145" s="13" t="str">
        <f aca="false">IF($D145="","",SUMIFS(posicoes_fornecedor!$C$3:$C$1000,posicoes_fornecedor!$B$3:$B$1000,$A145,posicoes_fornecedor!$A$3:$A$1000,$D145))</f>
        <v/>
      </c>
      <c r="F145" s="13" t="str">
        <f aca="false">IF($D145="","",SUMIFS(posicoes_fornecedor!$D$3:$D$1000,posicoes_fornecedor!$B$3:$B$1000,$A145,posicoes_fornecedor!$A$3:$A$1000,$D145))</f>
        <v/>
      </c>
      <c r="G145" s="13" t="str">
        <f aca="false">IF($D145="","",SUMIFS(posicoes_fornecedor!$E$3:$E$1000,posicoes_fornecedor!$B$3:$B$1000,$A145,posicoes_fornecedor!$A$3:$A$1000,$D145))</f>
        <v/>
      </c>
      <c r="H145" s="13" t="str">
        <f aca="false">IF($E145="","",$E145-$F145)</f>
        <v/>
      </c>
      <c r="I145" s="32" t="str">
        <f aca="false">IF(OR($E145="",$E145=0),"",$F145/$E145)</f>
        <v/>
      </c>
      <c r="J145" s="32" t="str">
        <f aca="false">IF(OR($E145="",$E145=0),"",$G145/$E145)</f>
        <v/>
      </c>
    </row>
    <row r="146" customFormat="false" ht="15" hidden="false" customHeight="false" outlineLevel="0" collapsed="false">
      <c r="A146" s="18"/>
      <c r="B146" s="18"/>
      <c r="C146" s="18"/>
      <c r="D146" s="31" t="str">
        <f aca="false">IF($A146="","",IF(SUMPRODUCT(MAX((posicoes_fornecedor!$B$3:$B$1000=$A146)*posicoes_fornecedor!$A$3:$A$1000))=0,"",SUMPRODUCT(MAX((posicoes_fornecedor!$B$3:$B$1000=$A146)*posicoes_fornecedor!$A$3:$A$1000))))</f>
        <v/>
      </c>
      <c r="E146" s="13" t="str">
        <f aca="false">IF($D146="","",SUMIFS(posicoes_fornecedor!$C$3:$C$1000,posicoes_fornecedor!$B$3:$B$1000,$A146,posicoes_fornecedor!$A$3:$A$1000,$D146))</f>
        <v/>
      </c>
      <c r="F146" s="13" t="str">
        <f aca="false">IF($D146="","",SUMIFS(posicoes_fornecedor!$D$3:$D$1000,posicoes_fornecedor!$B$3:$B$1000,$A146,posicoes_fornecedor!$A$3:$A$1000,$D146))</f>
        <v/>
      </c>
      <c r="G146" s="13" t="str">
        <f aca="false">IF($D146="","",SUMIFS(posicoes_fornecedor!$E$3:$E$1000,posicoes_fornecedor!$B$3:$B$1000,$A146,posicoes_fornecedor!$A$3:$A$1000,$D146))</f>
        <v/>
      </c>
      <c r="H146" s="13" t="str">
        <f aca="false">IF($E146="","",$E146-$F146)</f>
        <v/>
      </c>
      <c r="I146" s="32" t="str">
        <f aca="false">IF(OR($E146="",$E146=0),"",$F146/$E146)</f>
        <v/>
      </c>
      <c r="J146" s="32" t="str">
        <f aca="false">IF(OR($E146="",$E146=0),"",$G146/$E146)</f>
        <v/>
      </c>
    </row>
    <row r="147" customFormat="false" ht="15" hidden="false" customHeight="false" outlineLevel="0" collapsed="false">
      <c r="A147" s="18"/>
      <c r="B147" s="18"/>
      <c r="C147" s="18"/>
      <c r="D147" s="31" t="str">
        <f aca="false">IF($A147="","",IF(SUMPRODUCT(MAX((posicoes_fornecedor!$B$3:$B$1000=$A147)*posicoes_fornecedor!$A$3:$A$1000))=0,"",SUMPRODUCT(MAX((posicoes_fornecedor!$B$3:$B$1000=$A147)*posicoes_fornecedor!$A$3:$A$1000))))</f>
        <v/>
      </c>
      <c r="E147" s="13" t="str">
        <f aca="false">IF($D147="","",SUMIFS(posicoes_fornecedor!$C$3:$C$1000,posicoes_fornecedor!$B$3:$B$1000,$A147,posicoes_fornecedor!$A$3:$A$1000,$D147))</f>
        <v/>
      </c>
      <c r="F147" s="13" t="str">
        <f aca="false">IF($D147="","",SUMIFS(posicoes_fornecedor!$D$3:$D$1000,posicoes_fornecedor!$B$3:$B$1000,$A147,posicoes_fornecedor!$A$3:$A$1000,$D147))</f>
        <v/>
      </c>
      <c r="G147" s="13" t="str">
        <f aca="false">IF($D147="","",SUMIFS(posicoes_fornecedor!$E$3:$E$1000,posicoes_fornecedor!$B$3:$B$1000,$A147,posicoes_fornecedor!$A$3:$A$1000,$D147))</f>
        <v/>
      </c>
      <c r="H147" s="13" t="str">
        <f aca="false">IF($E147="","",$E147-$F147)</f>
        <v/>
      </c>
      <c r="I147" s="32" t="str">
        <f aca="false">IF(OR($E147="",$E147=0),"",$F147/$E147)</f>
        <v/>
      </c>
      <c r="J147" s="32" t="str">
        <f aca="false">IF(OR($E147="",$E147=0),"",$G147/$E147)</f>
        <v/>
      </c>
    </row>
    <row r="148" customFormat="false" ht="15" hidden="false" customHeight="false" outlineLevel="0" collapsed="false">
      <c r="A148" s="18"/>
      <c r="B148" s="18"/>
      <c r="C148" s="18"/>
      <c r="D148" s="31" t="str">
        <f aca="false">IF($A148="","",IF(SUMPRODUCT(MAX((posicoes_fornecedor!$B$3:$B$1000=$A148)*posicoes_fornecedor!$A$3:$A$1000))=0,"",SUMPRODUCT(MAX((posicoes_fornecedor!$B$3:$B$1000=$A148)*posicoes_fornecedor!$A$3:$A$1000))))</f>
        <v/>
      </c>
      <c r="E148" s="13" t="str">
        <f aca="false">IF($D148="","",SUMIFS(posicoes_fornecedor!$C$3:$C$1000,posicoes_fornecedor!$B$3:$B$1000,$A148,posicoes_fornecedor!$A$3:$A$1000,$D148))</f>
        <v/>
      </c>
      <c r="F148" s="13" t="str">
        <f aca="false">IF($D148="","",SUMIFS(posicoes_fornecedor!$D$3:$D$1000,posicoes_fornecedor!$B$3:$B$1000,$A148,posicoes_fornecedor!$A$3:$A$1000,$D148))</f>
        <v/>
      </c>
      <c r="G148" s="13" t="str">
        <f aca="false">IF($D148="","",SUMIFS(posicoes_fornecedor!$E$3:$E$1000,posicoes_fornecedor!$B$3:$B$1000,$A148,posicoes_fornecedor!$A$3:$A$1000,$D148))</f>
        <v/>
      </c>
      <c r="H148" s="13" t="str">
        <f aca="false">IF($E148="","",$E148-$F148)</f>
        <v/>
      </c>
      <c r="I148" s="32" t="str">
        <f aca="false">IF(OR($E148="",$E148=0),"",$F148/$E148)</f>
        <v/>
      </c>
      <c r="J148" s="32" t="str">
        <f aca="false">IF(OR($E148="",$E148=0),"",$G148/$E148)</f>
        <v/>
      </c>
    </row>
    <row r="149" customFormat="false" ht="15" hidden="false" customHeight="false" outlineLevel="0" collapsed="false">
      <c r="A149" s="18"/>
      <c r="B149" s="18"/>
      <c r="C149" s="18"/>
      <c r="D149" s="31" t="str">
        <f aca="false">IF($A149="","",IF(SUMPRODUCT(MAX((posicoes_fornecedor!$B$3:$B$1000=$A149)*posicoes_fornecedor!$A$3:$A$1000))=0,"",SUMPRODUCT(MAX((posicoes_fornecedor!$B$3:$B$1000=$A149)*posicoes_fornecedor!$A$3:$A$1000))))</f>
        <v/>
      </c>
      <c r="E149" s="13" t="str">
        <f aca="false">IF($D149="","",SUMIFS(posicoes_fornecedor!$C$3:$C$1000,posicoes_fornecedor!$B$3:$B$1000,$A149,posicoes_fornecedor!$A$3:$A$1000,$D149))</f>
        <v/>
      </c>
      <c r="F149" s="13" t="str">
        <f aca="false">IF($D149="","",SUMIFS(posicoes_fornecedor!$D$3:$D$1000,posicoes_fornecedor!$B$3:$B$1000,$A149,posicoes_fornecedor!$A$3:$A$1000,$D149))</f>
        <v/>
      </c>
      <c r="G149" s="13" t="str">
        <f aca="false">IF($D149="","",SUMIFS(posicoes_fornecedor!$E$3:$E$1000,posicoes_fornecedor!$B$3:$B$1000,$A149,posicoes_fornecedor!$A$3:$A$1000,$D149))</f>
        <v/>
      </c>
      <c r="H149" s="13" t="str">
        <f aca="false">IF($E149="","",$E149-$F149)</f>
        <v/>
      </c>
      <c r="I149" s="32" t="str">
        <f aca="false">IF(OR($E149="",$E149=0),"",$F149/$E149)</f>
        <v/>
      </c>
      <c r="J149" s="32" t="str">
        <f aca="false">IF(OR($E149="",$E149=0),"",$G149/$E149)</f>
        <v/>
      </c>
    </row>
    <row r="150" customFormat="false" ht="15" hidden="false" customHeight="false" outlineLevel="0" collapsed="false">
      <c r="A150" s="18"/>
      <c r="B150" s="18"/>
      <c r="C150" s="18"/>
      <c r="D150" s="31" t="str">
        <f aca="false">IF($A150="","",IF(SUMPRODUCT(MAX((posicoes_fornecedor!$B$3:$B$1000=$A150)*posicoes_fornecedor!$A$3:$A$1000))=0,"",SUMPRODUCT(MAX((posicoes_fornecedor!$B$3:$B$1000=$A150)*posicoes_fornecedor!$A$3:$A$1000))))</f>
        <v/>
      </c>
      <c r="E150" s="13" t="str">
        <f aca="false">IF($D150="","",SUMIFS(posicoes_fornecedor!$C$3:$C$1000,posicoes_fornecedor!$B$3:$B$1000,$A150,posicoes_fornecedor!$A$3:$A$1000,$D150))</f>
        <v/>
      </c>
      <c r="F150" s="13" t="str">
        <f aca="false">IF($D150="","",SUMIFS(posicoes_fornecedor!$D$3:$D$1000,posicoes_fornecedor!$B$3:$B$1000,$A150,posicoes_fornecedor!$A$3:$A$1000,$D150))</f>
        <v/>
      </c>
      <c r="G150" s="13" t="str">
        <f aca="false">IF($D150="","",SUMIFS(posicoes_fornecedor!$E$3:$E$1000,posicoes_fornecedor!$B$3:$B$1000,$A150,posicoes_fornecedor!$A$3:$A$1000,$D150))</f>
        <v/>
      </c>
      <c r="H150" s="13" t="str">
        <f aca="false">IF($E150="","",$E150-$F150)</f>
        <v/>
      </c>
      <c r="I150" s="32" t="str">
        <f aca="false">IF(OR($E150="",$E150=0),"",$F150/$E150)</f>
        <v/>
      </c>
      <c r="J150" s="32" t="str">
        <f aca="false">IF(OR($E150="",$E150=0),"",$G150/$E150)</f>
        <v/>
      </c>
    </row>
    <row r="151" customFormat="false" ht="15" hidden="false" customHeight="false" outlineLevel="0" collapsed="false">
      <c r="A151" s="18"/>
      <c r="B151" s="18"/>
      <c r="C151" s="18"/>
      <c r="D151" s="31" t="str">
        <f aca="false">IF($A151="","",IF(SUMPRODUCT(MAX((posicoes_fornecedor!$B$3:$B$1000=$A151)*posicoes_fornecedor!$A$3:$A$1000))=0,"",SUMPRODUCT(MAX((posicoes_fornecedor!$B$3:$B$1000=$A151)*posicoes_fornecedor!$A$3:$A$1000))))</f>
        <v/>
      </c>
      <c r="E151" s="13" t="str">
        <f aca="false">IF($D151="","",SUMIFS(posicoes_fornecedor!$C$3:$C$1000,posicoes_fornecedor!$B$3:$B$1000,$A151,posicoes_fornecedor!$A$3:$A$1000,$D151))</f>
        <v/>
      </c>
      <c r="F151" s="13" t="str">
        <f aca="false">IF($D151="","",SUMIFS(posicoes_fornecedor!$D$3:$D$1000,posicoes_fornecedor!$B$3:$B$1000,$A151,posicoes_fornecedor!$A$3:$A$1000,$D151))</f>
        <v/>
      </c>
      <c r="G151" s="13" t="str">
        <f aca="false">IF($D151="","",SUMIFS(posicoes_fornecedor!$E$3:$E$1000,posicoes_fornecedor!$B$3:$B$1000,$A151,posicoes_fornecedor!$A$3:$A$1000,$D151))</f>
        <v/>
      </c>
      <c r="H151" s="13" t="str">
        <f aca="false">IF($E151="","",$E151-$F151)</f>
        <v/>
      </c>
      <c r="I151" s="32" t="str">
        <f aca="false">IF(OR($E151="",$E151=0),"",$F151/$E151)</f>
        <v/>
      </c>
      <c r="J151" s="32" t="str">
        <f aca="false">IF(OR($E151="",$E151=0),"",$G151/$E151)</f>
        <v/>
      </c>
    </row>
    <row r="152" customFormat="false" ht="15" hidden="false" customHeight="false" outlineLevel="0" collapsed="false">
      <c r="A152" s="18"/>
      <c r="B152" s="18"/>
      <c r="C152" s="18"/>
      <c r="D152" s="31" t="str">
        <f aca="false">IF($A152="","",IF(SUMPRODUCT(MAX((posicoes_fornecedor!$B$3:$B$1000=$A152)*posicoes_fornecedor!$A$3:$A$1000))=0,"",SUMPRODUCT(MAX((posicoes_fornecedor!$B$3:$B$1000=$A152)*posicoes_fornecedor!$A$3:$A$1000))))</f>
        <v/>
      </c>
      <c r="E152" s="13" t="str">
        <f aca="false">IF($D152="","",SUMIFS(posicoes_fornecedor!$C$3:$C$1000,posicoes_fornecedor!$B$3:$B$1000,$A152,posicoes_fornecedor!$A$3:$A$1000,$D152))</f>
        <v/>
      </c>
      <c r="F152" s="13" t="str">
        <f aca="false">IF($D152="","",SUMIFS(posicoes_fornecedor!$D$3:$D$1000,posicoes_fornecedor!$B$3:$B$1000,$A152,posicoes_fornecedor!$A$3:$A$1000,$D152))</f>
        <v/>
      </c>
      <c r="G152" s="13" t="str">
        <f aca="false">IF($D152="","",SUMIFS(posicoes_fornecedor!$E$3:$E$1000,posicoes_fornecedor!$B$3:$B$1000,$A152,posicoes_fornecedor!$A$3:$A$1000,$D152))</f>
        <v/>
      </c>
      <c r="H152" s="13" t="str">
        <f aca="false">IF($E152="","",$E152-$F152)</f>
        <v/>
      </c>
      <c r="I152" s="32" t="str">
        <f aca="false">IF(OR($E152="",$E152=0),"",$F152/$E152)</f>
        <v/>
      </c>
      <c r="J152" s="32" t="str">
        <f aca="false">IF(OR($E152="",$E152=0),"",$G152/$E152)</f>
        <v/>
      </c>
    </row>
    <row r="153" customFormat="false" ht="15" hidden="false" customHeight="false" outlineLevel="0" collapsed="false">
      <c r="A153" s="18"/>
      <c r="B153" s="18"/>
      <c r="C153" s="18"/>
      <c r="D153" s="31" t="str">
        <f aca="false">IF($A153="","",IF(SUMPRODUCT(MAX((posicoes_fornecedor!$B$3:$B$1000=$A153)*posicoes_fornecedor!$A$3:$A$1000))=0,"",SUMPRODUCT(MAX((posicoes_fornecedor!$B$3:$B$1000=$A153)*posicoes_fornecedor!$A$3:$A$1000))))</f>
        <v/>
      </c>
      <c r="E153" s="13" t="str">
        <f aca="false">IF($D153="","",SUMIFS(posicoes_fornecedor!$C$3:$C$1000,posicoes_fornecedor!$B$3:$B$1000,$A153,posicoes_fornecedor!$A$3:$A$1000,$D153))</f>
        <v/>
      </c>
      <c r="F153" s="13" t="str">
        <f aca="false">IF($D153="","",SUMIFS(posicoes_fornecedor!$D$3:$D$1000,posicoes_fornecedor!$B$3:$B$1000,$A153,posicoes_fornecedor!$A$3:$A$1000,$D153))</f>
        <v/>
      </c>
      <c r="G153" s="13" t="str">
        <f aca="false">IF($D153="","",SUMIFS(posicoes_fornecedor!$E$3:$E$1000,posicoes_fornecedor!$B$3:$B$1000,$A153,posicoes_fornecedor!$A$3:$A$1000,$D153))</f>
        <v/>
      </c>
      <c r="H153" s="13" t="str">
        <f aca="false">IF($E153="","",$E153-$F153)</f>
        <v/>
      </c>
      <c r="I153" s="32" t="str">
        <f aca="false">IF(OR($E153="",$E153=0),"",$F153/$E153)</f>
        <v/>
      </c>
      <c r="J153" s="32" t="str">
        <f aca="false">IF(OR($E153="",$E153=0),"",$G153/$E153)</f>
        <v/>
      </c>
    </row>
    <row r="154" customFormat="false" ht="15" hidden="false" customHeight="false" outlineLevel="0" collapsed="false">
      <c r="A154" s="18"/>
      <c r="B154" s="18"/>
      <c r="C154" s="18"/>
      <c r="D154" s="31" t="str">
        <f aca="false">IF($A154="","",IF(SUMPRODUCT(MAX((posicoes_fornecedor!$B$3:$B$1000=$A154)*posicoes_fornecedor!$A$3:$A$1000))=0,"",SUMPRODUCT(MAX((posicoes_fornecedor!$B$3:$B$1000=$A154)*posicoes_fornecedor!$A$3:$A$1000))))</f>
        <v/>
      </c>
      <c r="E154" s="13" t="str">
        <f aca="false">IF($D154="","",SUMIFS(posicoes_fornecedor!$C$3:$C$1000,posicoes_fornecedor!$B$3:$B$1000,$A154,posicoes_fornecedor!$A$3:$A$1000,$D154))</f>
        <v/>
      </c>
      <c r="F154" s="13" t="str">
        <f aca="false">IF($D154="","",SUMIFS(posicoes_fornecedor!$D$3:$D$1000,posicoes_fornecedor!$B$3:$B$1000,$A154,posicoes_fornecedor!$A$3:$A$1000,$D154))</f>
        <v/>
      </c>
      <c r="G154" s="13" t="str">
        <f aca="false">IF($D154="","",SUMIFS(posicoes_fornecedor!$E$3:$E$1000,posicoes_fornecedor!$B$3:$B$1000,$A154,posicoes_fornecedor!$A$3:$A$1000,$D154))</f>
        <v/>
      </c>
      <c r="H154" s="13" t="str">
        <f aca="false">IF($E154="","",$E154-$F154)</f>
        <v/>
      </c>
      <c r="I154" s="32" t="str">
        <f aca="false">IF(OR($E154="",$E154=0),"",$F154/$E154)</f>
        <v/>
      </c>
      <c r="J154" s="32" t="str">
        <f aca="false">IF(OR($E154="",$E154=0),"",$G154/$E154)</f>
        <v/>
      </c>
    </row>
    <row r="155" customFormat="false" ht="15" hidden="false" customHeight="false" outlineLevel="0" collapsed="false">
      <c r="A155" s="18"/>
      <c r="B155" s="18"/>
      <c r="C155" s="18"/>
      <c r="D155" s="31" t="str">
        <f aca="false">IF($A155="","",IF(SUMPRODUCT(MAX((posicoes_fornecedor!$B$3:$B$1000=$A155)*posicoes_fornecedor!$A$3:$A$1000))=0,"",SUMPRODUCT(MAX((posicoes_fornecedor!$B$3:$B$1000=$A155)*posicoes_fornecedor!$A$3:$A$1000))))</f>
        <v/>
      </c>
      <c r="E155" s="13" t="str">
        <f aca="false">IF($D155="","",SUMIFS(posicoes_fornecedor!$C$3:$C$1000,posicoes_fornecedor!$B$3:$B$1000,$A155,posicoes_fornecedor!$A$3:$A$1000,$D155))</f>
        <v/>
      </c>
      <c r="F155" s="13" t="str">
        <f aca="false">IF($D155="","",SUMIFS(posicoes_fornecedor!$D$3:$D$1000,posicoes_fornecedor!$B$3:$B$1000,$A155,posicoes_fornecedor!$A$3:$A$1000,$D155))</f>
        <v/>
      </c>
      <c r="G155" s="13" t="str">
        <f aca="false">IF($D155="","",SUMIFS(posicoes_fornecedor!$E$3:$E$1000,posicoes_fornecedor!$B$3:$B$1000,$A155,posicoes_fornecedor!$A$3:$A$1000,$D155))</f>
        <v/>
      </c>
      <c r="H155" s="13" t="str">
        <f aca="false">IF($E155="","",$E155-$F155)</f>
        <v/>
      </c>
      <c r="I155" s="32" t="str">
        <f aca="false">IF(OR($E155="",$E155=0),"",$F155/$E155)</f>
        <v/>
      </c>
      <c r="J155" s="32" t="str">
        <f aca="false">IF(OR($E155="",$E155=0),"",$G155/$E155)</f>
        <v/>
      </c>
    </row>
    <row r="156" customFormat="false" ht="15" hidden="false" customHeight="false" outlineLevel="0" collapsed="false">
      <c r="A156" s="18"/>
      <c r="B156" s="18"/>
      <c r="C156" s="18"/>
      <c r="D156" s="31" t="str">
        <f aca="false">IF($A156="","",IF(SUMPRODUCT(MAX((posicoes_fornecedor!$B$3:$B$1000=$A156)*posicoes_fornecedor!$A$3:$A$1000))=0,"",SUMPRODUCT(MAX((posicoes_fornecedor!$B$3:$B$1000=$A156)*posicoes_fornecedor!$A$3:$A$1000))))</f>
        <v/>
      </c>
      <c r="E156" s="13" t="str">
        <f aca="false">IF($D156="","",SUMIFS(posicoes_fornecedor!$C$3:$C$1000,posicoes_fornecedor!$B$3:$B$1000,$A156,posicoes_fornecedor!$A$3:$A$1000,$D156))</f>
        <v/>
      </c>
      <c r="F156" s="13" t="str">
        <f aca="false">IF($D156="","",SUMIFS(posicoes_fornecedor!$D$3:$D$1000,posicoes_fornecedor!$B$3:$B$1000,$A156,posicoes_fornecedor!$A$3:$A$1000,$D156))</f>
        <v/>
      </c>
      <c r="G156" s="13" t="str">
        <f aca="false">IF($D156="","",SUMIFS(posicoes_fornecedor!$E$3:$E$1000,posicoes_fornecedor!$B$3:$B$1000,$A156,posicoes_fornecedor!$A$3:$A$1000,$D156))</f>
        <v/>
      </c>
      <c r="H156" s="13" t="str">
        <f aca="false">IF($E156="","",$E156-$F156)</f>
        <v/>
      </c>
      <c r="I156" s="32" t="str">
        <f aca="false">IF(OR($E156="",$E156=0),"",$F156/$E156)</f>
        <v/>
      </c>
      <c r="J156" s="32" t="str">
        <f aca="false">IF(OR($E156="",$E156=0),"",$G156/$E156)</f>
        <v/>
      </c>
    </row>
    <row r="157" customFormat="false" ht="15" hidden="false" customHeight="false" outlineLevel="0" collapsed="false">
      <c r="A157" s="18"/>
      <c r="B157" s="18"/>
      <c r="C157" s="18"/>
      <c r="D157" s="31" t="str">
        <f aca="false">IF($A157="","",IF(SUMPRODUCT(MAX((posicoes_fornecedor!$B$3:$B$1000=$A157)*posicoes_fornecedor!$A$3:$A$1000))=0,"",SUMPRODUCT(MAX((posicoes_fornecedor!$B$3:$B$1000=$A157)*posicoes_fornecedor!$A$3:$A$1000))))</f>
        <v/>
      </c>
      <c r="E157" s="13" t="str">
        <f aca="false">IF($D157="","",SUMIFS(posicoes_fornecedor!$C$3:$C$1000,posicoes_fornecedor!$B$3:$B$1000,$A157,posicoes_fornecedor!$A$3:$A$1000,$D157))</f>
        <v/>
      </c>
      <c r="F157" s="13" t="str">
        <f aca="false">IF($D157="","",SUMIFS(posicoes_fornecedor!$D$3:$D$1000,posicoes_fornecedor!$B$3:$B$1000,$A157,posicoes_fornecedor!$A$3:$A$1000,$D157))</f>
        <v/>
      </c>
      <c r="G157" s="13" t="str">
        <f aca="false">IF($D157="","",SUMIFS(posicoes_fornecedor!$E$3:$E$1000,posicoes_fornecedor!$B$3:$B$1000,$A157,posicoes_fornecedor!$A$3:$A$1000,$D157))</f>
        <v/>
      </c>
      <c r="H157" s="13" t="str">
        <f aca="false">IF($E157="","",$E157-$F157)</f>
        <v/>
      </c>
      <c r="I157" s="32" t="str">
        <f aca="false">IF(OR($E157="",$E157=0),"",$F157/$E157)</f>
        <v/>
      </c>
      <c r="J157" s="32" t="str">
        <f aca="false">IF(OR($E157="",$E157=0),"",$G157/$E157)</f>
        <v/>
      </c>
    </row>
    <row r="158" customFormat="false" ht="15" hidden="false" customHeight="false" outlineLevel="0" collapsed="false">
      <c r="A158" s="18"/>
      <c r="B158" s="18"/>
      <c r="C158" s="18"/>
      <c r="D158" s="31" t="str">
        <f aca="false">IF($A158="","",IF(SUMPRODUCT(MAX((posicoes_fornecedor!$B$3:$B$1000=$A158)*posicoes_fornecedor!$A$3:$A$1000))=0,"",SUMPRODUCT(MAX((posicoes_fornecedor!$B$3:$B$1000=$A158)*posicoes_fornecedor!$A$3:$A$1000))))</f>
        <v/>
      </c>
      <c r="E158" s="13" t="str">
        <f aca="false">IF($D158="","",SUMIFS(posicoes_fornecedor!$C$3:$C$1000,posicoes_fornecedor!$B$3:$B$1000,$A158,posicoes_fornecedor!$A$3:$A$1000,$D158))</f>
        <v/>
      </c>
      <c r="F158" s="13" t="str">
        <f aca="false">IF($D158="","",SUMIFS(posicoes_fornecedor!$D$3:$D$1000,posicoes_fornecedor!$B$3:$B$1000,$A158,posicoes_fornecedor!$A$3:$A$1000,$D158))</f>
        <v/>
      </c>
      <c r="G158" s="13" t="str">
        <f aca="false">IF($D158="","",SUMIFS(posicoes_fornecedor!$E$3:$E$1000,posicoes_fornecedor!$B$3:$B$1000,$A158,posicoes_fornecedor!$A$3:$A$1000,$D158))</f>
        <v/>
      </c>
      <c r="H158" s="13" t="str">
        <f aca="false">IF($E158="","",$E158-$F158)</f>
        <v/>
      </c>
      <c r="I158" s="32" t="str">
        <f aca="false">IF(OR($E158="",$E158=0),"",$F158/$E158)</f>
        <v/>
      </c>
      <c r="J158" s="32" t="str">
        <f aca="false">IF(OR($E158="",$E158=0),"",$G158/$E158)</f>
        <v/>
      </c>
    </row>
    <row r="159" customFormat="false" ht="15" hidden="false" customHeight="false" outlineLevel="0" collapsed="false">
      <c r="A159" s="18"/>
      <c r="B159" s="18"/>
      <c r="C159" s="18"/>
      <c r="D159" s="31" t="str">
        <f aca="false">IF($A159="","",IF(SUMPRODUCT(MAX((posicoes_fornecedor!$B$3:$B$1000=$A159)*posicoes_fornecedor!$A$3:$A$1000))=0,"",SUMPRODUCT(MAX((posicoes_fornecedor!$B$3:$B$1000=$A159)*posicoes_fornecedor!$A$3:$A$1000))))</f>
        <v/>
      </c>
      <c r="E159" s="13" t="str">
        <f aca="false">IF($D159="","",SUMIFS(posicoes_fornecedor!$C$3:$C$1000,posicoes_fornecedor!$B$3:$B$1000,$A159,posicoes_fornecedor!$A$3:$A$1000,$D159))</f>
        <v/>
      </c>
      <c r="F159" s="13" t="str">
        <f aca="false">IF($D159="","",SUMIFS(posicoes_fornecedor!$D$3:$D$1000,posicoes_fornecedor!$B$3:$B$1000,$A159,posicoes_fornecedor!$A$3:$A$1000,$D159))</f>
        <v/>
      </c>
      <c r="G159" s="13" t="str">
        <f aca="false">IF($D159="","",SUMIFS(posicoes_fornecedor!$E$3:$E$1000,posicoes_fornecedor!$B$3:$B$1000,$A159,posicoes_fornecedor!$A$3:$A$1000,$D159))</f>
        <v/>
      </c>
      <c r="H159" s="13" t="str">
        <f aca="false">IF($E159="","",$E159-$F159)</f>
        <v/>
      </c>
      <c r="I159" s="32" t="str">
        <f aca="false">IF(OR($E159="",$E159=0),"",$F159/$E159)</f>
        <v/>
      </c>
      <c r="J159" s="32" t="str">
        <f aca="false">IF(OR($E159="",$E159=0),"",$G159/$E159)</f>
        <v/>
      </c>
    </row>
    <row r="160" customFormat="false" ht="15" hidden="false" customHeight="false" outlineLevel="0" collapsed="false">
      <c r="A160" s="18"/>
      <c r="B160" s="18"/>
      <c r="C160" s="18"/>
      <c r="D160" s="31" t="str">
        <f aca="false">IF($A160="","",IF(SUMPRODUCT(MAX((posicoes_fornecedor!$B$3:$B$1000=$A160)*posicoes_fornecedor!$A$3:$A$1000))=0,"",SUMPRODUCT(MAX((posicoes_fornecedor!$B$3:$B$1000=$A160)*posicoes_fornecedor!$A$3:$A$1000))))</f>
        <v/>
      </c>
      <c r="E160" s="13" t="str">
        <f aca="false">IF($D160="","",SUMIFS(posicoes_fornecedor!$C$3:$C$1000,posicoes_fornecedor!$B$3:$B$1000,$A160,posicoes_fornecedor!$A$3:$A$1000,$D160))</f>
        <v/>
      </c>
      <c r="F160" s="13" t="str">
        <f aca="false">IF($D160="","",SUMIFS(posicoes_fornecedor!$D$3:$D$1000,posicoes_fornecedor!$B$3:$B$1000,$A160,posicoes_fornecedor!$A$3:$A$1000,$D160))</f>
        <v/>
      </c>
      <c r="G160" s="13" t="str">
        <f aca="false">IF($D160="","",SUMIFS(posicoes_fornecedor!$E$3:$E$1000,posicoes_fornecedor!$B$3:$B$1000,$A160,posicoes_fornecedor!$A$3:$A$1000,$D160))</f>
        <v/>
      </c>
      <c r="H160" s="13" t="str">
        <f aca="false">IF($E160="","",$E160-$F160)</f>
        <v/>
      </c>
      <c r="I160" s="32" t="str">
        <f aca="false">IF(OR($E160="",$E160=0),"",$F160/$E160)</f>
        <v/>
      </c>
      <c r="J160" s="32" t="str">
        <f aca="false">IF(OR($E160="",$E160=0),"",$G160/$E160)</f>
        <v/>
      </c>
    </row>
    <row r="161" customFormat="false" ht="15" hidden="false" customHeight="false" outlineLevel="0" collapsed="false">
      <c r="A161" s="18"/>
      <c r="B161" s="18"/>
      <c r="C161" s="18"/>
      <c r="D161" s="31" t="str">
        <f aca="false">IF($A161="","",IF(SUMPRODUCT(MAX((posicoes_fornecedor!$B$3:$B$1000=$A161)*posicoes_fornecedor!$A$3:$A$1000))=0,"",SUMPRODUCT(MAX((posicoes_fornecedor!$B$3:$B$1000=$A161)*posicoes_fornecedor!$A$3:$A$1000))))</f>
        <v/>
      </c>
      <c r="E161" s="13" t="str">
        <f aca="false">IF($D161="","",SUMIFS(posicoes_fornecedor!$C$3:$C$1000,posicoes_fornecedor!$B$3:$B$1000,$A161,posicoes_fornecedor!$A$3:$A$1000,$D161))</f>
        <v/>
      </c>
      <c r="F161" s="13" t="str">
        <f aca="false">IF($D161="","",SUMIFS(posicoes_fornecedor!$D$3:$D$1000,posicoes_fornecedor!$B$3:$B$1000,$A161,posicoes_fornecedor!$A$3:$A$1000,$D161))</f>
        <v/>
      </c>
      <c r="G161" s="13" t="str">
        <f aca="false">IF($D161="","",SUMIFS(posicoes_fornecedor!$E$3:$E$1000,posicoes_fornecedor!$B$3:$B$1000,$A161,posicoes_fornecedor!$A$3:$A$1000,$D161))</f>
        <v/>
      </c>
      <c r="H161" s="13" t="str">
        <f aca="false">IF($E161="","",$E161-$F161)</f>
        <v/>
      </c>
      <c r="I161" s="32" t="str">
        <f aca="false">IF(OR($E161="",$E161=0),"",$F161/$E161)</f>
        <v/>
      </c>
      <c r="J161" s="32" t="str">
        <f aca="false">IF(OR($E161="",$E161=0),"",$G161/$E161)</f>
        <v/>
      </c>
    </row>
    <row r="162" customFormat="false" ht="15" hidden="false" customHeight="false" outlineLevel="0" collapsed="false">
      <c r="A162" s="18"/>
      <c r="B162" s="18"/>
      <c r="C162" s="18"/>
      <c r="D162" s="31" t="str">
        <f aca="false">IF($A162="","",IF(SUMPRODUCT(MAX((posicoes_fornecedor!$B$3:$B$1000=$A162)*posicoes_fornecedor!$A$3:$A$1000))=0,"",SUMPRODUCT(MAX((posicoes_fornecedor!$B$3:$B$1000=$A162)*posicoes_fornecedor!$A$3:$A$1000))))</f>
        <v/>
      </c>
      <c r="E162" s="13" t="str">
        <f aca="false">IF($D162="","",SUMIFS(posicoes_fornecedor!$C$3:$C$1000,posicoes_fornecedor!$B$3:$B$1000,$A162,posicoes_fornecedor!$A$3:$A$1000,$D162))</f>
        <v/>
      </c>
      <c r="F162" s="13" t="str">
        <f aca="false">IF($D162="","",SUMIFS(posicoes_fornecedor!$D$3:$D$1000,posicoes_fornecedor!$B$3:$B$1000,$A162,posicoes_fornecedor!$A$3:$A$1000,$D162))</f>
        <v/>
      </c>
      <c r="G162" s="13" t="str">
        <f aca="false">IF($D162="","",SUMIFS(posicoes_fornecedor!$E$3:$E$1000,posicoes_fornecedor!$B$3:$B$1000,$A162,posicoes_fornecedor!$A$3:$A$1000,$D162))</f>
        <v/>
      </c>
      <c r="H162" s="13" t="str">
        <f aca="false">IF($E162="","",$E162-$F162)</f>
        <v/>
      </c>
      <c r="I162" s="32" t="str">
        <f aca="false">IF(OR($E162="",$E162=0),"",$F162/$E162)</f>
        <v/>
      </c>
      <c r="J162" s="32" t="str">
        <f aca="false">IF(OR($E162="",$E162=0),"",$G162/$E162)</f>
        <v/>
      </c>
    </row>
    <row r="163" customFormat="false" ht="15" hidden="false" customHeight="false" outlineLevel="0" collapsed="false">
      <c r="A163" s="18"/>
      <c r="B163" s="18"/>
      <c r="C163" s="18"/>
      <c r="D163" s="31" t="str">
        <f aca="false">IF($A163="","",IF(SUMPRODUCT(MAX((posicoes_fornecedor!$B$3:$B$1000=$A163)*posicoes_fornecedor!$A$3:$A$1000))=0,"",SUMPRODUCT(MAX((posicoes_fornecedor!$B$3:$B$1000=$A163)*posicoes_fornecedor!$A$3:$A$1000))))</f>
        <v/>
      </c>
      <c r="E163" s="13" t="str">
        <f aca="false">IF($D163="","",SUMIFS(posicoes_fornecedor!$C$3:$C$1000,posicoes_fornecedor!$B$3:$B$1000,$A163,posicoes_fornecedor!$A$3:$A$1000,$D163))</f>
        <v/>
      </c>
      <c r="F163" s="13" t="str">
        <f aca="false">IF($D163="","",SUMIFS(posicoes_fornecedor!$D$3:$D$1000,posicoes_fornecedor!$B$3:$B$1000,$A163,posicoes_fornecedor!$A$3:$A$1000,$D163))</f>
        <v/>
      </c>
      <c r="G163" s="13" t="str">
        <f aca="false">IF($D163="","",SUMIFS(posicoes_fornecedor!$E$3:$E$1000,posicoes_fornecedor!$B$3:$B$1000,$A163,posicoes_fornecedor!$A$3:$A$1000,$D163))</f>
        <v/>
      </c>
      <c r="H163" s="13" t="str">
        <f aca="false">IF($E163="","",$E163-$F163)</f>
        <v/>
      </c>
      <c r="I163" s="32" t="str">
        <f aca="false">IF(OR($E163="",$E163=0),"",$F163/$E163)</f>
        <v/>
      </c>
      <c r="J163" s="32" t="str">
        <f aca="false">IF(OR($E163="",$E163=0),"",$G163/$E163)</f>
        <v/>
      </c>
    </row>
    <row r="164" customFormat="false" ht="15" hidden="false" customHeight="false" outlineLevel="0" collapsed="false">
      <c r="A164" s="18"/>
      <c r="B164" s="18"/>
      <c r="C164" s="18"/>
      <c r="D164" s="31" t="str">
        <f aca="false">IF($A164="","",IF(SUMPRODUCT(MAX((posicoes_fornecedor!$B$3:$B$1000=$A164)*posicoes_fornecedor!$A$3:$A$1000))=0,"",SUMPRODUCT(MAX((posicoes_fornecedor!$B$3:$B$1000=$A164)*posicoes_fornecedor!$A$3:$A$1000))))</f>
        <v/>
      </c>
      <c r="E164" s="13" t="str">
        <f aca="false">IF($D164="","",SUMIFS(posicoes_fornecedor!$C$3:$C$1000,posicoes_fornecedor!$B$3:$B$1000,$A164,posicoes_fornecedor!$A$3:$A$1000,$D164))</f>
        <v/>
      </c>
      <c r="F164" s="13" t="str">
        <f aca="false">IF($D164="","",SUMIFS(posicoes_fornecedor!$D$3:$D$1000,posicoes_fornecedor!$B$3:$B$1000,$A164,posicoes_fornecedor!$A$3:$A$1000,$D164))</f>
        <v/>
      </c>
      <c r="G164" s="13" t="str">
        <f aca="false">IF($D164="","",SUMIFS(posicoes_fornecedor!$E$3:$E$1000,posicoes_fornecedor!$B$3:$B$1000,$A164,posicoes_fornecedor!$A$3:$A$1000,$D164))</f>
        <v/>
      </c>
      <c r="H164" s="13" t="str">
        <f aca="false">IF($E164="","",$E164-$F164)</f>
        <v/>
      </c>
      <c r="I164" s="32" t="str">
        <f aca="false">IF(OR($E164="",$E164=0),"",$F164/$E164)</f>
        <v/>
      </c>
      <c r="J164" s="32" t="str">
        <f aca="false">IF(OR($E164="",$E164=0),"",$G164/$E164)</f>
        <v/>
      </c>
    </row>
    <row r="165" customFormat="false" ht="15" hidden="false" customHeight="false" outlineLevel="0" collapsed="false">
      <c r="A165" s="18"/>
      <c r="B165" s="18"/>
      <c r="C165" s="18"/>
      <c r="D165" s="31" t="str">
        <f aca="false">IF($A165="","",IF(SUMPRODUCT(MAX((posicoes_fornecedor!$B$3:$B$1000=$A165)*posicoes_fornecedor!$A$3:$A$1000))=0,"",SUMPRODUCT(MAX((posicoes_fornecedor!$B$3:$B$1000=$A165)*posicoes_fornecedor!$A$3:$A$1000))))</f>
        <v/>
      </c>
      <c r="E165" s="13" t="str">
        <f aca="false">IF($D165="","",SUMIFS(posicoes_fornecedor!$C$3:$C$1000,posicoes_fornecedor!$B$3:$B$1000,$A165,posicoes_fornecedor!$A$3:$A$1000,$D165))</f>
        <v/>
      </c>
      <c r="F165" s="13" t="str">
        <f aca="false">IF($D165="","",SUMIFS(posicoes_fornecedor!$D$3:$D$1000,posicoes_fornecedor!$B$3:$B$1000,$A165,posicoes_fornecedor!$A$3:$A$1000,$D165))</f>
        <v/>
      </c>
      <c r="G165" s="13" t="str">
        <f aca="false">IF($D165="","",SUMIFS(posicoes_fornecedor!$E$3:$E$1000,posicoes_fornecedor!$B$3:$B$1000,$A165,posicoes_fornecedor!$A$3:$A$1000,$D165))</f>
        <v/>
      </c>
      <c r="H165" s="13" t="str">
        <f aca="false">IF($E165="","",$E165-$F165)</f>
        <v/>
      </c>
      <c r="I165" s="32" t="str">
        <f aca="false">IF(OR($E165="",$E165=0),"",$F165/$E165)</f>
        <v/>
      </c>
      <c r="J165" s="32" t="str">
        <f aca="false">IF(OR($E165="",$E165=0),"",$G165/$E165)</f>
        <v/>
      </c>
    </row>
    <row r="166" customFormat="false" ht="15" hidden="false" customHeight="false" outlineLevel="0" collapsed="false">
      <c r="A166" s="18"/>
      <c r="B166" s="18"/>
      <c r="C166" s="18"/>
      <c r="D166" s="31" t="str">
        <f aca="false">IF($A166="","",IF(SUMPRODUCT(MAX((posicoes_fornecedor!$B$3:$B$1000=$A166)*posicoes_fornecedor!$A$3:$A$1000))=0,"",SUMPRODUCT(MAX((posicoes_fornecedor!$B$3:$B$1000=$A166)*posicoes_fornecedor!$A$3:$A$1000))))</f>
        <v/>
      </c>
      <c r="E166" s="13" t="str">
        <f aca="false">IF($D166="","",SUMIFS(posicoes_fornecedor!$C$3:$C$1000,posicoes_fornecedor!$B$3:$B$1000,$A166,posicoes_fornecedor!$A$3:$A$1000,$D166))</f>
        <v/>
      </c>
      <c r="F166" s="13" t="str">
        <f aca="false">IF($D166="","",SUMIFS(posicoes_fornecedor!$D$3:$D$1000,posicoes_fornecedor!$B$3:$B$1000,$A166,posicoes_fornecedor!$A$3:$A$1000,$D166))</f>
        <v/>
      </c>
      <c r="G166" s="13" t="str">
        <f aca="false">IF($D166="","",SUMIFS(posicoes_fornecedor!$E$3:$E$1000,posicoes_fornecedor!$B$3:$B$1000,$A166,posicoes_fornecedor!$A$3:$A$1000,$D166))</f>
        <v/>
      </c>
      <c r="H166" s="13" t="str">
        <f aca="false">IF($E166="","",$E166-$F166)</f>
        <v/>
      </c>
      <c r="I166" s="32" t="str">
        <f aca="false">IF(OR($E166="",$E166=0),"",$F166/$E166)</f>
        <v/>
      </c>
      <c r="J166" s="32" t="str">
        <f aca="false">IF(OR($E166="",$E166=0),"",$G166/$E166)</f>
        <v/>
      </c>
    </row>
    <row r="167" customFormat="false" ht="15" hidden="false" customHeight="false" outlineLevel="0" collapsed="false">
      <c r="A167" s="18"/>
      <c r="B167" s="18"/>
      <c r="C167" s="18"/>
      <c r="D167" s="31" t="str">
        <f aca="false">IF($A167="","",IF(SUMPRODUCT(MAX((posicoes_fornecedor!$B$3:$B$1000=$A167)*posicoes_fornecedor!$A$3:$A$1000))=0,"",SUMPRODUCT(MAX((posicoes_fornecedor!$B$3:$B$1000=$A167)*posicoes_fornecedor!$A$3:$A$1000))))</f>
        <v/>
      </c>
      <c r="E167" s="13" t="str">
        <f aca="false">IF($D167="","",SUMIFS(posicoes_fornecedor!$C$3:$C$1000,posicoes_fornecedor!$B$3:$B$1000,$A167,posicoes_fornecedor!$A$3:$A$1000,$D167))</f>
        <v/>
      </c>
      <c r="F167" s="13" t="str">
        <f aca="false">IF($D167="","",SUMIFS(posicoes_fornecedor!$D$3:$D$1000,posicoes_fornecedor!$B$3:$B$1000,$A167,posicoes_fornecedor!$A$3:$A$1000,$D167))</f>
        <v/>
      </c>
      <c r="G167" s="13" t="str">
        <f aca="false">IF($D167="","",SUMIFS(posicoes_fornecedor!$E$3:$E$1000,posicoes_fornecedor!$B$3:$B$1000,$A167,posicoes_fornecedor!$A$3:$A$1000,$D167))</f>
        <v/>
      </c>
      <c r="H167" s="13" t="str">
        <f aca="false">IF($E167="","",$E167-$F167)</f>
        <v/>
      </c>
      <c r="I167" s="32" t="str">
        <f aca="false">IF(OR($E167="",$E167=0),"",$F167/$E167)</f>
        <v/>
      </c>
      <c r="J167" s="32" t="str">
        <f aca="false">IF(OR($E167="",$E167=0),"",$G167/$E167)</f>
        <v/>
      </c>
    </row>
    <row r="168" customFormat="false" ht="15" hidden="false" customHeight="false" outlineLevel="0" collapsed="false">
      <c r="A168" s="18"/>
      <c r="B168" s="18"/>
      <c r="C168" s="18"/>
      <c r="D168" s="31" t="str">
        <f aca="false">IF($A168="","",IF(SUMPRODUCT(MAX((posicoes_fornecedor!$B$3:$B$1000=$A168)*posicoes_fornecedor!$A$3:$A$1000))=0,"",SUMPRODUCT(MAX((posicoes_fornecedor!$B$3:$B$1000=$A168)*posicoes_fornecedor!$A$3:$A$1000))))</f>
        <v/>
      </c>
      <c r="E168" s="13" t="str">
        <f aca="false">IF($D168="","",SUMIFS(posicoes_fornecedor!$C$3:$C$1000,posicoes_fornecedor!$B$3:$B$1000,$A168,posicoes_fornecedor!$A$3:$A$1000,$D168))</f>
        <v/>
      </c>
      <c r="F168" s="13" t="str">
        <f aca="false">IF($D168="","",SUMIFS(posicoes_fornecedor!$D$3:$D$1000,posicoes_fornecedor!$B$3:$B$1000,$A168,posicoes_fornecedor!$A$3:$A$1000,$D168))</f>
        <v/>
      </c>
      <c r="G168" s="13" t="str">
        <f aca="false">IF($D168="","",SUMIFS(posicoes_fornecedor!$E$3:$E$1000,posicoes_fornecedor!$B$3:$B$1000,$A168,posicoes_fornecedor!$A$3:$A$1000,$D168))</f>
        <v/>
      </c>
      <c r="H168" s="13" t="str">
        <f aca="false">IF($E168="","",$E168-$F168)</f>
        <v/>
      </c>
      <c r="I168" s="32" t="str">
        <f aca="false">IF(OR($E168="",$E168=0),"",$F168/$E168)</f>
        <v/>
      </c>
      <c r="J168" s="32" t="str">
        <f aca="false">IF(OR($E168="",$E168=0),"",$G168/$E168)</f>
        <v/>
      </c>
    </row>
    <row r="169" customFormat="false" ht="15" hidden="false" customHeight="false" outlineLevel="0" collapsed="false">
      <c r="A169" s="18"/>
      <c r="B169" s="18"/>
      <c r="C169" s="18"/>
      <c r="D169" s="31" t="str">
        <f aca="false">IF($A169="","",IF(SUMPRODUCT(MAX((posicoes_fornecedor!$B$3:$B$1000=$A169)*posicoes_fornecedor!$A$3:$A$1000))=0,"",SUMPRODUCT(MAX((posicoes_fornecedor!$B$3:$B$1000=$A169)*posicoes_fornecedor!$A$3:$A$1000))))</f>
        <v/>
      </c>
      <c r="E169" s="13" t="str">
        <f aca="false">IF($D169="","",SUMIFS(posicoes_fornecedor!$C$3:$C$1000,posicoes_fornecedor!$B$3:$B$1000,$A169,posicoes_fornecedor!$A$3:$A$1000,$D169))</f>
        <v/>
      </c>
      <c r="F169" s="13" t="str">
        <f aca="false">IF($D169="","",SUMIFS(posicoes_fornecedor!$D$3:$D$1000,posicoes_fornecedor!$B$3:$B$1000,$A169,posicoes_fornecedor!$A$3:$A$1000,$D169))</f>
        <v/>
      </c>
      <c r="G169" s="13" t="str">
        <f aca="false">IF($D169="","",SUMIFS(posicoes_fornecedor!$E$3:$E$1000,posicoes_fornecedor!$B$3:$B$1000,$A169,posicoes_fornecedor!$A$3:$A$1000,$D169))</f>
        <v/>
      </c>
      <c r="H169" s="13" t="str">
        <f aca="false">IF($E169="","",$E169-$F169)</f>
        <v/>
      </c>
      <c r="I169" s="32" t="str">
        <f aca="false">IF(OR($E169="",$E169=0),"",$F169/$E169)</f>
        <v/>
      </c>
      <c r="J169" s="32" t="str">
        <f aca="false">IF(OR($E169="",$E169=0),"",$G169/$E169)</f>
        <v/>
      </c>
    </row>
    <row r="170" customFormat="false" ht="15" hidden="false" customHeight="false" outlineLevel="0" collapsed="false">
      <c r="A170" s="18"/>
      <c r="B170" s="18"/>
      <c r="C170" s="18"/>
      <c r="D170" s="31" t="str">
        <f aca="false">IF($A170="","",IF(SUMPRODUCT(MAX((posicoes_fornecedor!$B$3:$B$1000=$A170)*posicoes_fornecedor!$A$3:$A$1000))=0,"",SUMPRODUCT(MAX((posicoes_fornecedor!$B$3:$B$1000=$A170)*posicoes_fornecedor!$A$3:$A$1000))))</f>
        <v/>
      </c>
      <c r="E170" s="13" t="str">
        <f aca="false">IF($D170="","",SUMIFS(posicoes_fornecedor!$C$3:$C$1000,posicoes_fornecedor!$B$3:$B$1000,$A170,posicoes_fornecedor!$A$3:$A$1000,$D170))</f>
        <v/>
      </c>
      <c r="F170" s="13" t="str">
        <f aca="false">IF($D170="","",SUMIFS(posicoes_fornecedor!$D$3:$D$1000,posicoes_fornecedor!$B$3:$B$1000,$A170,posicoes_fornecedor!$A$3:$A$1000,$D170))</f>
        <v/>
      </c>
      <c r="G170" s="13" t="str">
        <f aca="false">IF($D170="","",SUMIFS(posicoes_fornecedor!$E$3:$E$1000,posicoes_fornecedor!$B$3:$B$1000,$A170,posicoes_fornecedor!$A$3:$A$1000,$D170))</f>
        <v/>
      </c>
      <c r="H170" s="13" t="str">
        <f aca="false">IF($E170="","",$E170-$F170)</f>
        <v/>
      </c>
      <c r="I170" s="32" t="str">
        <f aca="false">IF(OR($E170="",$E170=0),"",$F170/$E170)</f>
        <v/>
      </c>
      <c r="J170" s="32" t="str">
        <f aca="false">IF(OR($E170="",$E170=0),"",$G170/$E170)</f>
        <v/>
      </c>
    </row>
    <row r="171" customFormat="false" ht="15" hidden="false" customHeight="false" outlineLevel="0" collapsed="false">
      <c r="A171" s="18"/>
      <c r="B171" s="18"/>
      <c r="C171" s="18"/>
      <c r="D171" s="31" t="str">
        <f aca="false">IF($A171="","",IF(SUMPRODUCT(MAX((posicoes_fornecedor!$B$3:$B$1000=$A171)*posicoes_fornecedor!$A$3:$A$1000))=0,"",SUMPRODUCT(MAX((posicoes_fornecedor!$B$3:$B$1000=$A171)*posicoes_fornecedor!$A$3:$A$1000))))</f>
        <v/>
      </c>
      <c r="E171" s="13" t="str">
        <f aca="false">IF($D171="","",SUMIFS(posicoes_fornecedor!$C$3:$C$1000,posicoes_fornecedor!$B$3:$B$1000,$A171,posicoes_fornecedor!$A$3:$A$1000,$D171))</f>
        <v/>
      </c>
      <c r="F171" s="13" t="str">
        <f aca="false">IF($D171="","",SUMIFS(posicoes_fornecedor!$D$3:$D$1000,posicoes_fornecedor!$B$3:$B$1000,$A171,posicoes_fornecedor!$A$3:$A$1000,$D171))</f>
        <v/>
      </c>
      <c r="G171" s="13" t="str">
        <f aca="false">IF($D171="","",SUMIFS(posicoes_fornecedor!$E$3:$E$1000,posicoes_fornecedor!$B$3:$B$1000,$A171,posicoes_fornecedor!$A$3:$A$1000,$D171))</f>
        <v/>
      </c>
      <c r="H171" s="13" t="str">
        <f aca="false">IF($E171="","",$E171-$F171)</f>
        <v/>
      </c>
      <c r="I171" s="32" t="str">
        <f aca="false">IF(OR($E171="",$E171=0),"",$F171/$E171)</f>
        <v/>
      </c>
      <c r="J171" s="32" t="str">
        <f aca="false">IF(OR($E171="",$E171=0),"",$G171/$E171)</f>
        <v/>
      </c>
    </row>
    <row r="172" customFormat="false" ht="15" hidden="false" customHeight="false" outlineLevel="0" collapsed="false">
      <c r="A172" s="18"/>
      <c r="B172" s="18"/>
      <c r="C172" s="18"/>
      <c r="D172" s="31" t="str">
        <f aca="false">IF($A172="","",IF(SUMPRODUCT(MAX((posicoes_fornecedor!$B$3:$B$1000=$A172)*posicoes_fornecedor!$A$3:$A$1000))=0,"",SUMPRODUCT(MAX((posicoes_fornecedor!$B$3:$B$1000=$A172)*posicoes_fornecedor!$A$3:$A$1000))))</f>
        <v/>
      </c>
      <c r="E172" s="13" t="str">
        <f aca="false">IF($D172="","",SUMIFS(posicoes_fornecedor!$C$3:$C$1000,posicoes_fornecedor!$B$3:$B$1000,$A172,posicoes_fornecedor!$A$3:$A$1000,$D172))</f>
        <v/>
      </c>
      <c r="F172" s="13" t="str">
        <f aca="false">IF($D172="","",SUMIFS(posicoes_fornecedor!$D$3:$D$1000,posicoes_fornecedor!$B$3:$B$1000,$A172,posicoes_fornecedor!$A$3:$A$1000,$D172))</f>
        <v/>
      </c>
      <c r="G172" s="13" t="str">
        <f aca="false">IF($D172="","",SUMIFS(posicoes_fornecedor!$E$3:$E$1000,posicoes_fornecedor!$B$3:$B$1000,$A172,posicoes_fornecedor!$A$3:$A$1000,$D172))</f>
        <v/>
      </c>
      <c r="H172" s="13" t="str">
        <f aca="false">IF($E172="","",$E172-$F172)</f>
        <v/>
      </c>
      <c r="I172" s="32" t="str">
        <f aca="false">IF(OR($E172="",$E172=0),"",$F172/$E172)</f>
        <v/>
      </c>
      <c r="J172" s="32" t="str">
        <f aca="false">IF(OR($E172="",$E172=0),"",$G172/$E172)</f>
        <v/>
      </c>
    </row>
    <row r="173" customFormat="false" ht="15" hidden="false" customHeight="false" outlineLevel="0" collapsed="false">
      <c r="A173" s="18"/>
      <c r="B173" s="18"/>
      <c r="C173" s="18"/>
      <c r="D173" s="31" t="str">
        <f aca="false">IF($A173="","",IF(SUMPRODUCT(MAX((posicoes_fornecedor!$B$3:$B$1000=$A173)*posicoes_fornecedor!$A$3:$A$1000))=0,"",SUMPRODUCT(MAX((posicoes_fornecedor!$B$3:$B$1000=$A173)*posicoes_fornecedor!$A$3:$A$1000))))</f>
        <v/>
      </c>
      <c r="E173" s="13" t="str">
        <f aca="false">IF($D173="","",SUMIFS(posicoes_fornecedor!$C$3:$C$1000,posicoes_fornecedor!$B$3:$B$1000,$A173,posicoes_fornecedor!$A$3:$A$1000,$D173))</f>
        <v/>
      </c>
      <c r="F173" s="13" t="str">
        <f aca="false">IF($D173="","",SUMIFS(posicoes_fornecedor!$D$3:$D$1000,posicoes_fornecedor!$B$3:$B$1000,$A173,posicoes_fornecedor!$A$3:$A$1000,$D173))</f>
        <v/>
      </c>
      <c r="G173" s="13" t="str">
        <f aca="false">IF($D173="","",SUMIFS(posicoes_fornecedor!$E$3:$E$1000,posicoes_fornecedor!$B$3:$B$1000,$A173,posicoes_fornecedor!$A$3:$A$1000,$D173))</f>
        <v/>
      </c>
      <c r="H173" s="13" t="str">
        <f aca="false">IF($E173="","",$E173-$F173)</f>
        <v/>
      </c>
      <c r="I173" s="32" t="str">
        <f aca="false">IF(OR($E173="",$E173=0),"",$F173/$E173)</f>
        <v/>
      </c>
      <c r="J173" s="32" t="str">
        <f aca="false">IF(OR($E173="",$E173=0),"",$G173/$E173)</f>
        <v/>
      </c>
    </row>
    <row r="174" customFormat="false" ht="15" hidden="false" customHeight="false" outlineLevel="0" collapsed="false">
      <c r="A174" s="18"/>
      <c r="B174" s="18"/>
      <c r="C174" s="18"/>
      <c r="D174" s="31" t="str">
        <f aca="false">IF($A174="","",IF(SUMPRODUCT(MAX((posicoes_fornecedor!$B$3:$B$1000=$A174)*posicoes_fornecedor!$A$3:$A$1000))=0,"",SUMPRODUCT(MAX((posicoes_fornecedor!$B$3:$B$1000=$A174)*posicoes_fornecedor!$A$3:$A$1000))))</f>
        <v/>
      </c>
      <c r="E174" s="13" t="str">
        <f aca="false">IF($D174="","",SUMIFS(posicoes_fornecedor!$C$3:$C$1000,posicoes_fornecedor!$B$3:$B$1000,$A174,posicoes_fornecedor!$A$3:$A$1000,$D174))</f>
        <v/>
      </c>
      <c r="F174" s="13" t="str">
        <f aca="false">IF($D174="","",SUMIFS(posicoes_fornecedor!$D$3:$D$1000,posicoes_fornecedor!$B$3:$B$1000,$A174,posicoes_fornecedor!$A$3:$A$1000,$D174))</f>
        <v/>
      </c>
      <c r="G174" s="13" t="str">
        <f aca="false">IF($D174="","",SUMIFS(posicoes_fornecedor!$E$3:$E$1000,posicoes_fornecedor!$B$3:$B$1000,$A174,posicoes_fornecedor!$A$3:$A$1000,$D174))</f>
        <v/>
      </c>
      <c r="H174" s="13" t="str">
        <f aca="false">IF($E174="","",$E174-$F174)</f>
        <v/>
      </c>
      <c r="I174" s="32" t="str">
        <f aca="false">IF(OR($E174="",$E174=0),"",$F174/$E174)</f>
        <v/>
      </c>
      <c r="J174" s="32" t="str">
        <f aca="false">IF(OR($E174="",$E174=0),"",$G174/$E174)</f>
        <v/>
      </c>
    </row>
    <row r="175" customFormat="false" ht="15" hidden="false" customHeight="false" outlineLevel="0" collapsed="false">
      <c r="A175" s="18"/>
      <c r="B175" s="18"/>
      <c r="C175" s="18"/>
      <c r="D175" s="31" t="str">
        <f aca="false">IF($A175="","",IF(SUMPRODUCT(MAX((posicoes_fornecedor!$B$3:$B$1000=$A175)*posicoes_fornecedor!$A$3:$A$1000))=0,"",SUMPRODUCT(MAX((posicoes_fornecedor!$B$3:$B$1000=$A175)*posicoes_fornecedor!$A$3:$A$1000))))</f>
        <v/>
      </c>
      <c r="E175" s="13" t="str">
        <f aca="false">IF($D175="","",SUMIFS(posicoes_fornecedor!$C$3:$C$1000,posicoes_fornecedor!$B$3:$B$1000,$A175,posicoes_fornecedor!$A$3:$A$1000,$D175))</f>
        <v/>
      </c>
      <c r="F175" s="13" t="str">
        <f aca="false">IF($D175="","",SUMIFS(posicoes_fornecedor!$D$3:$D$1000,posicoes_fornecedor!$B$3:$B$1000,$A175,posicoes_fornecedor!$A$3:$A$1000,$D175))</f>
        <v/>
      </c>
      <c r="G175" s="13" t="str">
        <f aca="false">IF($D175="","",SUMIFS(posicoes_fornecedor!$E$3:$E$1000,posicoes_fornecedor!$B$3:$B$1000,$A175,posicoes_fornecedor!$A$3:$A$1000,$D175))</f>
        <v/>
      </c>
      <c r="H175" s="13" t="str">
        <f aca="false">IF($E175="","",$E175-$F175)</f>
        <v/>
      </c>
      <c r="I175" s="32" t="str">
        <f aca="false">IF(OR($E175="",$E175=0),"",$F175/$E175)</f>
        <v/>
      </c>
      <c r="J175" s="32" t="str">
        <f aca="false">IF(OR($E175="",$E175=0),"",$G175/$E175)</f>
        <v/>
      </c>
    </row>
    <row r="176" customFormat="false" ht="15" hidden="false" customHeight="false" outlineLevel="0" collapsed="false">
      <c r="A176" s="18"/>
      <c r="B176" s="18"/>
      <c r="C176" s="18"/>
      <c r="D176" s="31" t="str">
        <f aca="false">IF($A176="","",IF(SUMPRODUCT(MAX((posicoes_fornecedor!$B$3:$B$1000=$A176)*posicoes_fornecedor!$A$3:$A$1000))=0,"",SUMPRODUCT(MAX((posicoes_fornecedor!$B$3:$B$1000=$A176)*posicoes_fornecedor!$A$3:$A$1000))))</f>
        <v/>
      </c>
      <c r="E176" s="13" t="str">
        <f aca="false">IF($D176="","",SUMIFS(posicoes_fornecedor!$C$3:$C$1000,posicoes_fornecedor!$B$3:$B$1000,$A176,posicoes_fornecedor!$A$3:$A$1000,$D176))</f>
        <v/>
      </c>
      <c r="F176" s="13" t="str">
        <f aca="false">IF($D176="","",SUMIFS(posicoes_fornecedor!$D$3:$D$1000,posicoes_fornecedor!$B$3:$B$1000,$A176,posicoes_fornecedor!$A$3:$A$1000,$D176))</f>
        <v/>
      </c>
      <c r="G176" s="13" t="str">
        <f aca="false">IF($D176="","",SUMIFS(posicoes_fornecedor!$E$3:$E$1000,posicoes_fornecedor!$B$3:$B$1000,$A176,posicoes_fornecedor!$A$3:$A$1000,$D176))</f>
        <v/>
      </c>
      <c r="H176" s="13" t="str">
        <f aca="false">IF($E176="","",$E176-$F176)</f>
        <v/>
      </c>
      <c r="I176" s="32" t="str">
        <f aca="false">IF(OR($E176="",$E176=0),"",$F176/$E176)</f>
        <v/>
      </c>
      <c r="J176" s="32" t="str">
        <f aca="false">IF(OR($E176="",$E176=0),"",$G176/$E176)</f>
        <v/>
      </c>
    </row>
    <row r="177" customFormat="false" ht="15" hidden="false" customHeight="false" outlineLevel="0" collapsed="false">
      <c r="A177" s="18"/>
      <c r="B177" s="18"/>
      <c r="C177" s="18"/>
      <c r="D177" s="31" t="str">
        <f aca="false">IF($A177="","",IF(SUMPRODUCT(MAX((posicoes_fornecedor!$B$3:$B$1000=$A177)*posicoes_fornecedor!$A$3:$A$1000))=0,"",SUMPRODUCT(MAX((posicoes_fornecedor!$B$3:$B$1000=$A177)*posicoes_fornecedor!$A$3:$A$1000))))</f>
        <v/>
      </c>
      <c r="E177" s="13" t="str">
        <f aca="false">IF($D177="","",SUMIFS(posicoes_fornecedor!$C$3:$C$1000,posicoes_fornecedor!$B$3:$B$1000,$A177,posicoes_fornecedor!$A$3:$A$1000,$D177))</f>
        <v/>
      </c>
      <c r="F177" s="13" t="str">
        <f aca="false">IF($D177="","",SUMIFS(posicoes_fornecedor!$D$3:$D$1000,posicoes_fornecedor!$B$3:$B$1000,$A177,posicoes_fornecedor!$A$3:$A$1000,$D177))</f>
        <v/>
      </c>
      <c r="G177" s="13" t="str">
        <f aca="false">IF($D177="","",SUMIFS(posicoes_fornecedor!$E$3:$E$1000,posicoes_fornecedor!$B$3:$B$1000,$A177,posicoes_fornecedor!$A$3:$A$1000,$D177))</f>
        <v/>
      </c>
      <c r="H177" s="13" t="str">
        <f aca="false">IF($E177="","",$E177-$F177)</f>
        <v/>
      </c>
      <c r="I177" s="32" t="str">
        <f aca="false">IF(OR($E177="",$E177=0),"",$F177/$E177)</f>
        <v/>
      </c>
      <c r="J177" s="32" t="str">
        <f aca="false">IF(OR($E177="",$E177=0),"",$G177/$E177)</f>
        <v/>
      </c>
    </row>
    <row r="178" customFormat="false" ht="15" hidden="false" customHeight="false" outlineLevel="0" collapsed="false">
      <c r="A178" s="18"/>
      <c r="B178" s="18"/>
      <c r="C178" s="18"/>
      <c r="D178" s="31" t="str">
        <f aca="false">IF($A178="","",IF(SUMPRODUCT(MAX((posicoes_fornecedor!$B$3:$B$1000=$A178)*posicoes_fornecedor!$A$3:$A$1000))=0,"",SUMPRODUCT(MAX((posicoes_fornecedor!$B$3:$B$1000=$A178)*posicoes_fornecedor!$A$3:$A$1000))))</f>
        <v/>
      </c>
      <c r="E178" s="13" t="str">
        <f aca="false">IF($D178="","",SUMIFS(posicoes_fornecedor!$C$3:$C$1000,posicoes_fornecedor!$B$3:$B$1000,$A178,posicoes_fornecedor!$A$3:$A$1000,$D178))</f>
        <v/>
      </c>
      <c r="F178" s="13" t="str">
        <f aca="false">IF($D178="","",SUMIFS(posicoes_fornecedor!$D$3:$D$1000,posicoes_fornecedor!$B$3:$B$1000,$A178,posicoes_fornecedor!$A$3:$A$1000,$D178))</f>
        <v/>
      </c>
      <c r="G178" s="13" t="str">
        <f aca="false">IF($D178="","",SUMIFS(posicoes_fornecedor!$E$3:$E$1000,posicoes_fornecedor!$B$3:$B$1000,$A178,posicoes_fornecedor!$A$3:$A$1000,$D178))</f>
        <v/>
      </c>
      <c r="H178" s="13" t="str">
        <f aca="false">IF($E178="","",$E178-$F178)</f>
        <v/>
      </c>
      <c r="I178" s="32" t="str">
        <f aca="false">IF(OR($E178="",$E178=0),"",$F178/$E178)</f>
        <v/>
      </c>
      <c r="J178" s="32" t="str">
        <f aca="false">IF(OR($E178="",$E178=0),"",$G178/$E178)</f>
        <v/>
      </c>
    </row>
    <row r="179" customFormat="false" ht="15" hidden="false" customHeight="false" outlineLevel="0" collapsed="false">
      <c r="A179" s="18"/>
      <c r="B179" s="18"/>
      <c r="C179" s="18"/>
      <c r="D179" s="31" t="str">
        <f aca="false">IF($A179="","",IF(SUMPRODUCT(MAX((posicoes_fornecedor!$B$3:$B$1000=$A179)*posicoes_fornecedor!$A$3:$A$1000))=0,"",SUMPRODUCT(MAX((posicoes_fornecedor!$B$3:$B$1000=$A179)*posicoes_fornecedor!$A$3:$A$1000))))</f>
        <v/>
      </c>
      <c r="E179" s="13" t="str">
        <f aca="false">IF($D179="","",SUMIFS(posicoes_fornecedor!$C$3:$C$1000,posicoes_fornecedor!$B$3:$B$1000,$A179,posicoes_fornecedor!$A$3:$A$1000,$D179))</f>
        <v/>
      </c>
      <c r="F179" s="13" t="str">
        <f aca="false">IF($D179="","",SUMIFS(posicoes_fornecedor!$D$3:$D$1000,posicoes_fornecedor!$B$3:$B$1000,$A179,posicoes_fornecedor!$A$3:$A$1000,$D179))</f>
        <v/>
      </c>
      <c r="G179" s="13" t="str">
        <f aca="false">IF($D179="","",SUMIFS(posicoes_fornecedor!$E$3:$E$1000,posicoes_fornecedor!$B$3:$B$1000,$A179,posicoes_fornecedor!$A$3:$A$1000,$D179))</f>
        <v/>
      </c>
      <c r="H179" s="13" t="str">
        <f aca="false">IF($E179="","",$E179-$F179)</f>
        <v/>
      </c>
      <c r="I179" s="32" t="str">
        <f aca="false">IF(OR($E179="",$E179=0),"",$F179/$E179)</f>
        <v/>
      </c>
      <c r="J179" s="32" t="str">
        <f aca="false">IF(OR($E179="",$E179=0),"",$G179/$E179)</f>
        <v/>
      </c>
    </row>
    <row r="180" customFormat="false" ht="15" hidden="false" customHeight="false" outlineLevel="0" collapsed="false">
      <c r="A180" s="18"/>
      <c r="B180" s="18"/>
      <c r="C180" s="18"/>
      <c r="D180" s="31" t="str">
        <f aca="false">IF($A180="","",IF(SUMPRODUCT(MAX((posicoes_fornecedor!$B$3:$B$1000=$A180)*posicoes_fornecedor!$A$3:$A$1000))=0,"",SUMPRODUCT(MAX((posicoes_fornecedor!$B$3:$B$1000=$A180)*posicoes_fornecedor!$A$3:$A$1000))))</f>
        <v/>
      </c>
      <c r="E180" s="13" t="str">
        <f aca="false">IF($D180="","",SUMIFS(posicoes_fornecedor!$C$3:$C$1000,posicoes_fornecedor!$B$3:$B$1000,$A180,posicoes_fornecedor!$A$3:$A$1000,$D180))</f>
        <v/>
      </c>
      <c r="F180" s="13" t="str">
        <f aca="false">IF($D180="","",SUMIFS(posicoes_fornecedor!$D$3:$D$1000,posicoes_fornecedor!$B$3:$B$1000,$A180,posicoes_fornecedor!$A$3:$A$1000,$D180))</f>
        <v/>
      </c>
      <c r="G180" s="13" t="str">
        <f aca="false">IF($D180="","",SUMIFS(posicoes_fornecedor!$E$3:$E$1000,posicoes_fornecedor!$B$3:$B$1000,$A180,posicoes_fornecedor!$A$3:$A$1000,$D180))</f>
        <v/>
      </c>
      <c r="H180" s="13" t="str">
        <f aca="false">IF($E180="","",$E180-$F180)</f>
        <v/>
      </c>
      <c r="I180" s="32" t="str">
        <f aca="false">IF(OR($E180="",$E180=0),"",$F180/$E180)</f>
        <v/>
      </c>
      <c r="J180" s="32" t="str">
        <f aca="false">IF(OR($E180="",$E180=0),"",$G180/$E180)</f>
        <v/>
      </c>
    </row>
    <row r="181" customFormat="false" ht="15" hidden="false" customHeight="false" outlineLevel="0" collapsed="false">
      <c r="A181" s="18"/>
      <c r="B181" s="18"/>
      <c r="C181" s="18"/>
      <c r="D181" s="31" t="str">
        <f aca="false">IF($A181="","",IF(SUMPRODUCT(MAX((posicoes_fornecedor!$B$3:$B$1000=$A181)*posicoes_fornecedor!$A$3:$A$1000))=0,"",SUMPRODUCT(MAX((posicoes_fornecedor!$B$3:$B$1000=$A181)*posicoes_fornecedor!$A$3:$A$1000))))</f>
        <v/>
      </c>
      <c r="E181" s="13" t="str">
        <f aca="false">IF($D181="","",SUMIFS(posicoes_fornecedor!$C$3:$C$1000,posicoes_fornecedor!$B$3:$B$1000,$A181,posicoes_fornecedor!$A$3:$A$1000,$D181))</f>
        <v/>
      </c>
      <c r="F181" s="13" t="str">
        <f aca="false">IF($D181="","",SUMIFS(posicoes_fornecedor!$D$3:$D$1000,posicoes_fornecedor!$B$3:$B$1000,$A181,posicoes_fornecedor!$A$3:$A$1000,$D181))</f>
        <v/>
      </c>
      <c r="G181" s="13" t="str">
        <f aca="false">IF($D181="","",SUMIFS(posicoes_fornecedor!$E$3:$E$1000,posicoes_fornecedor!$B$3:$B$1000,$A181,posicoes_fornecedor!$A$3:$A$1000,$D181))</f>
        <v/>
      </c>
      <c r="H181" s="13" t="str">
        <f aca="false">IF($E181="","",$E181-$F181)</f>
        <v/>
      </c>
      <c r="I181" s="32" t="str">
        <f aca="false">IF(OR($E181="",$E181=0),"",$F181/$E181)</f>
        <v/>
      </c>
      <c r="J181" s="32" t="str">
        <f aca="false">IF(OR($E181="",$E181=0),"",$G181/$E181)</f>
        <v/>
      </c>
    </row>
    <row r="182" customFormat="false" ht="15" hidden="false" customHeight="false" outlineLevel="0" collapsed="false">
      <c r="A182" s="18"/>
      <c r="B182" s="18"/>
      <c r="C182" s="18"/>
      <c r="D182" s="31" t="str">
        <f aca="false">IF($A182="","",IF(SUMPRODUCT(MAX((posicoes_fornecedor!$B$3:$B$1000=$A182)*posicoes_fornecedor!$A$3:$A$1000))=0,"",SUMPRODUCT(MAX((posicoes_fornecedor!$B$3:$B$1000=$A182)*posicoes_fornecedor!$A$3:$A$1000))))</f>
        <v/>
      </c>
      <c r="E182" s="13" t="str">
        <f aca="false">IF($D182="","",SUMIFS(posicoes_fornecedor!$C$3:$C$1000,posicoes_fornecedor!$B$3:$B$1000,$A182,posicoes_fornecedor!$A$3:$A$1000,$D182))</f>
        <v/>
      </c>
      <c r="F182" s="13" t="str">
        <f aca="false">IF($D182="","",SUMIFS(posicoes_fornecedor!$D$3:$D$1000,posicoes_fornecedor!$B$3:$B$1000,$A182,posicoes_fornecedor!$A$3:$A$1000,$D182))</f>
        <v/>
      </c>
      <c r="G182" s="13" t="str">
        <f aca="false">IF($D182="","",SUMIFS(posicoes_fornecedor!$E$3:$E$1000,posicoes_fornecedor!$B$3:$B$1000,$A182,posicoes_fornecedor!$A$3:$A$1000,$D182))</f>
        <v/>
      </c>
      <c r="H182" s="13" t="str">
        <f aca="false">IF($E182="","",$E182-$F182)</f>
        <v/>
      </c>
      <c r="I182" s="32" t="str">
        <f aca="false">IF(OR($E182="",$E182=0),"",$F182/$E182)</f>
        <v/>
      </c>
      <c r="J182" s="32" t="str">
        <f aca="false">IF(OR($E182="",$E182=0),"",$G182/$E182)</f>
        <v/>
      </c>
    </row>
    <row r="183" customFormat="false" ht="15" hidden="false" customHeight="false" outlineLevel="0" collapsed="false">
      <c r="A183" s="18"/>
      <c r="B183" s="18"/>
      <c r="C183" s="18"/>
      <c r="D183" s="31" t="str">
        <f aca="false">IF($A183="","",IF(SUMPRODUCT(MAX((posicoes_fornecedor!$B$3:$B$1000=$A183)*posicoes_fornecedor!$A$3:$A$1000))=0,"",SUMPRODUCT(MAX((posicoes_fornecedor!$B$3:$B$1000=$A183)*posicoes_fornecedor!$A$3:$A$1000))))</f>
        <v/>
      </c>
      <c r="E183" s="13" t="str">
        <f aca="false">IF($D183="","",SUMIFS(posicoes_fornecedor!$C$3:$C$1000,posicoes_fornecedor!$B$3:$B$1000,$A183,posicoes_fornecedor!$A$3:$A$1000,$D183))</f>
        <v/>
      </c>
      <c r="F183" s="13" t="str">
        <f aca="false">IF($D183="","",SUMIFS(posicoes_fornecedor!$D$3:$D$1000,posicoes_fornecedor!$B$3:$B$1000,$A183,posicoes_fornecedor!$A$3:$A$1000,$D183))</f>
        <v/>
      </c>
      <c r="G183" s="13" t="str">
        <f aca="false">IF($D183="","",SUMIFS(posicoes_fornecedor!$E$3:$E$1000,posicoes_fornecedor!$B$3:$B$1000,$A183,posicoes_fornecedor!$A$3:$A$1000,$D183))</f>
        <v/>
      </c>
      <c r="H183" s="13" t="str">
        <f aca="false">IF($E183="","",$E183-$F183)</f>
        <v/>
      </c>
      <c r="I183" s="32" t="str">
        <f aca="false">IF(OR($E183="",$E183=0),"",$F183/$E183)</f>
        <v/>
      </c>
      <c r="J183" s="32" t="str">
        <f aca="false">IF(OR($E183="",$E183=0),"",$G183/$E183)</f>
        <v/>
      </c>
    </row>
    <row r="184" customFormat="false" ht="15" hidden="false" customHeight="false" outlineLevel="0" collapsed="false">
      <c r="A184" s="18"/>
      <c r="B184" s="18"/>
      <c r="C184" s="18"/>
      <c r="D184" s="31" t="str">
        <f aca="false">IF($A184="","",IF(SUMPRODUCT(MAX((posicoes_fornecedor!$B$3:$B$1000=$A184)*posicoes_fornecedor!$A$3:$A$1000))=0,"",SUMPRODUCT(MAX((posicoes_fornecedor!$B$3:$B$1000=$A184)*posicoes_fornecedor!$A$3:$A$1000))))</f>
        <v/>
      </c>
      <c r="E184" s="13" t="str">
        <f aca="false">IF($D184="","",SUMIFS(posicoes_fornecedor!$C$3:$C$1000,posicoes_fornecedor!$B$3:$B$1000,$A184,posicoes_fornecedor!$A$3:$A$1000,$D184))</f>
        <v/>
      </c>
      <c r="F184" s="13" t="str">
        <f aca="false">IF($D184="","",SUMIFS(posicoes_fornecedor!$D$3:$D$1000,posicoes_fornecedor!$B$3:$B$1000,$A184,posicoes_fornecedor!$A$3:$A$1000,$D184))</f>
        <v/>
      </c>
      <c r="G184" s="13" t="str">
        <f aca="false">IF($D184="","",SUMIFS(posicoes_fornecedor!$E$3:$E$1000,posicoes_fornecedor!$B$3:$B$1000,$A184,posicoes_fornecedor!$A$3:$A$1000,$D184))</f>
        <v/>
      </c>
      <c r="H184" s="13" t="str">
        <f aca="false">IF($E184="","",$E184-$F184)</f>
        <v/>
      </c>
      <c r="I184" s="32" t="str">
        <f aca="false">IF(OR($E184="",$E184=0),"",$F184/$E184)</f>
        <v/>
      </c>
      <c r="J184" s="32" t="str">
        <f aca="false">IF(OR($E184="",$E184=0),"",$G184/$E184)</f>
        <v/>
      </c>
    </row>
    <row r="185" customFormat="false" ht="15" hidden="false" customHeight="false" outlineLevel="0" collapsed="false">
      <c r="A185" s="18"/>
      <c r="B185" s="18"/>
      <c r="C185" s="18"/>
      <c r="D185" s="31" t="str">
        <f aca="false">IF($A185="","",IF(SUMPRODUCT(MAX((posicoes_fornecedor!$B$3:$B$1000=$A185)*posicoes_fornecedor!$A$3:$A$1000))=0,"",SUMPRODUCT(MAX((posicoes_fornecedor!$B$3:$B$1000=$A185)*posicoes_fornecedor!$A$3:$A$1000))))</f>
        <v/>
      </c>
      <c r="E185" s="13" t="str">
        <f aca="false">IF($D185="","",SUMIFS(posicoes_fornecedor!$C$3:$C$1000,posicoes_fornecedor!$B$3:$B$1000,$A185,posicoes_fornecedor!$A$3:$A$1000,$D185))</f>
        <v/>
      </c>
      <c r="F185" s="13" t="str">
        <f aca="false">IF($D185="","",SUMIFS(posicoes_fornecedor!$D$3:$D$1000,posicoes_fornecedor!$B$3:$B$1000,$A185,posicoes_fornecedor!$A$3:$A$1000,$D185))</f>
        <v/>
      </c>
      <c r="G185" s="13" t="str">
        <f aca="false">IF($D185="","",SUMIFS(posicoes_fornecedor!$E$3:$E$1000,posicoes_fornecedor!$B$3:$B$1000,$A185,posicoes_fornecedor!$A$3:$A$1000,$D185))</f>
        <v/>
      </c>
      <c r="H185" s="13" t="str">
        <f aca="false">IF($E185="","",$E185-$F185)</f>
        <v/>
      </c>
      <c r="I185" s="32" t="str">
        <f aca="false">IF(OR($E185="",$E185=0),"",$F185/$E185)</f>
        <v/>
      </c>
      <c r="J185" s="32" t="str">
        <f aca="false">IF(OR($E185="",$E185=0),"",$G185/$E185)</f>
        <v/>
      </c>
    </row>
    <row r="186" customFormat="false" ht="15" hidden="false" customHeight="false" outlineLevel="0" collapsed="false">
      <c r="A186" s="18"/>
      <c r="B186" s="18"/>
      <c r="C186" s="18"/>
      <c r="D186" s="31" t="str">
        <f aca="false">IF($A186="","",IF(SUMPRODUCT(MAX((posicoes_fornecedor!$B$3:$B$1000=$A186)*posicoes_fornecedor!$A$3:$A$1000))=0,"",SUMPRODUCT(MAX((posicoes_fornecedor!$B$3:$B$1000=$A186)*posicoes_fornecedor!$A$3:$A$1000))))</f>
        <v/>
      </c>
      <c r="E186" s="13" t="str">
        <f aca="false">IF($D186="","",SUMIFS(posicoes_fornecedor!$C$3:$C$1000,posicoes_fornecedor!$B$3:$B$1000,$A186,posicoes_fornecedor!$A$3:$A$1000,$D186))</f>
        <v/>
      </c>
      <c r="F186" s="13" t="str">
        <f aca="false">IF($D186="","",SUMIFS(posicoes_fornecedor!$D$3:$D$1000,posicoes_fornecedor!$B$3:$B$1000,$A186,posicoes_fornecedor!$A$3:$A$1000,$D186))</f>
        <v/>
      </c>
      <c r="G186" s="13" t="str">
        <f aca="false">IF($D186="","",SUMIFS(posicoes_fornecedor!$E$3:$E$1000,posicoes_fornecedor!$B$3:$B$1000,$A186,posicoes_fornecedor!$A$3:$A$1000,$D186))</f>
        <v/>
      </c>
      <c r="H186" s="13" t="str">
        <f aca="false">IF($E186="","",$E186-$F186)</f>
        <v/>
      </c>
      <c r="I186" s="32" t="str">
        <f aca="false">IF(OR($E186="",$E186=0),"",$F186/$E186)</f>
        <v/>
      </c>
      <c r="J186" s="32" t="str">
        <f aca="false">IF(OR($E186="",$E186=0),"",$G186/$E186)</f>
        <v/>
      </c>
    </row>
    <row r="187" customFormat="false" ht="15" hidden="false" customHeight="false" outlineLevel="0" collapsed="false">
      <c r="A187" s="18"/>
      <c r="B187" s="18"/>
      <c r="C187" s="18"/>
      <c r="D187" s="31" t="str">
        <f aca="false">IF($A187="","",IF(SUMPRODUCT(MAX((posicoes_fornecedor!$B$3:$B$1000=$A187)*posicoes_fornecedor!$A$3:$A$1000))=0,"",SUMPRODUCT(MAX((posicoes_fornecedor!$B$3:$B$1000=$A187)*posicoes_fornecedor!$A$3:$A$1000))))</f>
        <v/>
      </c>
      <c r="E187" s="13" t="str">
        <f aca="false">IF($D187="","",SUMIFS(posicoes_fornecedor!$C$3:$C$1000,posicoes_fornecedor!$B$3:$B$1000,$A187,posicoes_fornecedor!$A$3:$A$1000,$D187))</f>
        <v/>
      </c>
      <c r="F187" s="13" t="str">
        <f aca="false">IF($D187="","",SUMIFS(posicoes_fornecedor!$D$3:$D$1000,posicoes_fornecedor!$B$3:$B$1000,$A187,posicoes_fornecedor!$A$3:$A$1000,$D187))</f>
        <v/>
      </c>
      <c r="G187" s="13" t="str">
        <f aca="false">IF($D187="","",SUMIFS(posicoes_fornecedor!$E$3:$E$1000,posicoes_fornecedor!$B$3:$B$1000,$A187,posicoes_fornecedor!$A$3:$A$1000,$D187))</f>
        <v/>
      </c>
      <c r="H187" s="13" t="str">
        <f aca="false">IF($E187="","",$E187-$F187)</f>
        <v/>
      </c>
      <c r="I187" s="32" t="str">
        <f aca="false">IF(OR($E187="",$E187=0),"",$F187/$E187)</f>
        <v/>
      </c>
      <c r="J187" s="32" t="str">
        <f aca="false">IF(OR($E187="",$E187=0),"",$G187/$E187)</f>
        <v/>
      </c>
    </row>
    <row r="188" customFormat="false" ht="15" hidden="false" customHeight="false" outlineLevel="0" collapsed="false">
      <c r="A188" s="18"/>
      <c r="B188" s="18"/>
      <c r="C188" s="18"/>
      <c r="D188" s="31" t="str">
        <f aca="false">IF($A188="","",IF(SUMPRODUCT(MAX((posicoes_fornecedor!$B$3:$B$1000=$A188)*posicoes_fornecedor!$A$3:$A$1000))=0,"",SUMPRODUCT(MAX((posicoes_fornecedor!$B$3:$B$1000=$A188)*posicoes_fornecedor!$A$3:$A$1000))))</f>
        <v/>
      </c>
      <c r="E188" s="13" t="str">
        <f aca="false">IF($D188="","",SUMIFS(posicoes_fornecedor!$C$3:$C$1000,posicoes_fornecedor!$B$3:$B$1000,$A188,posicoes_fornecedor!$A$3:$A$1000,$D188))</f>
        <v/>
      </c>
      <c r="F188" s="13" t="str">
        <f aca="false">IF($D188="","",SUMIFS(posicoes_fornecedor!$D$3:$D$1000,posicoes_fornecedor!$B$3:$B$1000,$A188,posicoes_fornecedor!$A$3:$A$1000,$D188))</f>
        <v/>
      </c>
      <c r="G188" s="13" t="str">
        <f aca="false">IF($D188="","",SUMIFS(posicoes_fornecedor!$E$3:$E$1000,posicoes_fornecedor!$B$3:$B$1000,$A188,posicoes_fornecedor!$A$3:$A$1000,$D188))</f>
        <v/>
      </c>
      <c r="H188" s="13" t="str">
        <f aca="false">IF($E188="","",$E188-$F188)</f>
        <v/>
      </c>
      <c r="I188" s="32" t="str">
        <f aca="false">IF(OR($E188="",$E188=0),"",$F188/$E188)</f>
        <v/>
      </c>
      <c r="J188" s="32" t="str">
        <f aca="false">IF(OR($E188="",$E188=0),"",$G188/$E188)</f>
        <v/>
      </c>
    </row>
    <row r="189" customFormat="false" ht="15" hidden="false" customHeight="false" outlineLevel="0" collapsed="false">
      <c r="A189" s="18"/>
      <c r="B189" s="18"/>
      <c r="C189" s="18"/>
      <c r="D189" s="31" t="str">
        <f aca="false">IF($A189="","",IF(SUMPRODUCT(MAX((posicoes_fornecedor!$B$3:$B$1000=$A189)*posicoes_fornecedor!$A$3:$A$1000))=0,"",SUMPRODUCT(MAX((posicoes_fornecedor!$B$3:$B$1000=$A189)*posicoes_fornecedor!$A$3:$A$1000))))</f>
        <v/>
      </c>
      <c r="E189" s="13" t="str">
        <f aca="false">IF($D189="","",SUMIFS(posicoes_fornecedor!$C$3:$C$1000,posicoes_fornecedor!$B$3:$B$1000,$A189,posicoes_fornecedor!$A$3:$A$1000,$D189))</f>
        <v/>
      </c>
      <c r="F189" s="13" t="str">
        <f aca="false">IF($D189="","",SUMIFS(posicoes_fornecedor!$D$3:$D$1000,posicoes_fornecedor!$B$3:$B$1000,$A189,posicoes_fornecedor!$A$3:$A$1000,$D189))</f>
        <v/>
      </c>
      <c r="G189" s="13" t="str">
        <f aca="false">IF($D189="","",SUMIFS(posicoes_fornecedor!$E$3:$E$1000,posicoes_fornecedor!$B$3:$B$1000,$A189,posicoes_fornecedor!$A$3:$A$1000,$D189))</f>
        <v/>
      </c>
      <c r="H189" s="13" t="str">
        <f aca="false">IF($E189="","",$E189-$F189)</f>
        <v/>
      </c>
      <c r="I189" s="32" t="str">
        <f aca="false">IF(OR($E189="",$E189=0),"",$F189/$E189)</f>
        <v/>
      </c>
      <c r="J189" s="32" t="str">
        <f aca="false">IF(OR($E189="",$E189=0),"",$G189/$E189)</f>
        <v/>
      </c>
    </row>
    <row r="190" customFormat="false" ht="15" hidden="false" customHeight="false" outlineLevel="0" collapsed="false">
      <c r="A190" s="18"/>
      <c r="B190" s="18"/>
      <c r="C190" s="18"/>
      <c r="D190" s="31" t="str">
        <f aca="false">IF($A190="","",IF(SUMPRODUCT(MAX((posicoes_fornecedor!$B$3:$B$1000=$A190)*posicoes_fornecedor!$A$3:$A$1000))=0,"",SUMPRODUCT(MAX((posicoes_fornecedor!$B$3:$B$1000=$A190)*posicoes_fornecedor!$A$3:$A$1000))))</f>
        <v/>
      </c>
      <c r="E190" s="13" t="str">
        <f aca="false">IF($D190="","",SUMIFS(posicoes_fornecedor!$C$3:$C$1000,posicoes_fornecedor!$B$3:$B$1000,$A190,posicoes_fornecedor!$A$3:$A$1000,$D190))</f>
        <v/>
      </c>
      <c r="F190" s="13" t="str">
        <f aca="false">IF($D190="","",SUMIFS(posicoes_fornecedor!$D$3:$D$1000,posicoes_fornecedor!$B$3:$B$1000,$A190,posicoes_fornecedor!$A$3:$A$1000,$D190))</f>
        <v/>
      </c>
      <c r="G190" s="13" t="str">
        <f aca="false">IF($D190="","",SUMIFS(posicoes_fornecedor!$E$3:$E$1000,posicoes_fornecedor!$B$3:$B$1000,$A190,posicoes_fornecedor!$A$3:$A$1000,$D190))</f>
        <v/>
      </c>
      <c r="H190" s="13" t="str">
        <f aca="false">IF($E190="","",$E190-$F190)</f>
        <v/>
      </c>
      <c r="I190" s="32" t="str">
        <f aca="false">IF(OR($E190="",$E190=0),"",$F190/$E190)</f>
        <v/>
      </c>
      <c r="J190" s="32" t="str">
        <f aca="false">IF(OR($E190="",$E190=0),"",$G190/$E190)</f>
        <v/>
      </c>
    </row>
    <row r="191" customFormat="false" ht="15" hidden="false" customHeight="false" outlineLevel="0" collapsed="false">
      <c r="A191" s="18"/>
      <c r="B191" s="18"/>
      <c r="C191" s="18"/>
      <c r="D191" s="31" t="str">
        <f aca="false">IF($A191="","",IF(SUMPRODUCT(MAX((posicoes_fornecedor!$B$3:$B$1000=$A191)*posicoes_fornecedor!$A$3:$A$1000))=0,"",SUMPRODUCT(MAX((posicoes_fornecedor!$B$3:$B$1000=$A191)*posicoes_fornecedor!$A$3:$A$1000))))</f>
        <v/>
      </c>
      <c r="E191" s="13" t="str">
        <f aca="false">IF($D191="","",SUMIFS(posicoes_fornecedor!$C$3:$C$1000,posicoes_fornecedor!$B$3:$B$1000,$A191,posicoes_fornecedor!$A$3:$A$1000,$D191))</f>
        <v/>
      </c>
      <c r="F191" s="13" t="str">
        <f aca="false">IF($D191="","",SUMIFS(posicoes_fornecedor!$D$3:$D$1000,posicoes_fornecedor!$B$3:$B$1000,$A191,posicoes_fornecedor!$A$3:$A$1000,$D191))</f>
        <v/>
      </c>
      <c r="G191" s="13" t="str">
        <f aca="false">IF($D191="","",SUMIFS(posicoes_fornecedor!$E$3:$E$1000,posicoes_fornecedor!$B$3:$B$1000,$A191,posicoes_fornecedor!$A$3:$A$1000,$D191))</f>
        <v/>
      </c>
      <c r="H191" s="13" t="str">
        <f aca="false">IF($E191="","",$E191-$F191)</f>
        <v/>
      </c>
      <c r="I191" s="32" t="str">
        <f aca="false">IF(OR($E191="",$E191=0),"",$F191/$E191)</f>
        <v/>
      </c>
      <c r="J191" s="32" t="str">
        <f aca="false">IF(OR($E191="",$E191=0),"",$G191/$E191)</f>
        <v/>
      </c>
    </row>
    <row r="192" customFormat="false" ht="15" hidden="false" customHeight="false" outlineLevel="0" collapsed="false">
      <c r="A192" s="18"/>
      <c r="B192" s="18"/>
      <c r="C192" s="18"/>
      <c r="D192" s="31" t="str">
        <f aca="false">IF($A192="","",IF(SUMPRODUCT(MAX((posicoes_fornecedor!$B$3:$B$1000=$A192)*posicoes_fornecedor!$A$3:$A$1000))=0,"",SUMPRODUCT(MAX((posicoes_fornecedor!$B$3:$B$1000=$A192)*posicoes_fornecedor!$A$3:$A$1000))))</f>
        <v/>
      </c>
      <c r="E192" s="13" t="str">
        <f aca="false">IF($D192="","",SUMIFS(posicoes_fornecedor!$C$3:$C$1000,posicoes_fornecedor!$B$3:$B$1000,$A192,posicoes_fornecedor!$A$3:$A$1000,$D192))</f>
        <v/>
      </c>
      <c r="F192" s="13" t="str">
        <f aca="false">IF($D192="","",SUMIFS(posicoes_fornecedor!$D$3:$D$1000,posicoes_fornecedor!$B$3:$B$1000,$A192,posicoes_fornecedor!$A$3:$A$1000,$D192))</f>
        <v/>
      </c>
      <c r="G192" s="13" t="str">
        <f aca="false">IF($D192="","",SUMIFS(posicoes_fornecedor!$E$3:$E$1000,posicoes_fornecedor!$B$3:$B$1000,$A192,posicoes_fornecedor!$A$3:$A$1000,$D192))</f>
        <v/>
      </c>
      <c r="H192" s="13" t="str">
        <f aca="false">IF($E192="","",$E192-$F192)</f>
        <v/>
      </c>
      <c r="I192" s="32" t="str">
        <f aca="false">IF(OR($E192="",$E192=0),"",$F192/$E192)</f>
        <v/>
      </c>
      <c r="J192" s="32" t="str">
        <f aca="false">IF(OR($E192="",$E192=0),"",$G192/$E192)</f>
        <v/>
      </c>
    </row>
    <row r="193" customFormat="false" ht="15" hidden="false" customHeight="false" outlineLevel="0" collapsed="false">
      <c r="A193" s="18"/>
      <c r="B193" s="18"/>
      <c r="C193" s="18"/>
      <c r="D193" s="31" t="str">
        <f aca="false">IF($A193="","",IF(SUMPRODUCT(MAX((posicoes_fornecedor!$B$3:$B$1000=$A193)*posicoes_fornecedor!$A$3:$A$1000))=0,"",SUMPRODUCT(MAX((posicoes_fornecedor!$B$3:$B$1000=$A193)*posicoes_fornecedor!$A$3:$A$1000))))</f>
        <v/>
      </c>
      <c r="E193" s="13" t="str">
        <f aca="false">IF($D193="","",SUMIFS(posicoes_fornecedor!$C$3:$C$1000,posicoes_fornecedor!$B$3:$B$1000,$A193,posicoes_fornecedor!$A$3:$A$1000,$D193))</f>
        <v/>
      </c>
      <c r="F193" s="13" t="str">
        <f aca="false">IF($D193="","",SUMIFS(posicoes_fornecedor!$D$3:$D$1000,posicoes_fornecedor!$B$3:$B$1000,$A193,posicoes_fornecedor!$A$3:$A$1000,$D193))</f>
        <v/>
      </c>
      <c r="G193" s="13" t="str">
        <f aca="false">IF($D193="","",SUMIFS(posicoes_fornecedor!$E$3:$E$1000,posicoes_fornecedor!$B$3:$B$1000,$A193,posicoes_fornecedor!$A$3:$A$1000,$D193))</f>
        <v/>
      </c>
      <c r="H193" s="13" t="str">
        <f aca="false">IF($E193="","",$E193-$F193)</f>
        <v/>
      </c>
      <c r="I193" s="32" t="str">
        <f aca="false">IF(OR($E193="",$E193=0),"",$F193/$E193)</f>
        <v/>
      </c>
      <c r="J193" s="32" t="str">
        <f aca="false">IF(OR($E193="",$E193=0),"",$G193/$E193)</f>
        <v/>
      </c>
    </row>
    <row r="194" customFormat="false" ht="15" hidden="false" customHeight="false" outlineLevel="0" collapsed="false">
      <c r="A194" s="18"/>
      <c r="B194" s="18"/>
      <c r="C194" s="18"/>
      <c r="D194" s="31" t="str">
        <f aca="false">IF($A194="","",IF(SUMPRODUCT(MAX((posicoes_fornecedor!$B$3:$B$1000=$A194)*posicoes_fornecedor!$A$3:$A$1000))=0,"",SUMPRODUCT(MAX((posicoes_fornecedor!$B$3:$B$1000=$A194)*posicoes_fornecedor!$A$3:$A$1000))))</f>
        <v/>
      </c>
      <c r="E194" s="13" t="str">
        <f aca="false">IF($D194="","",SUMIFS(posicoes_fornecedor!$C$3:$C$1000,posicoes_fornecedor!$B$3:$B$1000,$A194,posicoes_fornecedor!$A$3:$A$1000,$D194))</f>
        <v/>
      </c>
      <c r="F194" s="13" t="str">
        <f aca="false">IF($D194="","",SUMIFS(posicoes_fornecedor!$D$3:$D$1000,posicoes_fornecedor!$B$3:$B$1000,$A194,posicoes_fornecedor!$A$3:$A$1000,$D194))</f>
        <v/>
      </c>
      <c r="G194" s="13" t="str">
        <f aca="false">IF($D194="","",SUMIFS(posicoes_fornecedor!$E$3:$E$1000,posicoes_fornecedor!$B$3:$B$1000,$A194,posicoes_fornecedor!$A$3:$A$1000,$D194))</f>
        <v/>
      </c>
      <c r="H194" s="13" t="str">
        <f aca="false">IF($E194="","",$E194-$F194)</f>
        <v/>
      </c>
      <c r="I194" s="32" t="str">
        <f aca="false">IF(OR($E194="",$E194=0),"",$F194/$E194)</f>
        <v/>
      </c>
      <c r="J194" s="32" t="str">
        <f aca="false">IF(OR($E194="",$E194=0),"",$G194/$E194)</f>
        <v/>
      </c>
    </row>
    <row r="195" customFormat="false" ht="15" hidden="false" customHeight="false" outlineLevel="0" collapsed="false">
      <c r="A195" s="18"/>
      <c r="B195" s="18"/>
      <c r="C195" s="18"/>
      <c r="D195" s="31" t="str">
        <f aca="false">IF($A195="","",IF(SUMPRODUCT(MAX((posicoes_fornecedor!$B$3:$B$1000=$A195)*posicoes_fornecedor!$A$3:$A$1000))=0,"",SUMPRODUCT(MAX((posicoes_fornecedor!$B$3:$B$1000=$A195)*posicoes_fornecedor!$A$3:$A$1000))))</f>
        <v/>
      </c>
      <c r="E195" s="13" t="str">
        <f aca="false">IF($D195="","",SUMIFS(posicoes_fornecedor!$C$3:$C$1000,posicoes_fornecedor!$B$3:$B$1000,$A195,posicoes_fornecedor!$A$3:$A$1000,$D195))</f>
        <v/>
      </c>
      <c r="F195" s="13" t="str">
        <f aca="false">IF($D195="","",SUMIFS(posicoes_fornecedor!$D$3:$D$1000,posicoes_fornecedor!$B$3:$B$1000,$A195,posicoes_fornecedor!$A$3:$A$1000,$D195))</f>
        <v/>
      </c>
      <c r="G195" s="13" t="str">
        <f aca="false">IF($D195="","",SUMIFS(posicoes_fornecedor!$E$3:$E$1000,posicoes_fornecedor!$B$3:$B$1000,$A195,posicoes_fornecedor!$A$3:$A$1000,$D195))</f>
        <v/>
      </c>
      <c r="H195" s="13" t="str">
        <f aca="false">IF($E195="","",$E195-$F195)</f>
        <v/>
      </c>
      <c r="I195" s="32" t="str">
        <f aca="false">IF(OR($E195="",$E195=0),"",$F195/$E195)</f>
        <v/>
      </c>
      <c r="J195" s="32" t="str">
        <f aca="false">IF(OR($E195="",$E195=0),"",$G195/$E195)</f>
        <v/>
      </c>
    </row>
    <row r="196" customFormat="false" ht="15" hidden="false" customHeight="false" outlineLevel="0" collapsed="false">
      <c r="A196" s="18"/>
      <c r="B196" s="18"/>
      <c r="C196" s="18"/>
      <c r="D196" s="31" t="str">
        <f aca="false">IF($A196="","",IF(SUMPRODUCT(MAX((posicoes_fornecedor!$B$3:$B$1000=$A196)*posicoes_fornecedor!$A$3:$A$1000))=0,"",SUMPRODUCT(MAX((posicoes_fornecedor!$B$3:$B$1000=$A196)*posicoes_fornecedor!$A$3:$A$1000))))</f>
        <v/>
      </c>
      <c r="E196" s="13" t="str">
        <f aca="false">IF($D196="","",SUMIFS(posicoes_fornecedor!$C$3:$C$1000,posicoes_fornecedor!$B$3:$B$1000,$A196,posicoes_fornecedor!$A$3:$A$1000,$D196))</f>
        <v/>
      </c>
      <c r="F196" s="13" t="str">
        <f aca="false">IF($D196="","",SUMIFS(posicoes_fornecedor!$D$3:$D$1000,posicoes_fornecedor!$B$3:$B$1000,$A196,posicoes_fornecedor!$A$3:$A$1000,$D196))</f>
        <v/>
      </c>
      <c r="G196" s="13" t="str">
        <f aca="false">IF($D196="","",SUMIFS(posicoes_fornecedor!$E$3:$E$1000,posicoes_fornecedor!$B$3:$B$1000,$A196,posicoes_fornecedor!$A$3:$A$1000,$D196))</f>
        <v/>
      </c>
      <c r="H196" s="13" t="str">
        <f aca="false">IF($E196="","",$E196-$F196)</f>
        <v/>
      </c>
      <c r="I196" s="32" t="str">
        <f aca="false">IF(OR($E196="",$E196=0),"",$F196/$E196)</f>
        <v/>
      </c>
      <c r="J196" s="32" t="str">
        <f aca="false">IF(OR($E196="",$E196=0),"",$G196/$E196)</f>
        <v/>
      </c>
    </row>
    <row r="197" customFormat="false" ht="15" hidden="false" customHeight="false" outlineLevel="0" collapsed="false">
      <c r="A197" s="18"/>
      <c r="B197" s="18"/>
      <c r="C197" s="18"/>
      <c r="D197" s="31" t="str">
        <f aca="false">IF($A197="","",IF(SUMPRODUCT(MAX((posicoes_fornecedor!$B$3:$B$1000=$A197)*posicoes_fornecedor!$A$3:$A$1000))=0,"",SUMPRODUCT(MAX((posicoes_fornecedor!$B$3:$B$1000=$A197)*posicoes_fornecedor!$A$3:$A$1000))))</f>
        <v/>
      </c>
      <c r="E197" s="13" t="str">
        <f aca="false">IF($D197="","",SUMIFS(posicoes_fornecedor!$C$3:$C$1000,posicoes_fornecedor!$B$3:$B$1000,$A197,posicoes_fornecedor!$A$3:$A$1000,$D197))</f>
        <v/>
      </c>
      <c r="F197" s="13" t="str">
        <f aca="false">IF($D197="","",SUMIFS(posicoes_fornecedor!$D$3:$D$1000,posicoes_fornecedor!$B$3:$B$1000,$A197,posicoes_fornecedor!$A$3:$A$1000,$D197))</f>
        <v/>
      </c>
      <c r="G197" s="13" t="str">
        <f aca="false">IF($D197="","",SUMIFS(posicoes_fornecedor!$E$3:$E$1000,posicoes_fornecedor!$B$3:$B$1000,$A197,posicoes_fornecedor!$A$3:$A$1000,$D197))</f>
        <v/>
      </c>
      <c r="H197" s="13" t="str">
        <f aca="false">IF($E197="","",$E197-$F197)</f>
        <v/>
      </c>
      <c r="I197" s="32" t="str">
        <f aca="false">IF(OR($E197="",$E197=0),"",$F197/$E197)</f>
        <v/>
      </c>
      <c r="J197" s="32" t="str">
        <f aca="false">IF(OR($E197="",$E197=0),"",$G197/$E197)</f>
        <v/>
      </c>
    </row>
    <row r="198" customFormat="false" ht="15" hidden="false" customHeight="false" outlineLevel="0" collapsed="false">
      <c r="A198" s="18"/>
      <c r="B198" s="18"/>
      <c r="C198" s="18"/>
      <c r="D198" s="31" t="str">
        <f aca="false">IF($A198="","",IF(SUMPRODUCT(MAX((posicoes_fornecedor!$B$3:$B$1000=$A198)*posicoes_fornecedor!$A$3:$A$1000))=0,"",SUMPRODUCT(MAX((posicoes_fornecedor!$B$3:$B$1000=$A198)*posicoes_fornecedor!$A$3:$A$1000))))</f>
        <v/>
      </c>
      <c r="E198" s="13" t="str">
        <f aca="false">IF($D198="","",SUMIFS(posicoes_fornecedor!$C$3:$C$1000,posicoes_fornecedor!$B$3:$B$1000,$A198,posicoes_fornecedor!$A$3:$A$1000,$D198))</f>
        <v/>
      </c>
      <c r="F198" s="13" t="str">
        <f aca="false">IF($D198="","",SUMIFS(posicoes_fornecedor!$D$3:$D$1000,posicoes_fornecedor!$B$3:$B$1000,$A198,posicoes_fornecedor!$A$3:$A$1000,$D198))</f>
        <v/>
      </c>
      <c r="G198" s="13" t="str">
        <f aca="false">IF($D198="","",SUMIFS(posicoes_fornecedor!$E$3:$E$1000,posicoes_fornecedor!$B$3:$B$1000,$A198,posicoes_fornecedor!$A$3:$A$1000,$D198))</f>
        <v/>
      </c>
      <c r="H198" s="13" t="str">
        <f aca="false">IF($E198="","",$E198-$F198)</f>
        <v/>
      </c>
      <c r="I198" s="32" t="str">
        <f aca="false">IF(OR($E198="",$E198=0),"",$F198/$E198)</f>
        <v/>
      </c>
      <c r="J198" s="32" t="str">
        <f aca="false">IF(OR($E198="",$E198=0),"",$G198/$E198)</f>
        <v/>
      </c>
    </row>
    <row r="199" customFormat="false" ht="15" hidden="false" customHeight="false" outlineLevel="0" collapsed="false">
      <c r="A199" s="18"/>
      <c r="B199" s="18"/>
      <c r="C199" s="18"/>
      <c r="D199" s="31" t="str">
        <f aca="false">IF($A199="","",IF(SUMPRODUCT(MAX((posicoes_fornecedor!$B$3:$B$1000=$A199)*posicoes_fornecedor!$A$3:$A$1000))=0,"",SUMPRODUCT(MAX((posicoes_fornecedor!$B$3:$B$1000=$A199)*posicoes_fornecedor!$A$3:$A$1000))))</f>
        <v/>
      </c>
      <c r="E199" s="13" t="str">
        <f aca="false">IF($D199="","",SUMIFS(posicoes_fornecedor!$C$3:$C$1000,posicoes_fornecedor!$B$3:$B$1000,$A199,posicoes_fornecedor!$A$3:$A$1000,$D199))</f>
        <v/>
      </c>
      <c r="F199" s="13" t="str">
        <f aca="false">IF($D199="","",SUMIFS(posicoes_fornecedor!$D$3:$D$1000,posicoes_fornecedor!$B$3:$B$1000,$A199,posicoes_fornecedor!$A$3:$A$1000,$D199))</f>
        <v/>
      </c>
      <c r="G199" s="13" t="str">
        <f aca="false">IF($D199="","",SUMIFS(posicoes_fornecedor!$E$3:$E$1000,posicoes_fornecedor!$B$3:$B$1000,$A199,posicoes_fornecedor!$A$3:$A$1000,$D199))</f>
        <v/>
      </c>
      <c r="H199" s="13" t="str">
        <f aca="false">IF($E199="","",$E199-$F199)</f>
        <v/>
      </c>
      <c r="I199" s="32" t="str">
        <f aca="false">IF(OR($E199="",$E199=0),"",$F199/$E199)</f>
        <v/>
      </c>
      <c r="J199" s="32" t="str">
        <f aca="false">IF(OR($E199="",$E199=0),"",$G199/$E199)</f>
        <v/>
      </c>
    </row>
    <row r="200" customFormat="false" ht="15" hidden="false" customHeight="false" outlineLevel="0" collapsed="false">
      <c r="A200" s="18"/>
      <c r="B200" s="18"/>
      <c r="C200" s="18"/>
      <c r="D200" s="31" t="str">
        <f aca="false">IF($A200="","",IF(SUMPRODUCT(MAX((posicoes_fornecedor!$B$3:$B$1000=$A200)*posicoes_fornecedor!$A$3:$A$1000))=0,"",SUMPRODUCT(MAX((posicoes_fornecedor!$B$3:$B$1000=$A200)*posicoes_fornecedor!$A$3:$A$1000))))</f>
        <v/>
      </c>
      <c r="E200" s="13" t="str">
        <f aca="false">IF($D200="","",SUMIFS(posicoes_fornecedor!$C$3:$C$1000,posicoes_fornecedor!$B$3:$B$1000,$A200,posicoes_fornecedor!$A$3:$A$1000,$D200))</f>
        <v/>
      </c>
      <c r="F200" s="13" t="str">
        <f aca="false">IF($D200="","",SUMIFS(posicoes_fornecedor!$D$3:$D$1000,posicoes_fornecedor!$B$3:$B$1000,$A200,posicoes_fornecedor!$A$3:$A$1000,$D200))</f>
        <v/>
      </c>
      <c r="G200" s="13" t="str">
        <f aca="false">IF($D200="","",SUMIFS(posicoes_fornecedor!$E$3:$E$1000,posicoes_fornecedor!$B$3:$B$1000,$A200,posicoes_fornecedor!$A$3:$A$1000,$D200))</f>
        <v/>
      </c>
      <c r="H200" s="13" t="str">
        <f aca="false">IF($E200="","",$E200-$F200)</f>
        <v/>
      </c>
      <c r="I200" s="32" t="str">
        <f aca="false">IF(OR($E200="",$E200=0),"",$F200/$E200)</f>
        <v/>
      </c>
      <c r="J200" s="32" t="str">
        <f aca="false">IF(OR($E200="",$E200=0),"",$G200/$E200)</f>
        <v/>
      </c>
    </row>
  </sheetData>
  <dataValidations count="2">
    <dataValidation allowBlank="true" errorStyle="stop" operator="between" showDropDown="false" showErrorMessage="false" showInputMessage="false" sqref="B3:B200" type="list">
      <formula1>"Itajaí,Londrina"</formula1>
      <formula2>0</formula2>
    </dataValidation>
    <dataValidation allowBlank="true" errorStyle="stop" operator="between" showDropDown="false" showErrorMessage="false" showInputMessage="false" sqref="C3:C200" type="list">
      <formula1>"A definir,Cross-docking,Dropshipping,Estoque próprio"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31.5" hidden="false" customHeight="true" outlineLevel="0" collapsed="false">
      <c r="A1" s="14" t="s">
        <v>119</v>
      </c>
      <c r="B1" s="14" t="s">
        <v>100</v>
      </c>
      <c r="C1" s="14" t="s">
        <v>104</v>
      </c>
      <c r="D1" s="14" t="s">
        <v>105</v>
      </c>
      <c r="E1" s="14" t="s">
        <v>106</v>
      </c>
      <c r="F1" s="14" t="s">
        <v>120</v>
      </c>
    </row>
    <row r="2" customFormat="false" ht="15" hidden="false" customHeight="false" outlineLevel="0" collapsed="false">
      <c r="A2" s="17" t="n">
        <v>46308</v>
      </c>
      <c r="B2" s="15" t="s">
        <v>116</v>
      </c>
      <c r="C2" s="15" t="n">
        <v>1200</v>
      </c>
      <c r="D2" s="15" t="n">
        <v>800</v>
      </c>
      <c r="E2" s="15" t="n">
        <v>650</v>
      </c>
      <c r="F2" s="15" t="s">
        <v>97</v>
      </c>
    </row>
    <row r="3" customFormat="false" ht="15" hidden="false" customHeight="false" outlineLevel="0" collapsed="false">
      <c r="A3" s="25"/>
      <c r="B3" s="18"/>
      <c r="C3" s="18"/>
      <c r="D3" s="18"/>
      <c r="E3" s="18"/>
      <c r="F3" s="18"/>
    </row>
    <row r="4" customFormat="false" ht="15" hidden="false" customHeight="false" outlineLevel="0" collapsed="false">
      <c r="A4" s="25"/>
      <c r="B4" s="18"/>
      <c r="C4" s="18"/>
      <c r="D4" s="18"/>
      <c r="E4" s="18"/>
      <c r="F4" s="18"/>
    </row>
    <row r="5" customFormat="false" ht="15" hidden="false" customHeight="false" outlineLevel="0" collapsed="false">
      <c r="A5" s="25"/>
      <c r="B5" s="18"/>
      <c r="C5" s="18"/>
      <c r="D5" s="18"/>
      <c r="E5" s="18"/>
      <c r="F5" s="18"/>
    </row>
    <row r="6" customFormat="false" ht="15" hidden="false" customHeight="false" outlineLevel="0" collapsed="false">
      <c r="A6" s="25"/>
      <c r="B6" s="18"/>
      <c r="C6" s="18"/>
      <c r="D6" s="18"/>
      <c r="E6" s="18"/>
      <c r="F6" s="18"/>
    </row>
    <row r="7" customFormat="false" ht="15" hidden="false" customHeight="false" outlineLevel="0" collapsed="false">
      <c r="A7" s="25"/>
      <c r="B7" s="18"/>
      <c r="C7" s="18"/>
      <c r="D7" s="18"/>
      <c r="E7" s="18"/>
      <c r="F7" s="18"/>
    </row>
    <row r="8" customFormat="false" ht="15" hidden="false" customHeight="false" outlineLevel="0" collapsed="false">
      <c r="A8" s="25"/>
      <c r="B8" s="18"/>
      <c r="C8" s="18"/>
      <c r="D8" s="18"/>
      <c r="E8" s="18"/>
      <c r="F8" s="18"/>
    </row>
    <row r="9" customFormat="false" ht="15" hidden="false" customHeight="false" outlineLevel="0" collapsed="false">
      <c r="A9" s="25"/>
      <c r="B9" s="18"/>
      <c r="C9" s="18"/>
      <c r="D9" s="18"/>
      <c r="E9" s="18"/>
      <c r="F9" s="18"/>
    </row>
    <row r="10" customFormat="false" ht="15" hidden="false" customHeight="false" outlineLevel="0" collapsed="false">
      <c r="A10" s="25"/>
      <c r="B10" s="18"/>
      <c r="C10" s="18"/>
      <c r="D10" s="18"/>
      <c r="E10" s="18"/>
      <c r="F10" s="18"/>
    </row>
    <row r="11" customFormat="false" ht="15" hidden="false" customHeight="false" outlineLevel="0" collapsed="false">
      <c r="A11" s="25"/>
      <c r="B11" s="18"/>
      <c r="C11" s="18"/>
      <c r="D11" s="18"/>
      <c r="E11" s="18"/>
      <c r="F11" s="18"/>
    </row>
    <row r="12" customFormat="false" ht="15" hidden="false" customHeight="false" outlineLevel="0" collapsed="false">
      <c r="A12" s="25"/>
      <c r="B12" s="18"/>
      <c r="C12" s="18"/>
      <c r="D12" s="18"/>
      <c r="E12" s="18"/>
      <c r="F12" s="18"/>
    </row>
    <row r="13" customFormat="false" ht="15" hidden="false" customHeight="false" outlineLevel="0" collapsed="false">
      <c r="A13" s="25"/>
      <c r="B13" s="18"/>
      <c r="C13" s="18"/>
      <c r="D13" s="18"/>
      <c r="E13" s="18"/>
      <c r="F13" s="18"/>
    </row>
    <row r="14" customFormat="false" ht="15" hidden="false" customHeight="false" outlineLevel="0" collapsed="false">
      <c r="A14" s="25"/>
      <c r="B14" s="18"/>
      <c r="C14" s="18"/>
      <c r="D14" s="18"/>
      <c r="E14" s="18"/>
      <c r="F14" s="18"/>
    </row>
    <row r="15" customFormat="false" ht="15" hidden="false" customHeight="false" outlineLevel="0" collapsed="false">
      <c r="A15" s="25"/>
      <c r="B15" s="18"/>
      <c r="C15" s="18"/>
      <c r="D15" s="18"/>
      <c r="E15" s="18"/>
      <c r="F15" s="18"/>
    </row>
    <row r="16" customFormat="false" ht="15" hidden="false" customHeight="false" outlineLevel="0" collapsed="false">
      <c r="A16" s="25"/>
      <c r="B16" s="18"/>
      <c r="C16" s="18"/>
      <c r="D16" s="18"/>
      <c r="E16" s="18"/>
      <c r="F16" s="18"/>
    </row>
    <row r="17" customFormat="false" ht="15" hidden="false" customHeight="false" outlineLevel="0" collapsed="false">
      <c r="A17" s="25"/>
      <c r="B17" s="18"/>
      <c r="C17" s="18"/>
      <c r="D17" s="18"/>
      <c r="E17" s="18"/>
      <c r="F17" s="18"/>
    </row>
    <row r="18" customFormat="false" ht="15" hidden="false" customHeight="false" outlineLevel="0" collapsed="false">
      <c r="A18" s="25"/>
      <c r="B18" s="18"/>
      <c r="C18" s="18"/>
      <c r="D18" s="18"/>
      <c r="E18" s="18"/>
      <c r="F18" s="18"/>
    </row>
    <row r="19" customFormat="false" ht="15" hidden="false" customHeight="false" outlineLevel="0" collapsed="false">
      <c r="A19" s="25"/>
      <c r="B19" s="18"/>
      <c r="C19" s="18"/>
      <c r="D19" s="18"/>
      <c r="E19" s="18"/>
      <c r="F19" s="18"/>
    </row>
    <row r="20" customFormat="false" ht="15" hidden="false" customHeight="false" outlineLevel="0" collapsed="false">
      <c r="A20" s="25"/>
      <c r="B20" s="18"/>
      <c r="C20" s="18"/>
      <c r="D20" s="18"/>
      <c r="E20" s="18"/>
      <c r="F20" s="18"/>
    </row>
    <row r="21" customFormat="false" ht="15" hidden="false" customHeight="false" outlineLevel="0" collapsed="false">
      <c r="A21" s="25"/>
      <c r="B21" s="18"/>
      <c r="C21" s="18"/>
      <c r="D21" s="18"/>
      <c r="E21" s="18"/>
      <c r="F21" s="18"/>
    </row>
    <row r="22" customFormat="false" ht="15" hidden="false" customHeight="false" outlineLevel="0" collapsed="false">
      <c r="A22" s="25"/>
      <c r="B22" s="18"/>
      <c r="C22" s="18"/>
      <c r="D22" s="18"/>
      <c r="E22" s="18"/>
      <c r="F22" s="18"/>
    </row>
    <row r="23" customFormat="false" ht="15" hidden="false" customHeight="false" outlineLevel="0" collapsed="false">
      <c r="A23" s="25"/>
      <c r="B23" s="18"/>
      <c r="C23" s="18"/>
      <c r="D23" s="18"/>
      <c r="E23" s="18"/>
      <c r="F23" s="18"/>
    </row>
    <row r="24" customFormat="false" ht="15" hidden="false" customHeight="false" outlineLevel="0" collapsed="false">
      <c r="A24" s="25"/>
      <c r="B24" s="18"/>
      <c r="C24" s="18"/>
      <c r="D24" s="18"/>
      <c r="E24" s="18"/>
      <c r="F24" s="18"/>
    </row>
    <row r="25" customFormat="false" ht="15" hidden="false" customHeight="false" outlineLevel="0" collapsed="false">
      <c r="A25" s="25"/>
      <c r="B25" s="18"/>
      <c r="C25" s="18"/>
      <c r="D25" s="18"/>
      <c r="E25" s="18"/>
      <c r="F25" s="18"/>
    </row>
    <row r="26" customFormat="false" ht="15" hidden="false" customHeight="false" outlineLevel="0" collapsed="false">
      <c r="A26" s="25"/>
      <c r="B26" s="18"/>
      <c r="C26" s="18"/>
      <c r="D26" s="18"/>
      <c r="E26" s="18"/>
      <c r="F26" s="18"/>
    </row>
    <row r="27" customFormat="false" ht="15" hidden="false" customHeight="false" outlineLevel="0" collapsed="false">
      <c r="A27" s="25"/>
      <c r="B27" s="18"/>
      <c r="C27" s="18"/>
      <c r="D27" s="18"/>
      <c r="E27" s="18"/>
      <c r="F27" s="18"/>
    </row>
    <row r="28" customFormat="false" ht="15" hidden="false" customHeight="false" outlineLevel="0" collapsed="false">
      <c r="A28" s="25"/>
      <c r="B28" s="18"/>
      <c r="C28" s="18"/>
      <c r="D28" s="18"/>
      <c r="E28" s="18"/>
      <c r="F28" s="18"/>
    </row>
    <row r="29" customFormat="false" ht="15" hidden="false" customHeight="false" outlineLevel="0" collapsed="false">
      <c r="A29" s="25"/>
      <c r="B29" s="18"/>
      <c r="C29" s="18"/>
      <c r="D29" s="18"/>
      <c r="E29" s="18"/>
      <c r="F29" s="18"/>
    </row>
    <row r="30" customFormat="false" ht="15" hidden="false" customHeight="false" outlineLevel="0" collapsed="false">
      <c r="A30" s="25"/>
      <c r="B30" s="18"/>
      <c r="C30" s="18"/>
      <c r="D30" s="18"/>
      <c r="E30" s="18"/>
      <c r="F30" s="18"/>
    </row>
    <row r="31" customFormat="false" ht="15" hidden="false" customHeight="false" outlineLevel="0" collapsed="false">
      <c r="A31" s="25"/>
      <c r="B31" s="18"/>
      <c r="C31" s="18"/>
      <c r="D31" s="18"/>
      <c r="E31" s="18"/>
      <c r="F31" s="18"/>
    </row>
    <row r="32" customFormat="false" ht="15" hidden="false" customHeight="false" outlineLevel="0" collapsed="false">
      <c r="A32" s="25"/>
      <c r="B32" s="18"/>
      <c r="C32" s="18"/>
      <c r="D32" s="18"/>
      <c r="E32" s="18"/>
      <c r="F32" s="18"/>
    </row>
    <row r="33" customFormat="false" ht="15" hidden="false" customHeight="false" outlineLevel="0" collapsed="false">
      <c r="A33" s="25"/>
      <c r="B33" s="18"/>
      <c r="C33" s="18"/>
      <c r="D33" s="18"/>
      <c r="E33" s="18"/>
      <c r="F33" s="18"/>
    </row>
    <row r="34" customFormat="false" ht="15" hidden="false" customHeight="false" outlineLevel="0" collapsed="false">
      <c r="A34" s="25"/>
      <c r="B34" s="18"/>
      <c r="C34" s="18"/>
      <c r="D34" s="18"/>
      <c r="E34" s="18"/>
      <c r="F34" s="18"/>
    </row>
    <row r="35" customFormat="false" ht="15" hidden="false" customHeight="false" outlineLevel="0" collapsed="false">
      <c r="A35" s="25"/>
      <c r="B35" s="18"/>
      <c r="C35" s="18"/>
      <c r="D35" s="18"/>
      <c r="E35" s="18"/>
      <c r="F35" s="18"/>
    </row>
    <row r="36" customFormat="false" ht="15" hidden="false" customHeight="false" outlineLevel="0" collapsed="false">
      <c r="A36" s="25"/>
      <c r="B36" s="18"/>
      <c r="C36" s="18"/>
      <c r="D36" s="18"/>
      <c r="E36" s="18"/>
      <c r="F36" s="18"/>
    </row>
    <row r="37" customFormat="false" ht="15" hidden="false" customHeight="false" outlineLevel="0" collapsed="false">
      <c r="A37" s="25"/>
      <c r="B37" s="18"/>
      <c r="C37" s="18"/>
      <c r="D37" s="18"/>
      <c r="E37" s="18"/>
      <c r="F37" s="18"/>
    </row>
    <row r="38" customFormat="false" ht="15" hidden="false" customHeight="false" outlineLevel="0" collapsed="false">
      <c r="A38" s="25"/>
      <c r="B38" s="18"/>
      <c r="C38" s="18"/>
      <c r="D38" s="18"/>
      <c r="E38" s="18"/>
      <c r="F38" s="18"/>
    </row>
    <row r="39" customFormat="false" ht="15" hidden="false" customHeight="false" outlineLevel="0" collapsed="false">
      <c r="A39" s="25"/>
      <c r="B39" s="18"/>
      <c r="C39" s="18"/>
      <c r="D39" s="18"/>
      <c r="E39" s="18"/>
      <c r="F39" s="18"/>
    </row>
    <row r="40" customFormat="false" ht="15" hidden="false" customHeight="false" outlineLevel="0" collapsed="false">
      <c r="A40" s="25"/>
      <c r="B40" s="18"/>
      <c r="C40" s="18"/>
      <c r="D40" s="18"/>
      <c r="E40" s="18"/>
      <c r="F40" s="18"/>
    </row>
    <row r="41" customFormat="false" ht="15" hidden="false" customHeight="false" outlineLevel="0" collapsed="false">
      <c r="A41" s="25"/>
      <c r="B41" s="18"/>
      <c r="C41" s="18"/>
      <c r="D41" s="18"/>
      <c r="E41" s="18"/>
      <c r="F41" s="18"/>
    </row>
    <row r="42" customFormat="false" ht="15" hidden="false" customHeight="false" outlineLevel="0" collapsed="false">
      <c r="A42" s="25"/>
      <c r="B42" s="18"/>
      <c r="C42" s="18"/>
      <c r="D42" s="18"/>
      <c r="E42" s="18"/>
      <c r="F42" s="18"/>
    </row>
    <row r="43" customFormat="false" ht="15" hidden="false" customHeight="false" outlineLevel="0" collapsed="false">
      <c r="A43" s="25"/>
      <c r="B43" s="18"/>
      <c r="C43" s="18"/>
      <c r="D43" s="18"/>
      <c r="E43" s="18"/>
      <c r="F43" s="18"/>
    </row>
    <row r="44" customFormat="false" ht="15" hidden="false" customHeight="false" outlineLevel="0" collapsed="false">
      <c r="A44" s="25"/>
      <c r="B44" s="18"/>
      <c r="C44" s="18"/>
      <c r="D44" s="18"/>
      <c r="E44" s="18"/>
      <c r="F44" s="18"/>
    </row>
    <row r="45" customFormat="false" ht="15" hidden="false" customHeight="false" outlineLevel="0" collapsed="false">
      <c r="A45" s="25"/>
      <c r="B45" s="18"/>
      <c r="C45" s="18"/>
      <c r="D45" s="18"/>
      <c r="E45" s="18"/>
      <c r="F45" s="18"/>
    </row>
    <row r="46" customFormat="false" ht="15" hidden="false" customHeight="false" outlineLevel="0" collapsed="false">
      <c r="A46" s="25"/>
      <c r="B46" s="18"/>
      <c r="C46" s="18"/>
      <c r="D46" s="18"/>
      <c r="E46" s="18"/>
      <c r="F46" s="18"/>
    </row>
    <row r="47" customFormat="false" ht="15" hidden="false" customHeight="false" outlineLevel="0" collapsed="false">
      <c r="A47" s="25"/>
      <c r="B47" s="18"/>
      <c r="C47" s="18"/>
      <c r="D47" s="18"/>
      <c r="E47" s="18"/>
      <c r="F47" s="18"/>
    </row>
    <row r="48" customFormat="false" ht="15" hidden="false" customHeight="false" outlineLevel="0" collapsed="false">
      <c r="A48" s="25"/>
      <c r="B48" s="18"/>
      <c r="C48" s="18"/>
      <c r="D48" s="18"/>
      <c r="E48" s="18"/>
      <c r="F48" s="18"/>
    </row>
    <row r="49" customFormat="false" ht="15" hidden="false" customHeight="false" outlineLevel="0" collapsed="false">
      <c r="A49" s="25"/>
      <c r="B49" s="18"/>
      <c r="C49" s="18"/>
      <c r="D49" s="18"/>
      <c r="E49" s="18"/>
      <c r="F49" s="18"/>
    </row>
    <row r="50" customFormat="false" ht="15" hidden="false" customHeight="false" outlineLevel="0" collapsed="false">
      <c r="A50" s="25"/>
      <c r="B50" s="18"/>
      <c r="C50" s="18"/>
      <c r="D50" s="18"/>
      <c r="E50" s="18"/>
      <c r="F50" s="18"/>
    </row>
    <row r="51" customFormat="false" ht="15" hidden="false" customHeight="false" outlineLevel="0" collapsed="false">
      <c r="A51" s="25"/>
      <c r="B51" s="18"/>
      <c r="C51" s="18"/>
      <c r="D51" s="18"/>
      <c r="E51" s="18"/>
      <c r="F51" s="18"/>
    </row>
    <row r="52" customFormat="false" ht="15" hidden="false" customHeight="false" outlineLevel="0" collapsed="false">
      <c r="A52" s="25"/>
      <c r="B52" s="18"/>
      <c r="C52" s="18"/>
      <c r="D52" s="18"/>
      <c r="E52" s="18"/>
      <c r="F52" s="18"/>
    </row>
    <row r="53" customFormat="false" ht="15" hidden="false" customHeight="false" outlineLevel="0" collapsed="false">
      <c r="A53" s="25"/>
      <c r="B53" s="18"/>
      <c r="C53" s="18"/>
      <c r="D53" s="18"/>
      <c r="E53" s="18"/>
      <c r="F53" s="18"/>
    </row>
    <row r="54" customFormat="false" ht="15" hidden="false" customHeight="false" outlineLevel="0" collapsed="false">
      <c r="A54" s="25"/>
      <c r="B54" s="18"/>
      <c r="C54" s="18"/>
      <c r="D54" s="18"/>
      <c r="E54" s="18"/>
      <c r="F54" s="18"/>
    </row>
    <row r="55" customFormat="false" ht="15" hidden="false" customHeight="false" outlineLevel="0" collapsed="false">
      <c r="A55" s="25"/>
      <c r="B55" s="18"/>
      <c r="C55" s="18"/>
      <c r="D55" s="18"/>
      <c r="E55" s="18"/>
      <c r="F55" s="18"/>
    </row>
    <row r="56" customFormat="false" ht="15" hidden="false" customHeight="false" outlineLevel="0" collapsed="false">
      <c r="A56" s="25"/>
      <c r="B56" s="18"/>
      <c r="C56" s="18"/>
      <c r="D56" s="18"/>
      <c r="E56" s="18"/>
      <c r="F56" s="18"/>
    </row>
    <row r="57" customFormat="false" ht="15" hidden="false" customHeight="false" outlineLevel="0" collapsed="false">
      <c r="A57" s="25"/>
      <c r="B57" s="18"/>
      <c r="C57" s="18"/>
      <c r="D57" s="18"/>
      <c r="E57" s="18"/>
      <c r="F57" s="18"/>
    </row>
    <row r="58" customFormat="false" ht="15" hidden="false" customHeight="false" outlineLevel="0" collapsed="false">
      <c r="A58" s="25"/>
      <c r="B58" s="18"/>
      <c r="C58" s="18"/>
      <c r="D58" s="18"/>
      <c r="E58" s="18"/>
      <c r="F58" s="18"/>
    </row>
    <row r="59" customFormat="false" ht="15" hidden="false" customHeight="false" outlineLevel="0" collapsed="false">
      <c r="A59" s="25"/>
      <c r="B59" s="18"/>
      <c r="C59" s="18"/>
      <c r="D59" s="18"/>
      <c r="E59" s="18"/>
      <c r="F59" s="18"/>
    </row>
    <row r="60" customFormat="false" ht="15" hidden="false" customHeight="false" outlineLevel="0" collapsed="false">
      <c r="A60" s="25"/>
      <c r="B60" s="18"/>
      <c r="C60" s="18"/>
      <c r="D60" s="18"/>
      <c r="E60" s="18"/>
      <c r="F60" s="18"/>
    </row>
    <row r="61" customFormat="false" ht="15" hidden="false" customHeight="false" outlineLevel="0" collapsed="false">
      <c r="A61" s="25"/>
      <c r="B61" s="18"/>
      <c r="C61" s="18"/>
      <c r="D61" s="18"/>
      <c r="E61" s="18"/>
      <c r="F61" s="18"/>
    </row>
    <row r="62" customFormat="false" ht="15" hidden="false" customHeight="false" outlineLevel="0" collapsed="false">
      <c r="A62" s="25"/>
      <c r="B62" s="18"/>
      <c r="C62" s="18"/>
      <c r="D62" s="18"/>
      <c r="E62" s="18"/>
      <c r="F62" s="18"/>
    </row>
    <row r="63" customFormat="false" ht="15" hidden="false" customHeight="false" outlineLevel="0" collapsed="false">
      <c r="A63" s="25"/>
      <c r="B63" s="18"/>
      <c r="C63" s="18"/>
      <c r="D63" s="18"/>
      <c r="E63" s="18"/>
      <c r="F63" s="18"/>
    </row>
    <row r="64" customFormat="false" ht="15" hidden="false" customHeight="false" outlineLevel="0" collapsed="false">
      <c r="A64" s="25"/>
      <c r="B64" s="18"/>
      <c r="C64" s="18"/>
      <c r="D64" s="18"/>
      <c r="E64" s="18"/>
      <c r="F64" s="18"/>
    </row>
    <row r="65" customFormat="false" ht="15" hidden="false" customHeight="false" outlineLevel="0" collapsed="false">
      <c r="A65" s="25"/>
      <c r="B65" s="18"/>
      <c r="C65" s="18"/>
      <c r="D65" s="18"/>
      <c r="E65" s="18"/>
      <c r="F65" s="18"/>
    </row>
    <row r="66" customFormat="false" ht="15" hidden="false" customHeight="false" outlineLevel="0" collapsed="false">
      <c r="A66" s="25"/>
      <c r="B66" s="18"/>
      <c r="C66" s="18"/>
      <c r="D66" s="18"/>
      <c r="E66" s="18"/>
      <c r="F66" s="18"/>
    </row>
    <row r="67" customFormat="false" ht="15" hidden="false" customHeight="false" outlineLevel="0" collapsed="false">
      <c r="A67" s="25"/>
      <c r="B67" s="18"/>
      <c r="C67" s="18"/>
      <c r="D67" s="18"/>
      <c r="E67" s="18"/>
      <c r="F67" s="18"/>
    </row>
    <row r="68" customFormat="false" ht="15" hidden="false" customHeight="false" outlineLevel="0" collapsed="false">
      <c r="A68" s="25"/>
      <c r="B68" s="18"/>
      <c r="C68" s="18"/>
      <c r="D68" s="18"/>
      <c r="E68" s="18"/>
      <c r="F68" s="18"/>
    </row>
    <row r="69" customFormat="false" ht="15" hidden="false" customHeight="false" outlineLevel="0" collapsed="false">
      <c r="A69" s="25"/>
      <c r="B69" s="18"/>
      <c r="C69" s="18"/>
      <c r="D69" s="18"/>
      <c r="E69" s="18"/>
      <c r="F69" s="18"/>
    </row>
    <row r="70" customFormat="false" ht="15" hidden="false" customHeight="false" outlineLevel="0" collapsed="false">
      <c r="A70" s="25"/>
      <c r="B70" s="18"/>
      <c r="C70" s="18"/>
      <c r="D70" s="18"/>
      <c r="E70" s="18"/>
      <c r="F70" s="18"/>
    </row>
    <row r="71" customFormat="false" ht="15" hidden="false" customHeight="false" outlineLevel="0" collapsed="false">
      <c r="A71" s="25"/>
      <c r="B71" s="18"/>
      <c r="C71" s="18"/>
      <c r="D71" s="18"/>
      <c r="E71" s="18"/>
      <c r="F71" s="18"/>
    </row>
    <row r="72" customFormat="false" ht="15" hidden="false" customHeight="false" outlineLevel="0" collapsed="false">
      <c r="A72" s="25"/>
      <c r="B72" s="18"/>
      <c r="C72" s="18"/>
      <c r="D72" s="18"/>
      <c r="E72" s="18"/>
      <c r="F72" s="18"/>
    </row>
    <row r="73" customFormat="false" ht="15" hidden="false" customHeight="false" outlineLevel="0" collapsed="false">
      <c r="A73" s="25"/>
      <c r="B73" s="18"/>
      <c r="C73" s="18"/>
      <c r="D73" s="18"/>
      <c r="E73" s="18"/>
      <c r="F73" s="18"/>
    </row>
    <row r="74" customFormat="false" ht="15" hidden="false" customHeight="false" outlineLevel="0" collapsed="false">
      <c r="A74" s="25"/>
      <c r="B74" s="18"/>
      <c r="C74" s="18"/>
      <c r="D74" s="18"/>
      <c r="E74" s="18"/>
      <c r="F74" s="18"/>
    </row>
    <row r="75" customFormat="false" ht="15" hidden="false" customHeight="false" outlineLevel="0" collapsed="false">
      <c r="A75" s="25"/>
      <c r="B75" s="18"/>
      <c r="C75" s="18"/>
      <c r="D75" s="18"/>
      <c r="E75" s="18"/>
      <c r="F75" s="18"/>
    </row>
    <row r="76" customFormat="false" ht="15" hidden="false" customHeight="false" outlineLevel="0" collapsed="false">
      <c r="A76" s="25"/>
      <c r="B76" s="18"/>
      <c r="C76" s="18"/>
      <c r="D76" s="18"/>
      <c r="E76" s="18"/>
      <c r="F76" s="18"/>
    </row>
    <row r="77" customFormat="false" ht="15" hidden="false" customHeight="false" outlineLevel="0" collapsed="false">
      <c r="A77" s="25"/>
      <c r="B77" s="18"/>
      <c r="C77" s="18"/>
      <c r="D77" s="18"/>
      <c r="E77" s="18"/>
      <c r="F77" s="18"/>
    </row>
    <row r="78" customFormat="false" ht="15" hidden="false" customHeight="false" outlineLevel="0" collapsed="false">
      <c r="A78" s="25"/>
      <c r="B78" s="18"/>
      <c r="C78" s="18"/>
      <c r="D78" s="18"/>
      <c r="E78" s="18"/>
      <c r="F78" s="18"/>
    </row>
    <row r="79" customFormat="false" ht="15" hidden="false" customHeight="false" outlineLevel="0" collapsed="false">
      <c r="A79" s="25"/>
      <c r="B79" s="18"/>
      <c r="C79" s="18"/>
      <c r="D79" s="18"/>
      <c r="E79" s="18"/>
      <c r="F79" s="18"/>
    </row>
    <row r="80" customFormat="false" ht="15" hidden="false" customHeight="false" outlineLevel="0" collapsed="false">
      <c r="A80" s="25"/>
      <c r="B80" s="18"/>
      <c r="C80" s="18"/>
      <c r="D80" s="18"/>
      <c r="E80" s="18"/>
      <c r="F80" s="18"/>
    </row>
    <row r="81" customFormat="false" ht="15" hidden="false" customHeight="false" outlineLevel="0" collapsed="false">
      <c r="A81" s="25"/>
      <c r="B81" s="18"/>
      <c r="C81" s="18"/>
      <c r="D81" s="18"/>
      <c r="E81" s="18"/>
      <c r="F81" s="18"/>
    </row>
    <row r="82" customFormat="false" ht="15" hidden="false" customHeight="false" outlineLevel="0" collapsed="false">
      <c r="A82" s="25"/>
      <c r="B82" s="18"/>
      <c r="C82" s="18"/>
      <c r="D82" s="18"/>
      <c r="E82" s="18"/>
      <c r="F82" s="18"/>
    </row>
    <row r="83" customFormat="false" ht="15" hidden="false" customHeight="false" outlineLevel="0" collapsed="false">
      <c r="A83" s="25"/>
      <c r="B83" s="18"/>
      <c r="C83" s="18"/>
      <c r="D83" s="18"/>
      <c r="E83" s="18"/>
      <c r="F83" s="18"/>
    </row>
    <row r="84" customFormat="false" ht="15" hidden="false" customHeight="false" outlineLevel="0" collapsed="false">
      <c r="A84" s="25"/>
      <c r="B84" s="18"/>
      <c r="C84" s="18"/>
      <c r="D84" s="18"/>
      <c r="E84" s="18"/>
      <c r="F84" s="18"/>
    </row>
    <row r="85" customFormat="false" ht="15" hidden="false" customHeight="false" outlineLevel="0" collapsed="false">
      <c r="A85" s="25"/>
      <c r="B85" s="18"/>
      <c r="C85" s="18"/>
      <c r="D85" s="18"/>
      <c r="E85" s="18"/>
      <c r="F85" s="18"/>
    </row>
    <row r="86" customFormat="false" ht="15" hidden="false" customHeight="false" outlineLevel="0" collapsed="false">
      <c r="A86" s="25"/>
      <c r="B86" s="18"/>
      <c r="C86" s="18"/>
      <c r="D86" s="18"/>
      <c r="E86" s="18"/>
      <c r="F86" s="18"/>
    </row>
    <row r="87" customFormat="false" ht="15" hidden="false" customHeight="false" outlineLevel="0" collapsed="false">
      <c r="A87" s="25"/>
      <c r="B87" s="18"/>
      <c r="C87" s="18"/>
      <c r="D87" s="18"/>
      <c r="E87" s="18"/>
      <c r="F87" s="18"/>
    </row>
    <row r="88" customFormat="false" ht="15" hidden="false" customHeight="false" outlineLevel="0" collapsed="false">
      <c r="A88" s="25"/>
      <c r="B88" s="18"/>
      <c r="C88" s="18"/>
      <c r="D88" s="18"/>
      <c r="E88" s="18"/>
      <c r="F88" s="18"/>
    </row>
    <row r="89" customFormat="false" ht="15" hidden="false" customHeight="false" outlineLevel="0" collapsed="false">
      <c r="A89" s="25"/>
      <c r="B89" s="18"/>
      <c r="C89" s="18"/>
      <c r="D89" s="18"/>
      <c r="E89" s="18"/>
      <c r="F89" s="18"/>
    </row>
    <row r="90" customFormat="false" ht="15" hidden="false" customHeight="false" outlineLevel="0" collapsed="false">
      <c r="A90" s="25"/>
      <c r="B90" s="18"/>
      <c r="C90" s="18"/>
      <c r="D90" s="18"/>
      <c r="E90" s="18"/>
      <c r="F90" s="18"/>
    </row>
    <row r="91" customFormat="false" ht="15" hidden="false" customHeight="false" outlineLevel="0" collapsed="false">
      <c r="A91" s="25"/>
      <c r="B91" s="18"/>
      <c r="C91" s="18"/>
      <c r="D91" s="18"/>
      <c r="E91" s="18"/>
      <c r="F91" s="18"/>
    </row>
    <row r="92" customFormat="false" ht="15" hidden="false" customHeight="false" outlineLevel="0" collapsed="false">
      <c r="A92" s="25"/>
      <c r="B92" s="18"/>
      <c r="C92" s="18"/>
      <c r="D92" s="18"/>
      <c r="E92" s="18"/>
      <c r="F92" s="18"/>
    </row>
    <row r="93" customFormat="false" ht="15" hidden="false" customHeight="false" outlineLevel="0" collapsed="false">
      <c r="A93" s="25"/>
      <c r="B93" s="18"/>
      <c r="C93" s="18"/>
      <c r="D93" s="18"/>
      <c r="E93" s="18"/>
      <c r="F93" s="18"/>
    </row>
    <row r="94" customFormat="false" ht="15" hidden="false" customHeight="false" outlineLevel="0" collapsed="false">
      <c r="A94" s="25"/>
      <c r="B94" s="18"/>
      <c r="C94" s="18"/>
      <c r="D94" s="18"/>
      <c r="E94" s="18"/>
      <c r="F94" s="18"/>
    </row>
    <row r="95" customFormat="false" ht="15" hidden="false" customHeight="false" outlineLevel="0" collapsed="false">
      <c r="A95" s="25"/>
      <c r="B95" s="18"/>
      <c r="C95" s="18"/>
      <c r="D95" s="18"/>
      <c r="E95" s="18"/>
      <c r="F95" s="18"/>
    </row>
    <row r="96" customFormat="false" ht="15" hidden="false" customHeight="false" outlineLevel="0" collapsed="false">
      <c r="A96" s="25"/>
      <c r="B96" s="18"/>
      <c r="C96" s="18"/>
      <c r="D96" s="18"/>
      <c r="E96" s="18"/>
      <c r="F96" s="18"/>
    </row>
    <row r="97" customFormat="false" ht="15" hidden="false" customHeight="false" outlineLevel="0" collapsed="false">
      <c r="A97" s="25"/>
      <c r="B97" s="18"/>
      <c r="C97" s="18"/>
      <c r="D97" s="18"/>
      <c r="E97" s="18"/>
      <c r="F97" s="18"/>
    </row>
    <row r="98" customFormat="false" ht="15" hidden="false" customHeight="false" outlineLevel="0" collapsed="false">
      <c r="A98" s="25"/>
      <c r="B98" s="18"/>
      <c r="C98" s="18"/>
      <c r="D98" s="18"/>
      <c r="E98" s="18"/>
      <c r="F98" s="18"/>
    </row>
    <row r="99" customFormat="false" ht="15" hidden="false" customHeight="false" outlineLevel="0" collapsed="false">
      <c r="A99" s="25"/>
      <c r="B99" s="18"/>
      <c r="C99" s="18"/>
      <c r="D99" s="18"/>
      <c r="E99" s="18"/>
      <c r="F99" s="18"/>
    </row>
    <row r="100" customFormat="false" ht="15" hidden="false" customHeight="false" outlineLevel="0" collapsed="false">
      <c r="A100" s="25"/>
      <c r="B100" s="18"/>
      <c r="C100" s="18"/>
      <c r="D100" s="18"/>
      <c r="E100" s="18"/>
      <c r="F100" s="18"/>
    </row>
    <row r="101" customFormat="false" ht="15" hidden="false" customHeight="false" outlineLevel="0" collapsed="false">
      <c r="A101" s="25"/>
      <c r="B101" s="18"/>
      <c r="C101" s="18"/>
      <c r="D101" s="18"/>
      <c r="E101" s="18"/>
      <c r="F101" s="18"/>
    </row>
    <row r="102" customFormat="false" ht="15" hidden="false" customHeight="false" outlineLevel="0" collapsed="false">
      <c r="A102" s="25"/>
      <c r="B102" s="18"/>
      <c r="C102" s="18"/>
      <c r="D102" s="18"/>
      <c r="E102" s="18"/>
      <c r="F102" s="18"/>
    </row>
    <row r="103" customFormat="false" ht="15" hidden="false" customHeight="false" outlineLevel="0" collapsed="false">
      <c r="A103" s="25"/>
      <c r="B103" s="18"/>
      <c r="C103" s="18"/>
      <c r="D103" s="18"/>
      <c r="E103" s="18"/>
      <c r="F103" s="18"/>
    </row>
    <row r="104" customFormat="false" ht="15" hidden="false" customHeight="false" outlineLevel="0" collapsed="false">
      <c r="A104" s="25"/>
      <c r="B104" s="18"/>
      <c r="C104" s="18"/>
      <c r="D104" s="18"/>
      <c r="E104" s="18"/>
      <c r="F104" s="18"/>
    </row>
    <row r="105" customFormat="false" ht="15" hidden="false" customHeight="false" outlineLevel="0" collapsed="false">
      <c r="A105" s="25"/>
      <c r="B105" s="18"/>
      <c r="C105" s="18"/>
      <c r="D105" s="18"/>
      <c r="E105" s="18"/>
      <c r="F105" s="18"/>
    </row>
    <row r="106" customFormat="false" ht="15" hidden="false" customHeight="false" outlineLevel="0" collapsed="false">
      <c r="A106" s="25"/>
      <c r="B106" s="18"/>
      <c r="C106" s="18"/>
      <c r="D106" s="18"/>
      <c r="E106" s="18"/>
      <c r="F106" s="18"/>
    </row>
    <row r="107" customFormat="false" ht="15" hidden="false" customHeight="false" outlineLevel="0" collapsed="false">
      <c r="A107" s="25"/>
      <c r="B107" s="18"/>
      <c r="C107" s="18"/>
      <c r="D107" s="18"/>
      <c r="E107" s="18"/>
      <c r="F107" s="18"/>
    </row>
    <row r="108" customFormat="false" ht="15" hidden="false" customHeight="false" outlineLevel="0" collapsed="false">
      <c r="A108" s="25"/>
      <c r="B108" s="18"/>
      <c r="C108" s="18"/>
      <c r="D108" s="18"/>
      <c r="E108" s="18"/>
      <c r="F108" s="18"/>
    </row>
    <row r="109" customFormat="false" ht="15" hidden="false" customHeight="false" outlineLevel="0" collapsed="false">
      <c r="A109" s="25"/>
      <c r="B109" s="18"/>
      <c r="C109" s="18"/>
      <c r="D109" s="18"/>
      <c r="E109" s="18"/>
      <c r="F109" s="18"/>
    </row>
    <row r="110" customFormat="false" ht="15" hidden="false" customHeight="false" outlineLevel="0" collapsed="false">
      <c r="A110" s="25"/>
      <c r="B110" s="18"/>
      <c r="C110" s="18"/>
      <c r="D110" s="18"/>
      <c r="E110" s="18"/>
      <c r="F110" s="18"/>
    </row>
    <row r="111" customFormat="false" ht="15" hidden="false" customHeight="false" outlineLevel="0" collapsed="false">
      <c r="A111" s="25"/>
      <c r="B111" s="18"/>
      <c r="C111" s="18"/>
      <c r="D111" s="18"/>
      <c r="E111" s="18"/>
      <c r="F111" s="18"/>
    </row>
    <row r="112" customFormat="false" ht="15" hidden="false" customHeight="false" outlineLevel="0" collapsed="false">
      <c r="A112" s="25"/>
      <c r="B112" s="18"/>
      <c r="C112" s="18"/>
      <c r="D112" s="18"/>
      <c r="E112" s="18"/>
      <c r="F112" s="18"/>
    </row>
    <row r="113" customFormat="false" ht="15" hidden="false" customHeight="false" outlineLevel="0" collapsed="false">
      <c r="A113" s="25"/>
      <c r="B113" s="18"/>
      <c r="C113" s="18"/>
      <c r="D113" s="18"/>
      <c r="E113" s="18"/>
      <c r="F113" s="18"/>
    </row>
    <row r="114" customFormat="false" ht="15" hidden="false" customHeight="false" outlineLevel="0" collapsed="false">
      <c r="A114" s="25"/>
      <c r="B114" s="18"/>
      <c r="C114" s="18"/>
      <c r="D114" s="18"/>
      <c r="E114" s="18"/>
      <c r="F114" s="18"/>
    </row>
    <row r="115" customFormat="false" ht="15" hidden="false" customHeight="false" outlineLevel="0" collapsed="false">
      <c r="A115" s="25"/>
      <c r="B115" s="18"/>
      <c r="C115" s="18"/>
      <c r="D115" s="18"/>
      <c r="E115" s="18"/>
      <c r="F115" s="18"/>
    </row>
    <row r="116" customFormat="false" ht="15" hidden="false" customHeight="false" outlineLevel="0" collapsed="false">
      <c r="A116" s="25"/>
      <c r="B116" s="18"/>
      <c r="C116" s="18"/>
      <c r="D116" s="18"/>
      <c r="E116" s="18"/>
      <c r="F116" s="18"/>
    </row>
    <row r="117" customFormat="false" ht="15" hidden="false" customHeight="false" outlineLevel="0" collapsed="false">
      <c r="A117" s="25"/>
      <c r="B117" s="18"/>
      <c r="C117" s="18"/>
      <c r="D117" s="18"/>
      <c r="E117" s="18"/>
      <c r="F117" s="18"/>
    </row>
    <row r="118" customFormat="false" ht="15" hidden="false" customHeight="false" outlineLevel="0" collapsed="false">
      <c r="A118" s="25"/>
      <c r="B118" s="18"/>
      <c r="C118" s="18"/>
      <c r="D118" s="18"/>
      <c r="E118" s="18"/>
      <c r="F118" s="18"/>
    </row>
    <row r="119" customFormat="false" ht="15" hidden="false" customHeight="false" outlineLevel="0" collapsed="false">
      <c r="A119" s="25"/>
      <c r="B119" s="18"/>
      <c r="C119" s="18"/>
      <c r="D119" s="18"/>
      <c r="E119" s="18"/>
      <c r="F119" s="18"/>
    </row>
    <row r="120" customFormat="false" ht="15" hidden="false" customHeight="false" outlineLevel="0" collapsed="false">
      <c r="A120" s="25"/>
      <c r="B120" s="18"/>
      <c r="C120" s="18"/>
      <c r="D120" s="18"/>
      <c r="E120" s="18"/>
      <c r="F120" s="18"/>
    </row>
    <row r="121" customFormat="false" ht="15" hidden="false" customHeight="false" outlineLevel="0" collapsed="false">
      <c r="A121" s="25"/>
      <c r="B121" s="18"/>
      <c r="C121" s="18"/>
      <c r="D121" s="18"/>
      <c r="E121" s="18"/>
      <c r="F121" s="18"/>
    </row>
    <row r="122" customFormat="false" ht="15" hidden="false" customHeight="false" outlineLevel="0" collapsed="false">
      <c r="A122" s="25"/>
      <c r="B122" s="18"/>
      <c r="C122" s="18"/>
      <c r="D122" s="18"/>
      <c r="E122" s="18"/>
      <c r="F122" s="18"/>
    </row>
    <row r="123" customFormat="false" ht="15" hidden="false" customHeight="false" outlineLevel="0" collapsed="false">
      <c r="A123" s="25"/>
      <c r="B123" s="18"/>
      <c r="C123" s="18"/>
      <c r="D123" s="18"/>
      <c r="E123" s="18"/>
      <c r="F123" s="18"/>
    </row>
    <row r="124" customFormat="false" ht="15" hidden="false" customHeight="false" outlineLevel="0" collapsed="false">
      <c r="A124" s="25"/>
      <c r="B124" s="18"/>
      <c r="C124" s="18"/>
      <c r="D124" s="18"/>
      <c r="E124" s="18"/>
      <c r="F124" s="18"/>
    </row>
    <row r="125" customFormat="false" ht="15" hidden="false" customHeight="false" outlineLevel="0" collapsed="false">
      <c r="A125" s="25"/>
      <c r="B125" s="18"/>
      <c r="C125" s="18"/>
      <c r="D125" s="18"/>
      <c r="E125" s="18"/>
      <c r="F125" s="18"/>
    </row>
    <row r="126" customFormat="false" ht="15" hidden="false" customHeight="false" outlineLevel="0" collapsed="false">
      <c r="A126" s="25"/>
      <c r="B126" s="18"/>
      <c r="C126" s="18"/>
      <c r="D126" s="18"/>
      <c r="E126" s="18"/>
      <c r="F126" s="18"/>
    </row>
    <row r="127" customFormat="false" ht="15" hidden="false" customHeight="false" outlineLevel="0" collapsed="false">
      <c r="A127" s="25"/>
      <c r="B127" s="18"/>
      <c r="C127" s="18"/>
      <c r="D127" s="18"/>
      <c r="E127" s="18"/>
      <c r="F127" s="18"/>
    </row>
    <row r="128" customFormat="false" ht="15" hidden="false" customHeight="false" outlineLevel="0" collapsed="false">
      <c r="A128" s="25"/>
      <c r="B128" s="18"/>
      <c r="C128" s="18"/>
      <c r="D128" s="18"/>
      <c r="E128" s="18"/>
      <c r="F128" s="18"/>
    </row>
    <row r="129" customFormat="false" ht="15" hidden="false" customHeight="false" outlineLevel="0" collapsed="false">
      <c r="A129" s="25"/>
      <c r="B129" s="18"/>
      <c r="C129" s="18"/>
      <c r="D129" s="18"/>
      <c r="E129" s="18"/>
      <c r="F129" s="18"/>
    </row>
    <row r="130" customFormat="false" ht="15" hidden="false" customHeight="false" outlineLevel="0" collapsed="false">
      <c r="A130" s="25"/>
      <c r="B130" s="18"/>
      <c r="C130" s="18"/>
      <c r="D130" s="18"/>
      <c r="E130" s="18"/>
      <c r="F130" s="18"/>
    </row>
    <row r="131" customFormat="false" ht="15" hidden="false" customHeight="false" outlineLevel="0" collapsed="false">
      <c r="A131" s="25"/>
      <c r="B131" s="18"/>
      <c r="C131" s="18"/>
      <c r="D131" s="18"/>
      <c r="E131" s="18"/>
      <c r="F131" s="18"/>
    </row>
    <row r="132" customFormat="false" ht="15" hidden="false" customHeight="false" outlineLevel="0" collapsed="false">
      <c r="A132" s="25"/>
      <c r="B132" s="18"/>
      <c r="C132" s="18"/>
      <c r="D132" s="18"/>
      <c r="E132" s="18"/>
      <c r="F132" s="18"/>
    </row>
    <row r="133" customFormat="false" ht="15" hidden="false" customHeight="false" outlineLevel="0" collapsed="false">
      <c r="A133" s="25"/>
      <c r="B133" s="18"/>
      <c r="C133" s="18"/>
      <c r="D133" s="18"/>
      <c r="E133" s="18"/>
      <c r="F133" s="18"/>
    </row>
    <row r="134" customFormat="false" ht="15" hidden="false" customHeight="false" outlineLevel="0" collapsed="false">
      <c r="A134" s="25"/>
      <c r="B134" s="18"/>
      <c r="C134" s="18"/>
      <c r="D134" s="18"/>
      <c r="E134" s="18"/>
      <c r="F134" s="18"/>
    </row>
    <row r="135" customFormat="false" ht="15" hidden="false" customHeight="false" outlineLevel="0" collapsed="false">
      <c r="A135" s="25"/>
      <c r="B135" s="18"/>
      <c r="C135" s="18"/>
      <c r="D135" s="18"/>
      <c r="E135" s="18"/>
      <c r="F135" s="18"/>
    </row>
    <row r="136" customFormat="false" ht="15" hidden="false" customHeight="false" outlineLevel="0" collapsed="false">
      <c r="A136" s="25"/>
      <c r="B136" s="18"/>
      <c r="C136" s="18"/>
      <c r="D136" s="18"/>
      <c r="E136" s="18"/>
      <c r="F136" s="18"/>
    </row>
    <row r="137" customFormat="false" ht="15" hidden="false" customHeight="false" outlineLevel="0" collapsed="false">
      <c r="A137" s="25"/>
      <c r="B137" s="18"/>
      <c r="C137" s="18"/>
      <c r="D137" s="18"/>
      <c r="E137" s="18"/>
      <c r="F137" s="18"/>
    </row>
    <row r="138" customFormat="false" ht="15" hidden="false" customHeight="false" outlineLevel="0" collapsed="false">
      <c r="A138" s="25"/>
      <c r="B138" s="18"/>
      <c r="C138" s="18"/>
      <c r="D138" s="18"/>
      <c r="E138" s="18"/>
      <c r="F138" s="18"/>
    </row>
    <row r="139" customFormat="false" ht="15" hidden="false" customHeight="false" outlineLevel="0" collapsed="false">
      <c r="A139" s="25"/>
      <c r="B139" s="18"/>
      <c r="C139" s="18"/>
      <c r="D139" s="18"/>
      <c r="E139" s="18"/>
      <c r="F139" s="18"/>
    </row>
    <row r="140" customFormat="false" ht="15" hidden="false" customHeight="false" outlineLevel="0" collapsed="false">
      <c r="A140" s="25"/>
      <c r="B140" s="18"/>
      <c r="C140" s="18"/>
      <c r="D140" s="18"/>
      <c r="E140" s="18"/>
      <c r="F140" s="18"/>
    </row>
    <row r="141" customFormat="false" ht="15" hidden="false" customHeight="false" outlineLevel="0" collapsed="false">
      <c r="A141" s="25"/>
      <c r="B141" s="18"/>
      <c r="C141" s="18"/>
      <c r="D141" s="18"/>
      <c r="E141" s="18"/>
      <c r="F141" s="18"/>
    </row>
    <row r="142" customFormat="false" ht="15" hidden="false" customHeight="false" outlineLevel="0" collapsed="false">
      <c r="A142" s="25"/>
      <c r="B142" s="18"/>
      <c r="C142" s="18"/>
      <c r="D142" s="18"/>
      <c r="E142" s="18"/>
      <c r="F142" s="18"/>
    </row>
    <row r="143" customFormat="false" ht="15" hidden="false" customHeight="false" outlineLevel="0" collapsed="false">
      <c r="A143" s="25"/>
      <c r="B143" s="18"/>
      <c r="C143" s="18"/>
      <c r="D143" s="18"/>
      <c r="E143" s="18"/>
      <c r="F143" s="18"/>
    </row>
    <row r="144" customFormat="false" ht="15" hidden="false" customHeight="false" outlineLevel="0" collapsed="false">
      <c r="A144" s="25"/>
      <c r="B144" s="18"/>
      <c r="C144" s="18"/>
      <c r="D144" s="18"/>
      <c r="E144" s="18"/>
      <c r="F144" s="18"/>
    </row>
    <row r="145" customFormat="false" ht="15" hidden="false" customHeight="false" outlineLevel="0" collapsed="false">
      <c r="A145" s="25"/>
      <c r="B145" s="18"/>
      <c r="C145" s="18"/>
      <c r="D145" s="18"/>
      <c r="E145" s="18"/>
      <c r="F145" s="18"/>
    </row>
    <row r="146" customFormat="false" ht="15" hidden="false" customHeight="false" outlineLevel="0" collapsed="false">
      <c r="A146" s="25"/>
      <c r="B146" s="18"/>
      <c r="C146" s="18"/>
      <c r="D146" s="18"/>
      <c r="E146" s="18"/>
      <c r="F146" s="18"/>
    </row>
    <row r="147" customFormat="false" ht="15" hidden="false" customHeight="false" outlineLevel="0" collapsed="false">
      <c r="A147" s="25"/>
      <c r="B147" s="18"/>
      <c r="C147" s="18"/>
      <c r="D147" s="18"/>
      <c r="E147" s="18"/>
      <c r="F147" s="18"/>
    </row>
    <row r="148" customFormat="false" ht="15" hidden="false" customHeight="false" outlineLevel="0" collapsed="false">
      <c r="A148" s="25"/>
      <c r="B148" s="18"/>
      <c r="C148" s="18"/>
      <c r="D148" s="18"/>
      <c r="E148" s="18"/>
      <c r="F148" s="18"/>
    </row>
    <row r="149" customFormat="false" ht="15" hidden="false" customHeight="false" outlineLevel="0" collapsed="false">
      <c r="A149" s="25"/>
      <c r="B149" s="18"/>
      <c r="C149" s="18"/>
      <c r="D149" s="18"/>
      <c r="E149" s="18"/>
      <c r="F149" s="18"/>
    </row>
    <row r="150" customFormat="false" ht="15" hidden="false" customHeight="false" outlineLevel="0" collapsed="false">
      <c r="A150" s="25"/>
      <c r="B150" s="18"/>
      <c r="C150" s="18"/>
      <c r="D150" s="18"/>
      <c r="E150" s="18"/>
      <c r="F150" s="18"/>
    </row>
    <row r="151" customFormat="false" ht="15" hidden="false" customHeight="false" outlineLevel="0" collapsed="false">
      <c r="A151" s="25"/>
      <c r="B151" s="18"/>
      <c r="C151" s="18"/>
      <c r="D151" s="18"/>
      <c r="E151" s="18"/>
      <c r="F151" s="18"/>
    </row>
    <row r="152" customFormat="false" ht="15" hidden="false" customHeight="false" outlineLevel="0" collapsed="false">
      <c r="A152" s="25"/>
      <c r="B152" s="18"/>
      <c r="C152" s="18"/>
      <c r="D152" s="18"/>
      <c r="E152" s="18"/>
      <c r="F152" s="18"/>
    </row>
    <row r="153" customFormat="false" ht="15" hidden="false" customHeight="false" outlineLevel="0" collapsed="false">
      <c r="A153" s="25"/>
      <c r="B153" s="18"/>
      <c r="C153" s="18"/>
      <c r="D153" s="18"/>
      <c r="E153" s="18"/>
      <c r="F153" s="18"/>
    </row>
    <row r="154" customFormat="false" ht="15" hidden="false" customHeight="false" outlineLevel="0" collapsed="false">
      <c r="A154" s="25"/>
      <c r="B154" s="18"/>
      <c r="C154" s="18"/>
      <c r="D154" s="18"/>
      <c r="E154" s="18"/>
      <c r="F154" s="18"/>
    </row>
    <row r="155" customFormat="false" ht="15" hidden="false" customHeight="false" outlineLevel="0" collapsed="false">
      <c r="A155" s="25"/>
      <c r="B155" s="18"/>
      <c r="C155" s="18"/>
      <c r="D155" s="18"/>
      <c r="E155" s="18"/>
      <c r="F155" s="18"/>
    </row>
    <row r="156" customFormat="false" ht="15" hidden="false" customHeight="false" outlineLevel="0" collapsed="false">
      <c r="A156" s="25"/>
      <c r="B156" s="18"/>
      <c r="C156" s="18"/>
      <c r="D156" s="18"/>
      <c r="E156" s="18"/>
      <c r="F156" s="18"/>
    </row>
    <row r="157" customFormat="false" ht="15" hidden="false" customHeight="false" outlineLevel="0" collapsed="false">
      <c r="A157" s="25"/>
      <c r="B157" s="18"/>
      <c r="C157" s="18"/>
      <c r="D157" s="18"/>
      <c r="E157" s="18"/>
      <c r="F157" s="18"/>
    </row>
    <row r="158" customFormat="false" ht="15" hidden="false" customHeight="false" outlineLevel="0" collapsed="false">
      <c r="A158" s="25"/>
      <c r="B158" s="18"/>
      <c r="C158" s="18"/>
      <c r="D158" s="18"/>
      <c r="E158" s="18"/>
      <c r="F158" s="18"/>
    </row>
    <row r="159" customFormat="false" ht="15" hidden="false" customHeight="false" outlineLevel="0" collapsed="false">
      <c r="A159" s="25"/>
      <c r="B159" s="18"/>
      <c r="C159" s="18"/>
      <c r="D159" s="18"/>
      <c r="E159" s="18"/>
      <c r="F159" s="18"/>
    </row>
    <row r="160" customFormat="false" ht="15" hidden="false" customHeight="false" outlineLevel="0" collapsed="false">
      <c r="A160" s="25"/>
      <c r="B160" s="18"/>
      <c r="C160" s="18"/>
      <c r="D160" s="18"/>
      <c r="E160" s="18"/>
      <c r="F160" s="18"/>
    </row>
    <row r="161" customFormat="false" ht="15" hidden="false" customHeight="false" outlineLevel="0" collapsed="false">
      <c r="A161" s="25"/>
      <c r="B161" s="18"/>
      <c r="C161" s="18"/>
      <c r="D161" s="18"/>
      <c r="E161" s="18"/>
      <c r="F161" s="18"/>
    </row>
    <row r="162" customFormat="false" ht="15" hidden="false" customHeight="false" outlineLevel="0" collapsed="false">
      <c r="A162" s="25"/>
      <c r="B162" s="18"/>
      <c r="C162" s="18"/>
      <c r="D162" s="18"/>
      <c r="E162" s="18"/>
      <c r="F162" s="18"/>
    </row>
    <row r="163" customFormat="false" ht="15" hidden="false" customHeight="false" outlineLevel="0" collapsed="false">
      <c r="A163" s="25"/>
      <c r="B163" s="18"/>
      <c r="C163" s="18"/>
      <c r="D163" s="18"/>
      <c r="E163" s="18"/>
      <c r="F163" s="18"/>
    </row>
    <row r="164" customFormat="false" ht="15" hidden="false" customHeight="false" outlineLevel="0" collapsed="false">
      <c r="A164" s="25"/>
      <c r="B164" s="18"/>
      <c r="C164" s="18"/>
      <c r="D164" s="18"/>
      <c r="E164" s="18"/>
      <c r="F164" s="18"/>
    </row>
    <row r="165" customFormat="false" ht="15" hidden="false" customHeight="false" outlineLevel="0" collapsed="false">
      <c r="A165" s="25"/>
      <c r="B165" s="18"/>
      <c r="C165" s="18"/>
      <c r="D165" s="18"/>
      <c r="E165" s="18"/>
      <c r="F165" s="18"/>
    </row>
    <row r="166" customFormat="false" ht="15" hidden="false" customHeight="false" outlineLevel="0" collapsed="false">
      <c r="A166" s="25"/>
      <c r="B166" s="18"/>
      <c r="C166" s="18"/>
      <c r="D166" s="18"/>
      <c r="E166" s="18"/>
      <c r="F166" s="18"/>
    </row>
    <row r="167" customFormat="false" ht="15" hidden="false" customHeight="false" outlineLevel="0" collapsed="false">
      <c r="A167" s="25"/>
      <c r="B167" s="18"/>
      <c r="C167" s="18"/>
      <c r="D167" s="18"/>
      <c r="E167" s="18"/>
      <c r="F167" s="18"/>
    </row>
    <row r="168" customFormat="false" ht="15" hidden="false" customHeight="false" outlineLevel="0" collapsed="false">
      <c r="A168" s="25"/>
      <c r="B168" s="18"/>
      <c r="C168" s="18"/>
      <c r="D168" s="18"/>
      <c r="E168" s="18"/>
      <c r="F168" s="18"/>
    </row>
    <row r="169" customFormat="false" ht="15" hidden="false" customHeight="false" outlineLevel="0" collapsed="false">
      <c r="A169" s="25"/>
      <c r="B169" s="18"/>
      <c r="C169" s="18"/>
      <c r="D169" s="18"/>
      <c r="E169" s="18"/>
      <c r="F169" s="18"/>
    </row>
    <row r="170" customFormat="false" ht="15" hidden="false" customHeight="false" outlineLevel="0" collapsed="false">
      <c r="A170" s="25"/>
      <c r="B170" s="18"/>
      <c r="C170" s="18"/>
      <c r="D170" s="18"/>
      <c r="E170" s="18"/>
      <c r="F170" s="18"/>
    </row>
    <row r="171" customFormat="false" ht="15" hidden="false" customHeight="false" outlineLevel="0" collapsed="false">
      <c r="A171" s="25"/>
      <c r="B171" s="18"/>
      <c r="C171" s="18"/>
      <c r="D171" s="18"/>
      <c r="E171" s="18"/>
      <c r="F171" s="18"/>
    </row>
    <row r="172" customFormat="false" ht="15" hidden="false" customHeight="false" outlineLevel="0" collapsed="false">
      <c r="A172" s="25"/>
      <c r="B172" s="18"/>
      <c r="C172" s="18"/>
      <c r="D172" s="18"/>
      <c r="E172" s="18"/>
      <c r="F172" s="18"/>
    </row>
    <row r="173" customFormat="false" ht="15" hidden="false" customHeight="false" outlineLevel="0" collapsed="false">
      <c r="A173" s="25"/>
      <c r="B173" s="18"/>
      <c r="C173" s="18"/>
      <c r="D173" s="18"/>
      <c r="E173" s="18"/>
      <c r="F173" s="18"/>
    </row>
    <row r="174" customFormat="false" ht="15" hidden="false" customHeight="false" outlineLevel="0" collapsed="false">
      <c r="A174" s="25"/>
      <c r="B174" s="18"/>
      <c r="C174" s="18"/>
      <c r="D174" s="18"/>
      <c r="E174" s="18"/>
      <c r="F174" s="18"/>
    </row>
    <row r="175" customFormat="false" ht="15" hidden="false" customHeight="false" outlineLevel="0" collapsed="false">
      <c r="A175" s="25"/>
      <c r="B175" s="18"/>
      <c r="C175" s="18"/>
      <c r="D175" s="18"/>
      <c r="E175" s="18"/>
      <c r="F175" s="18"/>
    </row>
    <row r="176" customFormat="false" ht="15" hidden="false" customHeight="false" outlineLevel="0" collapsed="false">
      <c r="A176" s="25"/>
      <c r="B176" s="18"/>
      <c r="C176" s="18"/>
      <c r="D176" s="18"/>
      <c r="E176" s="18"/>
      <c r="F176" s="18"/>
    </row>
    <row r="177" customFormat="false" ht="15" hidden="false" customHeight="false" outlineLevel="0" collapsed="false">
      <c r="A177" s="25"/>
      <c r="B177" s="18"/>
      <c r="C177" s="18"/>
      <c r="D177" s="18"/>
      <c r="E177" s="18"/>
      <c r="F177" s="18"/>
    </row>
    <row r="178" customFormat="false" ht="15" hidden="false" customHeight="false" outlineLevel="0" collapsed="false">
      <c r="A178" s="25"/>
      <c r="B178" s="18"/>
      <c r="C178" s="18"/>
      <c r="D178" s="18"/>
      <c r="E178" s="18"/>
      <c r="F178" s="18"/>
    </row>
    <row r="179" customFormat="false" ht="15" hidden="false" customHeight="false" outlineLevel="0" collapsed="false">
      <c r="A179" s="25"/>
      <c r="B179" s="18"/>
      <c r="C179" s="18"/>
      <c r="D179" s="18"/>
      <c r="E179" s="18"/>
      <c r="F179" s="18"/>
    </row>
    <row r="180" customFormat="false" ht="15" hidden="false" customHeight="false" outlineLevel="0" collapsed="false">
      <c r="A180" s="25"/>
      <c r="B180" s="18"/>
      <c r="C180" s="18"/>
      <c r="D180" s="18"/>
      <c r="E180" s="18"/>
      <c r="F180" s="18"/>
    </row>
    <row r="181" customFormat="false" ht="15" hidden="false" customHeight="false" outlineLevel="0" collapsed="false">
      <c r="A181" s="25"/>
      <c r="B181" s="18"/>
      <c r="C181" s="18"/>
      <c r="D181" s="18"/>
      <c r="E181" s="18"/>
      <c r="F181" s="18"/>
    </row>
    <row r="182" customFormat="false" ht="15" hidden="false" customHeight="false" outlineLevel="0" collapsed="false">
      <c r="A182" s="25"/>
      <c r="B182" s="18"/>
      <c r="C182" s="18"/>
      <c r="D182" s="18"/>
      <c r="E182" s="18"/>
      <c r="F182" s="18"/>
    </row>
    <row r="183" customFormat="false" ht="15" hidden="false" customHeight="false" outlineLevel="0" collapsed="false">
      <c r="A183" s="25"/>
      <c r="B183" s="18"/>
      <c r="C183" s="18"/>
      <c r="D183" s="18"/>
      <c r="E183" s="18"/>
      <c r="F183" s="18"/>
    </row>
    <row r="184" customFormat="false" ht="15" hidden="false" customHeight="false" outlineLevel="0" collapsed="false">
      <c r="A184" s="25"/>
      <c r="B184" s="18"/>
      <c r="C184" s="18"/>
      <c r="D184" s="18"/>
      <c r="E184" s="18"/>
      <c r="F184" s="18"/>
    </row>
    <row r="185" customFormat="false" ht="15" hidden="false" customHeight="false" outlineLevel="0" collapsed="false">
      <c r="A185" s="25"/>
      <c r="B185" s="18"/>
      <c r="C185" s="18"/>
      <c r="D185" s="18"/>
      <c r="E185" s="18"/>
      <c r="F185" s="18"/>
    </row>
    <row r="186" customFormat="false" ht="15" hidden="false" customHeight="false" outlineLevel="0" collapsed="false">
      <c r="A186" s="25"/>
      <c r="B186" s="18"/>
      <c r="C186" s="18"/>
      <c r="D186" s="18"/>
      <c r="E186" s="18"/>
      <c r="F186" s="18"/>
    </row>
    <row r="187" customFormat="false" ht="15" hidden="false" customHeight="false" outlineLevel="0" collapsed="false">
      <c r="A187" s="25"/>
      <c r="B187" s="18"/>
      <c r="C187" s="18"/>
      <c r="D187" s="18"/>
      <c r="E187" s="18"/>
      <c r="F187" s="18"/>
    </row>
    <row r="188" customFormat="false" ht="15" hidden="false" customHeight="false" outlineLevel="0" collapsed="false">
      <c r="A188" s="25"/>
      <c r="B188" s="18"/>
      <c r="C188" s="18"/>
      <c r="D188" s="18"/>
      <c r="E188" s="18"/>
      <c r="F188" s="18"/>
    </row>
    <row r="189" customFormat="false" ht="15" hidden="false" customHeight="false" outlineLevel="0" collapsed="false">
      <c r="A189" s="25"/>
      <c r="B189" s="18"/>
      <c r="C189" s="18"/>
      <c r="D189" s="18"/>
      <c r="E189" s="18"/>
      <c r="F189" s="18"/>
    </row>
    <row r="190" customFormat="false" ht="15" hidden="false" customHeight="false" outlineLevel="0" collapsed="false">
      <c r="A190" s="25"/>
      <c r="B190" s="18"/>
      <c r="C190" s="18"/>
      <c r="D190" s="18"/>
      <c r="E190" s="18"/>
      <c r="F190" s="18"/>
    </row>
    <row r="191" customFormat="false" ht="15" hidden="false" customHeight="false" outlineLevel="0" collapsed="false">
      <c r="A191" s="25"/>
      <c r="B191" s="18"/>
      <c r="C191" s="18"/>
      <c r="D191" s="18"/>
      <c r="E191" s="18"/>
      <c r="F191" s="18"/>
    </row>
    <row r="192" customFormat="false" ht="15" hidden="false" customHeight="false" outlineLevel="0" collapsed="false">
      <c r="A192" s="25"/>
      <c r="B192" s="18"/>
      <c r="C192" s="18"/>
      <c r="D192" s="18"/>
      <c r="E192" s="18"/>
      <c r="F192" s="18"/>
    </row>
    <row r="193" customFormat="false" ht="15" hidden="false" customHeight="false" outlineLevel="0" collapsed="false">
      <c r="A193" s="25"/>
      <c r="B193" s="18"/>
      <c r="C193" s="18"/>
      <c r="D193" s="18"/>
      <c r="E193" s="18"/>
      <c r="F193" s="18"/>
    </row>
    <row r="194" customFormat="false" ht="15" hidden="false" customHeight="false" outlineLevel="0" collapsed="false">
      <c r="A194" s="25"/>
      <c r="B194" s="18"/>
      <c r="C194" s="18"/>
      <c r="D194" s="18"/>
      <c r="E194" s="18"/>
      <c r="F194" s="18"/>
    </row>
    <row r="195" customFormat="false" ht="15" hidden="false" customHeight="false" outlineLevel="0" collapsed="false">
      <c r="A195" s="25"/>
      <c r="B195" s="18"/>
      <c r="C195" s="18"/>
      <c r="D195" s="18"/>
      <c r="E195" s="18"/>
      <c r="F195" s="18"/>
    </row>
    <row r="196" customFormat="false" ht="15" hidden="false" customHeight="false" outlineLevel="0" collapsed="false">
      <c r="A196" s="25"/>
      <c r="B196" s="18"/>
      <c r="C196" s="18"/>
      <c r="D196" s="18"/>
      <c r="E196" s="18"/>
      <c r="F196" s="18"/>
    </row>
    <row r="197" customFormat="false" ht="15" hidden="false" customHeight="false" outlineLevel="0" collapsed="false">
      <c r="A197" s="25"/>
      <c r="B197" s="18"/>
      <c r="C197" s="18"/>
      <c r="D197" s="18"/>
      <c r="E197" s="18"/>
      <c r="F197" s="18"/>
    </row>
    <row r="198" customFormat="false" ht="15" hidden="false" customHeight="false" outlineLevel="0" collapsed="false">
      <c r="A198" s="25"/>
      <c r="B198" s="18"/>
      <c r="C198" s="18"/>
      <c r="D198" s="18"/>
      <c r="E198" s="18"/>
      <c r="F198" s="18"/>
    </row>
    <row r="199" customFormat="false" ht="15" hidden="false" customHeight="false" outlineLevel="0" collapsed="false">
      <c r="A199" s="25"/>
      <c r="B199" s="18"/>
      <c r="C199" s="18"/>
      <c r="D199" s="18"/>
      <c r="E199" s="18"/>
      <c r="F199" s="18"/>
    </row>
    <row r="200" customFormat="false" ht="15" hidden="false" customHeight="false" outlineLevel="0" collapsed="false">
      <c r="A200" s="25"/>
      <c r="B200" s="18"/>
      <c r="C200" s="18"/>
      <c r="D200" s="18"/>
      <c r="E200" s="18"/>
      <c r="F200" s="18"/>
    </row>
    <row r="201" customFormat="false" ht="15" hidden="false" customHeight="false" outlineLevel="0" collapsed="false">
      <c r="A201" s="25"/>
      <c r="B201" s="18"/>
      <c r="C201" s="18"/>
      <c r="D201" s="18"/>
      <c r="E201" s="18"/>
      <c r="F201" s="18"/>
    </row>
    <row r="202" customFormat="false" ht="15" hidden="false" customHeight="false" outlineLevel="0" collapsed="false">
      <c r="A202" s="25"/>
      <c r="B202" s="18"/>
      <c r="C202" s="18"/>
      <c r="D202" s="18"/>
      <c r="E202" s="18"/>
      <c r="F202" s="18"/>
    </row>
    <row r="203" customFormat="false" ht="15" hidden="false" customHeight="false" outlineLevel="0" collapsed="false">
      <c r="A203" s="25"/>
      <c r="B203" s="18"/>
      <c r="C203" s="18"/>
      <c r="D203" s="18"/>
      <c r="E203" s="18"/>
      <c r="F203" s="18"/>
    </row>
    <row r="204" customFormat="false" ht="15" hidden="false" customHeight="false" outlineLevel="0" collapsed="false">
      <c r="A204" s="25"/>
      <c r="B204" s="18"/>
      <c r="C204" s="18"/>
      <c r="D204" s="18"/>
      <c r="E204" s="18"/>
      <c r="F204" s="18"/>
    </row>
    <row r="205" customFormat="false" ht="15" hidden="false" customHeight="false" outlineLevel="0" collapsed="false">
      <c r="A205" s="25"/>
      <c r="B205" s="18"/>
      <c r="C205" s="18"/>
      <c r="D205" s="18"/>
      <c r="E205" s="18"/>
      <c r="F205" s="18"/>
    </row>
    <row r="206" customFormat="false" ht="15" hidden="false" customHeight="false" outlineLevel="0" collapsed="false">
      <c r="A206" s="25"/>
      <c r="B206" s="18"/>
      <c r="C206" s="18"/>
      <c r="D206" s="18"/>
      <c r="E206" s="18"/>
      <c r="F206" s="18"/>
    </row>
    <row r="207" customFormat="false" ht="15" hidden="false" customHeight="false" outlineLevel="0" collapsed="false">
      <c r="A207" s="25"/>
      <c r="B207" s="18"/>
      <c r="C207" s="18"/>
      <c r="D207" s="18"/>
      <c r="E207" s="18"/>
      <c r="F207" s="18"/>
    </row>
    <row r="208" customFormat="false" ht="15" hidden="false" customHeight="false" outlineLevel="0" collapsed="false">
      <c r="A208" s="25"/>
      <c r="B208" s="18"/>
      <c r="C208" s="18"/>
      <c r="D208" s="18"/>
      <c r="E208" s="18"/>
      <c r="F208" s="18"/>
    </row>
    <row r="209" customFormat="false" ht="15" hidden="false" customHeight="false" outlineLevel="0" collapsed="false">
      <c r="A209" s="25"/>
      <c r="B209" s="18"/>
      <c r="C209" s="18"/>
      <c r="D209" s="18"/>
      <c r="E209" s="18"/>
      <c r="F209" s="18"/>
    </row>
    <row r="210" customFormat="false" ht="15" hidden="false" customHeight="false" outlineLevel="0" collapsed="false">
      <c r="A210" s="25"/>
      <c r="B210" s="18"/>
      <c r="C210" s="18"/>
      <c r="D210" s="18"/>
      <c r="E210" s="18"/>
      <c r="F210" s="18"/>
    </row>
    <row r="211" customFormat="false" ht="15" hidden="false" customHeight="false" outlineLevel="0" collapsed="false">
      <c r="A211" s="25"/>
      <c r="B211" s="18"/>
      <c r="C211" s="18"/>
      <c r="D211" s="18"/>
      <c r="E211" s="18"/>
      <c r="F211" s="18"/>
    </row>
    <row r="212" customFormat="false" ht="15" hidden="false" customHeight="false" outlineLevel="0" collapsed="false">
      <c r="A212" s="25"/>
      <c r="B212" s="18"/>
      <c r="C212" s="18"/>
      <c r="D212" s="18"/>
      <c r="E212" s="18"/>
      <c r="F212" s="18"/>
    </row>
    <row r="213" customFormat="false" ht="15" hidden="false" customHeight="false" outlineLevel="0" collapsed="false">
      <c r="A213" s="25"/>
      <c r="B213" s="18"/>
      <c r="C213" s="18"/>
      <c r="D213" s="18"/>
      <c r="E213" s="18"/>
      <c r="F213" s="18"/>
    </row>
    <row r="214" customFormat="false" ht="15" hidden="false" customHeight="false" outlineLevel="0" collapsed="false">
      <c r="A214" s="25"/>
      <c r="B214" s="18"/>
      <c r="C214" s="18"/>
      <c r="D214" s="18"/>
      <c r="E214" s="18"/>
      <c r="F214" s="18"/>
    </row>
    <row r="215" customFormat="false" ht="15" hidden="false" customHeight="false" outlineLevel="0" collapsed="false">
      <c r="A215" s="25"/>
      <c r="B215" s="18"/>
      <c r="C215" s="18"/>
      <c r="D215" s="18"/>
      <c r="E215" s="18"/>
      <c r="F215" s="18"/>
    </row>
    <row r="216" customFormat="false" ht="15" hidden="false" customHeight="false" outlineLevel="0" collapsed="false">
      <c r="A216" s="25"/>
      <c r="B216" s="18"/>
      <c r="C216" s="18"/>
      <c r="D216" s="18"/>
      <c r="E216" s="18"/>
      <c r="F216" s="18"/>
    </row>
    <row r="217" customFormat="false" ht="15" hidden="false" customHeight="false" outlineLevel="0" collapsed="false">
      <c r="A217" s="25"/>
      <c r="B217" s="18"/>
      <c r="C217" s="18"/>
      <c r="D217" s="18"/>
      <c r="E217" s="18"/>
      <c r="F217" s="18"/>
    </row>
    <row r="218" customFormat="false" ht="15" hidden="false" customHeight="false" outlineLevel="0" collapsed="false">
      <c r="A218" s="25"/>
      <c r="B218" s="18"/>
      <c r="C218" s="18"/>
      <c r="D218" s="18"/>
      <c r="E218" s="18"/>
      <c r="F218" s="18"/>
    </row>
    <row r="219" customFormat="false" ht="15" hidden="false" customHeight="false" outlineLevel="0" collapsed="false">
      <c r="A219" s="25"/>
      <c r="B219" s="18"/>
      <c r="C219" s="18"/>
      <c r="D219" s="18"/>
      <c r="E219" s="18"/>
      <c r="F219" s="18"/>
    </row>
    <row r="220" customFormat="false" ht="15" hidden="false" customHeight="false" outlineLevel="0" collapsed="false">
      <c r="A220" s="25"/>
      <c r="B220" s="18"/>
      <c r="C220" s="18"/>
      <c r="D220" s="18"/>
      <c r="E220" s="18"/>
      <c r="F220" s="18"/>
    </row>
    <row r="221" customFormat="false" ht="15" hidden="false" customHeight="false" outlineLevel="0" collapsed="false">
      <c r="A221" s="25"/>
      <c r="B221" s="18"/>
      <c r="C221" s="18"/>
      <c r="D221" s="18"/>
      <c r="E221" s="18"/>
      <c r="F221" s="18"/>
    </row>
    <row r="222" customFormat="false" ht="15" hidden="false" customHeight="false" outlineLevel="0" collapsed="false">
      <c r="A222" s="25"/>
      <c r="B222" s="18"/>
      <c r="C222" s="18"/>
      <c r="D222" s="18"/>
      <c r="E222" s="18"/>
      <c r="F222" s="18"/>
    </row>
    <row r="223" customFormat="false" ht="15" hidden="false" customHeight="false" outlineLevel="0" collapsed="false">
      <c r="A223" s="25"/>
      <c r="B223" s="18"/>
      <c r="C223" s="18"/>
      <c r="D223" s="18"/>
      <c r="E223" s="18"/>
      <c r="F223" s="18"/>
    </row>
    <row r="224" customFormat="false" ht="15" hidden="false" customHeight="false" outlineLevel="0" collapsed="false">
      <c r="A224" s="25"/>
      <c r="B224" s="18"/>
      <c r="C224" s="18"/>
      <c r="D224" s="18"/>
      <c r="E224" s="18"/>
      <c r="F224" s="18"/>
    </row>
    <row r="225" customFormat="false" ht="15" hidden="false" customHeight="false" outlineLevel="0" collapsed="false">
      <c r="A225" s="25"/>
      <c r="B225" s="18"/>
      <c r="C225" s="18"/>
      <c r="D225" s="18"/>
      <c r="E225" s="18"/>
      <c r="F225" s="18"/>
    </row>
    <row r="226" customFormat="false" ht="15" hidden="false" customHeight="false" outlineLevel="0" collapsed="false">
      <c r="A226" s="25"/>
      <c r="B226" s="18"/>
      <c r="C226" s="18"/>
      <c r="D226" s="18"/>
      <c r="E226" s="18"/>
      <c r="F226" s="18"/>
    </row>
    <row r="227" customFormat="false" ht="15" hidden="false" customHeight="false" outlineLevel="0" collapsed="false">
      <c r="A227" s="25"/>
      <c r="B227" s="18"/>
      <c r="C227" s="18"/>
      <c r="D227" s="18"/>
      <c r="E227" s="18"/>
      <c r="F227" s="18"/>
    </row>
    <row r="228" customFormat="false" ht="15" hidden="false" customHeight="false" outlineLevel="0" collapsed="false">
      <c r="A228" s="25"/>
      <c r="B228" s="18"/>
      <c r="C228" s="18"/>
      <c r="D228" s="18"/>
      <c r="E228" s="18"/>
      <c r="F228" s="18"/>
    </row>
    <row r="229" customFormat="false" ht="15" hidden="false" customHeight="false" outlineLevel="0" collapsed="false">
      <c r="A229" s="25"/>
      <c r="B229" s="18"/>
      <c r="C229" s="18"/>
      <c r="D229" s="18"/>
      <c r="E229" s="18"/>
      <c r="F229" s="18"/>
    </row>
    <row r="230" customFormat="false" ht="15" hidden="false" customHeight="false" outlineLevel="0" collapsed="false">
      <c r="A230" s="25"/>
      <c r="B230" s="18"/>
      <c r="C230" s="18"/>
      <c r="D230" s="18"/>
      <c r="E230" s="18"/>
      <c r="F230" s="18"/>
    </row>
    <row r="231" customFormat="false" ht="15" hidden="false" customHeight="false" outlineLevel="0" collapsed="false">
      <c r="A231" s="25"/>
      <c r="B231" s="18"/>
      <c r="C231" s="18"/>
      <c r="D231" s="18"/>
      <c r="E231" s="18"/>
      <c r="F231" s="18"/>
    </row>
    <row r="232" customFormat="false" ht="15" hidden="false" customHeight="false" outlineLevel="0" collapsed="false">
      <c r="A232" s="25"/>
      <c r="B232" s="18"/>
      <c r="C232" s="18"/>
      <c r="D232" s="18"/>
      <c r="E232" s="18"/>
      <c r="F232" s="18"/>
    </row>
    <row r="233" customFormat="false" ht="15" hidden="false" customHeight="false" outlineLevel="0" collapsed="false">
      <c r="A233" s="25"/>
      <c r="B233" s="18"/>
      <c r="C233" s="18"/>
      <c r="D233" s="18"/>
      <c r="E233" s="18"/>
      <c r="F233" s="18"/>
    </row>
    <row r="234" customFormat="false" ht="15" hidden="false" customHeight="false" outlineLevel="0" collapsed="false">
      <c r="A234" s="25"/>
      <c r="B234" s="18"/>
      <c r="C234" s="18"/>
      <c r="D234" s="18"/>
      <c r="E234" s="18"/>
      <c r="F234" s="18"/>
    </row>
    <row r="235" customFormat="false" ht="15" hidden="false" customHeight="false" outlineLevel="0" collapsed="false">
      <c r="A235" s="25"/>
      <c r="B235" s="18"/>
      <c r="C235" s="18"/>
      <c r="D235" s="18"/>
      <c r="E235" s="18"/>
      <c r="F235" s="18"/>
    </row>
    <row r="236" customFormat="false" ht="15" hidden="false" customHeight="false" outlineLevel="0" collapsed="false">
      <c r="A236" s="25"/>
      <c r="B236" s="18"/>
      <c r="C236" s="18"/>
      <c r="D236" s="18"/>
      <c r="E236" s="18"/>
      <c r="F236" s="18"/>
    </row>
    <row r="237" customFormat="false" ht="15" hidden="false" customHeight="false" outlineLevel="0" collapsed="false">
      <c r="A237" s="25"/>
      <c r="B237" s="18"/>
      <c r="C237" s="18"/>
      <c r="D237" s="18"/>
      <c r="E237" s="18"/>
      <c r="F237" s="18"/>
    </row>
    <row r="238" customFormat="false" ht="15" hidden="false" customHeight="false" outlineLevel="0" collapsed="false">
      <c r="A238" s="25"/>
      <c r="B238" s="18"/>
      <c r="C238" s="18"/>
      <c r="D238" s="18"/>
      <c r="E238" s="18"/>
      <c r="F238" s="18"/>
    </row>
    <row r="239" customFormat="false" ht="15" hidden="false" customHeight="false" outlineLevel="0" collapsed="false">
      <c r="A239" s="25"/>
      <c r="B239" s="18"/>
      <c r="C239" s="18"/>
      <c r="D239" s="18"/>
      <c r="E239" s="18"/>
      <c r="F239" s="18"/>
    </row>
    <row r="240" customFormat="false" ht="15" hidden="false" customHeight="false" outlineLevel="0" collapsed="false">
      <c r="A240" s="25"/>
      <c r="B240" s="18"/>
      <c r="C240" s="18"/>
      <c r="D240" s="18"/>
      <c r="E240" s="18"/>
      <c r="F240" s="18"/>
    </row>
    <row r="241" customFormat="false" ht="15" hidden="false" customHeight="false" outlineLevel="0" collapsed="false">
      <c r="A241" s="25"/>
      <c r="B241" s="18"/>
      <c r="C241" s="18"/>
      <c r="D241" s="18"/>
      <c r="E241" s="18"/>
      <c r="F241" s="18"/>
    </row>
    <row r="242" customFormat="false" ht="15" hidden="false" customHeight="false" outlineLevel="0" collapsed="false">
      <c r="A242" s="25"/>
      <c r="B242" s="18"/>
      <c r="C242" s="18"/>
      <c r="D242" s="18"/>
      <c r="E242" s="18"/>
      <c r="F242" s="18"/>
    </row>
    <row r="243" customFormat="false" ht="15" hidden="false" customHeight="false" outlineLevel="0" collapsed="false">
      <c r="A243" s="25"/>
      <c r="B243" s="18"/>
      <c r="C243" s="18"/>
      <c r="D243" s="18"/>
      <c r="E243" s="18"/>
      <c r="F243" s="18"/>
    </row>
    <row r="244" customFormat="false" ht="15" hidden="false" customHeight="false" outlineLevel="0" collapsed="false">
      <c r="A244" s="25"/>
      <c r="B244" s="18"/>
      <c r="C244" s="18"/>
      <c r="D244" s="18"/>
      <c r="E244" s="18"/>
      <c r="F244" s="18"/>
    </row>
    <row r="245" customFormat="false" ht="15" hidden="false" customHeight="false" outlineLevel="0" collapsed="false">
      <c r="A245" s="25"/>
      <c r="B245" s="18"/>
      <c r="C245" s="18"/>
      <c r="D245" s="18"/>
      <c r="E245" s="18"/>
      <c r="F245" s="18"/>
    </row>
    <row r="246" customFormat="false" ht="15" hidden="false" customHeight="false" outlineLevel="0" collapsed="false">
      <c r="A246" s="25"/>
      <c r="B246" s="18"/>
      <c r="C246" s="18"/>
      <c r="D246" s="18"/>
      <c r="E246" s="18"/>
      <c r="F246" s="18"/>
    </row>
    <row r="247" customFormat="false" ht="15" hidden="false" customHeight="false" outlineLevel="0" collapsed="false">
      <c r="A247" s="25"/>
      <c r="B247" s="18"/>
      <c r="C247" s="18"/>
      <c r="D247" s="18"/>
      <c r="E247" s="18"/>
      <c r="F247" s="18"/>
    </row>
    <row r="248" customFormat="false" ht="15" hidden="false" customHeight="false" outlineLevel="0" collapsed="false">
      <c r="A248" s="25"/>
      <c r="B248" s="18"/>
      <c r="C248" s="18"/>
      <c r="D248" s="18"/>
      <c r="E248" s="18"/>
      <c r="F248" s="18"/>
    </row>
    <row r="249" customFormat="false" ht="15" hidden="false" customHeight="false" outlineLevel="0" collapsed="false">
      <c r="A249" s="25"/>
      <c r="B249" s="18"/>
      <c r="C249" s="18"/>
      <c r="D249" s="18"/>
      <c r="E249" s="18"/>
      <c r="F249" s="18"/>
    </row>
    <row r="250" customFormat="false" ht="15" hidden="false" customHeight="false" outlineLevel="0" collapsed="false">
      <c r="A250" s="25"/>
      <c r="B250" s="18"/>
      <c r="C250" s="18"/>
      <c r="D250" s="18"/>
      <c r="E250" s="18"/>
      <c r="F250" s="18"/>
    </row>
    <row r="251" customFormat="false" ht="15" hidden="false" customHeight="false" outlineLevel="0" collapsed="false">
      <c r="A251" s="25"/>
      <c r="B251" s="18"/>
      <c r="C251" s="18"/>
      <c r="D251" s="18"/>
      <c r="E251" s="18"/>
      <c r="F251" s="18"/>
    </row>
    <row r="252" customFormat="false" ht="15" hidden="false" customHeight="false" outlineLevel="0" collapsed="false">
      <c r="A252" s="25"/>
      <c r="B252" s="18"/>
      <c r="C252" s="18"/>
      <c r="D252" s="18"/>
      <c r="E252" s="18"/>
      <c r="F252" s="18"/>
    </row>
    <row r="253" customFormat="false" ht="15" hidden="false" customHeight="false" outlineLevel="0" collapsed="false">
      <c r="A253" s="25"/>
      <c r="B253" s="18"/>
      <c r="C253" s="18"/>
      <c r="D253" s="18"/>
      <c r="E253" s="18"/>
      <c r="F253" s="18"/>
    </row>
    <row r="254" customFormat="false" ht="15" hidden="false" customHeight="false" outlineLevel="0" collapsed="false">
      <c r="A254" s="25"/>
      <c r="B254" s="18"/>
      <c r="C254" s="18"/>
      <c r="D254" s="18"/>
      <c r="E254" s="18"/>
      <c r="F254" s="18"/>
    </row>
    <row r="255" customFormat="false" ht="15" hidden="false" customHeight="false" outlineLevel="0" collapsed="false">
      <c r="A255" s="25"/>
      <c r="B255" s="18"/>
      <c r="C255" s="18"/>
      <c r="D255" s="18"/>
      <c r="E255" s="18"/>
      <c r="F255" s="18"/>
    </row>
    <row r="256" customFormat="false" ht="15" hidden="false" customHeight="false" outlineLevel="0" collapsed="false">
      <c r="A256" s="25"/>
      <c r="B256" s="18"/>
      <c r="C256" s="18"/>
      <c r="D256" s="18"/>
      <c r="E256" s="18"/>
      <c r="F256" s="18"/>
    </row>
    <row r="257" customFormat="false" ht="15" hidden="false" customHeight="false" outlineLevel="0" collapsed="false">
      <c r="A257" s="25"/>
      <c r="B257" s="18"/>
      <c r="C257" s="18"/>
      <c r="D257" s="18"/>
      <c r="E257" s="18"/>
      <c r="F257" s="18"/>
    </row>
    <row r="258" customFormat="false" ht="15" hidden="false" customHeight="false" outlineLevel="0" collapsed="false">
      <c r="A258" s="25"/>
      <c r="B258" s="18"/>
      <c r="C258" s="18"/>
      <c r="D258" s="18"/>
      <c r="E258" s="18"/>
      <c r="F258" s="18"/>
    </row>
    <row r="259" customFormat="false" ht="15" hidden="false" customHeight="false" outlineLevel="0" collapsed="false">
      <c r="A259" s="25"/>
      <c r="B259" s="18"/>
      <c r="C259" s="18"/>
      <c r="D259" s="18"/>
      <c r="E259" s="18"/>
      <c r="F259" s="18"/>
    </row>
    <row r="260" customFormat="false" ht="15" hidden="false" customHeight="false" outlineLevel="0" collapsed="false">
      <c r="A260" s="25"/>
      <c r="B260" s="18"/>
      <c r="C260" s="18"/>
      <c r="D260" s="18"/>
      <c r="E260" s="18"/>
      <c r="F260" s="18"/>
    </row>
    <row r="261" customFormat="false" ht="15" hidden="false" customHeight="false" outlineLevel="0" collapsed="false">
      <c r="A261" s="25"/>
      <c r="B261" s="18"/>
      <c r="C261" s="18"/>
      <c r="D261" s="18"/>
      <c r="E261" s="18"/>
      <c r="F261" s="18"/>
    </row>
    <row r="262" customFormat="false" ht="15" hidden="false" customHeight="false" outlineLevel="0" collapsed="false">
      <c r="A262" s="25"/>
      <c r="B262" s="18"/>
      <c r="C262" s="18"/>
      <c r="D262" s="18"/>
      <c r="E262" s="18"/>
      <c r="F262" s="18"/>
    </row>
    <row r="263" customFormat="false" ht="15" hidden="false" customHeight="false" outlineLevel="0" collapsed="false">
      <c r="A263" s="25"/>
      <c r="B263" s="18"/>
      <c r="C263" s="18"/>
      <c r="D263" s="18"/>
      <c r="E263" s="18"/>
      <c r="F263" s="18"/>
    </row>
    <row r="264" customFormat="false" ht="15" hidden="false" customHeight="false" outlineLevel="0" collapsed="false">
      <c r="A264" s="25"/>
      <c r="B264" s="18"/>
      <c r="C264" s="18"/>
      <c r="D264" s="18"/>
      <c r="E264" s="18"/>
      <c r="F264" s="18"/>
    </row>
    <row r="265" customFormat="false" ht="15" hidden="false" customHeight="false" outlineLevel="0" collapsed="false">
      <c r="A265" s="25"/>
      <c r="B265" s="18"/>
      <c r="C265" s="18"/>
      <c r="D265" s="18"/>
      <c r="E265" s="18"/>
      <c r="F265" s="18"/>
    </row>
    <row r="266" customFormat="false" ht="15" hidden="false" customHeight="false" outlineLevel="0" collapsed="false">
      <c r="A266" s="25"/>
      <c r="B266" s="18"/>
      <c r="C266" s="18"/>
      <c r="D266" s="18"/>
      <c r="E266" s="18"/>
      <c r="F266" s="18"/>
    </row>
    <row r="267" customFormat="false" ht="15" hidden="false" customHeight="false" outlineLevel="0" collapsed="false">
      <c r="A267" s="25"/>
      <c r="B267" s="18"/>
      <c r="C267" s="18"/>
      <c r="D267" s="18"/>
      <c r="E267" s="18"/>
      <c r="F267" s="18"/>
    </row>
    <row r="268" customFormat="false" ht="15" hidden="false" customHeight="false" outlineLevel="0" collapsed="false">
      <c r="A268" s="25"/>
      <c r="B268" s="18"/>
      <c r="C268" s="18"/>
      <c r="D268" s="18"/>
      <c r="E268" s="18"/>
      <c r="F268" s="18"/>
    </row>
    <row r="269" customFormat="false" ht="15" hidden="false" customHeight="false" outlineLevel="0" collapsed="false">
      <c r="A269" s="25"/>
      <c r="B269" s="18"/>
      <c r="C269" s="18"/>
      <c r="D269" s="18"/>
      <c r="E269" s="18"/>
      <c r="F269" s="18"/>
    </row>
    <row r="270" customFormat="false" ht="15" hidden="false" customHeight="false" outlineLevel="0" collapsed="false">
      <c r="A270" s="25"/>
      <c r="B270" s="18"/>
      <c r="C270" s="18"/>
      <c r="D270" s="18"/>
      <c r="E270" s="18"/>
      <c r="F270" s="18"/>
    </row>
    <row r="271" customFormat="false" ht="15" hidden="false" customHeight="false" outlineLevel="0" collapsed="false">
      <c r="A271" s="25"/>
      <c r="B271" s="18"/>
      <c r="C271" s="18"/>
      <c r="D271" s="18"/>
      <c r="E271" s="18"/>
      <c r="F271" s="18"/>
    </row>
    <row r="272" customFormat="false" ht="15" hidden="false" customHeight="false" outlineLevel="0" collapsed="false">
      <c r="A272" s="25"/>
      <c r="B272" s="18"/>
      <c r="C272" s="18"/>
      <c r="D272" s="18"/>
      <c r="E272" s="18"/>
      <c r="F272" s="18"/>
    </row>
    <row r="273" customFormat="false" ht="15" hidden="false" customHeight="false" outlineLevel="0" collapsed="false">
      <c r="A273" s="25"/>
      <c r="B273" s="18"/>
      <c r="C273" s="18"/>
      <c r="D273" s="18"/>
      <c r="E273" s="18"/>
      <c r="F273" s="18"/>
    </row>
    <row r="274" customFormat="false" ht="15" hidden="false" customHeight="false" outlineLevel="0" collapsed="false">
      <c r="A274" s="25"/>
      <c r="B274" s="18"/>
      <c r="C274" s="18"/>
      <c r="D274" s="18"/>
      <c r="E274" s="18"/>
      <c r="F274" s="18"/>
    </row>
    <row r="275" customFormat="false" ht="15" hidden="false" customHeight="false" outlineLevel="0" collapsed="false">
      <c r="A275" s="25"/>
      <c r="B275" s="18"/>
      <c r="C275" s="18"/>
      <c r="D275" s="18"/>
      <c r="E275" s="18"/>
      <c r="F275" s="18"/>
    </row>
    <row r="276" customFormat="false" ht="15" hidden="false" customHeight="false" outlineLevel="0" collapsed="false">
      <c r="A276" s="25"/>
      <c r="B276" s="18"/>
      <c r="C276" s="18"/>
      <c r="D276" s="18"/>
      <c r="E276" s="18"/>
      <c r="F276" s="18"/>
    </row>
    <row r="277" customFormat="false" ht="15" hidden="false" customHeight="false" outlineLevel="0" collapsed="false">
      <c r="A277" s="25"/>
      <c r="B277" s="18"/>
      <c r="C277" s="18"/>
      <c r="D277" s="18"/>
      <c r="E277" s="18"/>
      <c r="F277" s="18"/>
    </row>
    <row r="278" customFormat="false" ht="15" hidden="false" customHeight="false" outlineLevel="0" collapsed="false">
      <c r="A278" s="25"/>
      <c r="B278" s="18"/>
      <c r="C278" s="18"/>
      <c r="D278" s="18"/>
      <c r="E278" s="18"/>
      <c r="F278" s="18"/>
    </row>
    <row r="279" customFormat="false" ht="15" hidden="false" customHeight="false" outlineLevel="0" collapsed="false">
      <c r="A279" s="25"/>
      <c r="B279" s="18"/>
      <c r="C279" s="18"/>
      <c r="D279" s="18"/>
      <c r="E279" s="18"/>
      <c r="F279" s="18"/>
    </row>
    <row r="280" customFormat="false" ht="15" hidden="false" customHeight="false" outlineLevel="0" collapsed="false">
      <c r="A280" s="25"/>
      <c r="B280" s="18"/>
      <c r="C280" s="18"/>
      <c r="D280" s="18"/>
      <c r="E280" s="18"/>
      <c r="F280" s="18"/>
    </row>
    <row r="281" customFormat="false" ht="15" hidden="false" customHeight="false" outlineLevel="0" collapsed="false">
      <c r="A281" s="25"/>
      <c r="B281" s="18"/>
      <c r="C281" s="18"/>
      <c r="D281" s="18"/>
      <c r="E281" s="18"/>
      <c r="F281" s="18"/>
    </row>
    <row r="282" customFormat="false" ht="15" hidden="false" customHeight="false" outlineLevel="0" collapsed="false">
      <c r="A282" s="25"/>
      <c r="B282" s="18"/>
      <c r="C282" s="18"/>
      <c r="D282" s="18"/>
      <c r="E282" s="18"/>
      <c r="F282" s="18"/>
    </row>
    <row r="283" customFormat="false" ht="15" hidden="false" customHeight="false" outlineLevel="0" collapsed="false">
      <c r="A283" s="25"/>
      <c r="B283" s="18"/>
      <c r="C283" s="18"/>
      <c r="D283" s="18"/>
      <c r="E283" s="18"/>
      <c r="F283" s="18"/>
    </row>
    <row r="284" customFormat="false" ht="15" hidden="false" customHeight="false" outlineLevel="0" collapsed="false">
      <c r="A284" s="25"/>
      <c r="B284" s="18"/>
      <c r="C284" s="18"/>
      <c r="D284" s="18"/>
      <c r="E284" s="18"/>
      <c r="F284" s="18"/>
    </row>
    <row r="285" customFormat="false" ht="15" hidden="false" customHeight="false" outlineLevel="0" collapsed="false">
      <c r="A285" s="25"/>
      <c r="B285" s="18"/>
      <c r="C285" s="18"/>
      <c r="D285" s="18"/>
      <c r="E285" s="18"/>
      <c r="F285" s="18"/>
    </row>
    <row r="286" customFormat="false" ht="15" hidden="false" customHeight="false" outlineLevel="0" collapsed="false">
      <c r="A286" s="25"/>
      <c r="B286" s="18"/>
      <c r="C286" s="18"/>
      <c r="D286" s="18"/>
      <c r="E286" s="18"/>
      <c r="F286" s="18"/>
    </row>
    <row r="287" customFormat="false" ht="15" hidden="false" customHeight="false" outlineLevel="0" collapsed="false">
      <c r="A287" s="25"/>
      <c r="B287" s="18"/>
      <c r="C287" s="18"/>
      <c r="D287" s="18"/>
      <c r="E287" s="18"/>
      <c r="F287" s="18"/>
    </row>
    <row r="288" customFormat="false" ht="15" hidden="false" customHeight="false" outlineLevel="0" collapsed="false">
      <c r="A288" s="25"/>
      <c r="B288" s="18"/>
      <c r="C288" s="18"/>
      <c r="D288" s="18"/>
      <c r="E288" s="18"/>
      <c r="F288" s="18"/>
    </row>
    <row r="289" customFormat="false" ht="15" hidden="false" customHeight="false" outlineLevel="0" collapsed="false">
      <c r="A289" s="25"/>
      <c r="B289" s="18"/>
      <c r="C289" s="18"/>
      <c r="D289" s="18"/>
      <c r="E289" s="18"/>
      <c r="F289" s="18"/>
    </row>
    <row r="290" customFormat="false" ht="15" hidden="false" customHeight="false" outlineLevel="0" collapsed="false">
      <c r="A290" s="25"/>
      <c r="B290" s="18"/>
      <c r="C290" s="18"/>
      <c r="D290" s="18"/>
      <c r="E290" s="18"/>
      <c r="F290" s="18"/>
    </row>
    <row r="291" customFormat="false" ht="15" hidden="false" customHeight="false" outlineLevel="0" collapsed="false">
      <c r="A291" s="25"/>
      <c r="B291" s="18"/>
      <c r="C291" s="18"/>
      <c r="D291" s="18"/>
      <c r="E291" s="18"/>
      <c r="F291" s="18"/>
    </row>
    <row r="292" customFormat="false" ht="15" hidden="false" customHeight="false" outlineLevel="0" collapsed="false">
      <c r="A292" s="25"/>
      <c r="B292" s="18"/>
      <c r="C292" s="18"/>
      <c r="D292" s="18"/>
      <c r="E292" s="18"/>
      <c r="F292" s="18"/>
    </row>
    <row r="293" customFormat="false" ht="15" hidden="false" customHeight="false" outlineLevel="0" collapsed="false">
      <c r="A293" s="25"/>
      <c r="B293" s="18"/>
      <c r="C293" s="18"/>
      <c r="D293" s="18"/>
      <c r="E293" s="18"/>
      <c r="F293" s="18"/>
    </row>
    <row r="294" customFormat="false" ht="15" hidden="false" customHeight="false" outlineLevel="0" collapsed="false">
      <c r="A294" s="25"/>
      <c r="B294" s="18"/>
      <c r="C294" s="18"/>
      <c r="D294" s="18"/>
      <c r="E294" s="18"/>
      <c r="F294" s="18"/>
    </row>
    <row r="295" customFormat="false" ht="15" hidden="false" customHeight="false" outlineLevel="0" collapsed="false">
      <c r="A295" s="25"/>
      <c r="B295" s="18"/>
      <c r="C295" s="18"/>
      <c r="D295" s="18"/>
      <c r="E295" s="18"/>
      <c r="F295" s="18"/>
    </row>
    <row r="296" customFormat="false" ht="15" hidden="false" customHeight="false" outlineLevel="0" collapsed="false">
      <c r="A296" s="25"/>
      <c r="B296" s="18"/>
      <c r="C296" s="18"/>
      <c r="D296" s="18"/>
      <c r="E296" s="18"/>
      <c r="F296" s="18"/>
    </row>
    <row r="297" customFormat="false" ht="15" hidden="false" customHeight="false" outlineLevel="0" collapsed="false">
      <c r="A297" s="25"/>
      <c r="B297" s="18"/>
      <c r="C297" s="18"/>
      <c r="D297" s="18"/>
      <c r="E297" s="18"/>
      <c r="F297" s="18"/>
    </row>
    <row r="298" customFormat="false" ht="15" hidden="false" customHeight="false" outlineLevel="0" collapsed="false">
      <c r="A298" s="25"/>
      <c r="B298" s="18"/>
      <c r="C298" s="18"/>
      <c r="D298" s="18"/>
      <c r="E298" s="18"/>
      <c r="F298" s="18"/>
    </row>
    <row r="299" customFormat="false" ht="15" hidden="false" customHeight="false" outlineLevel="0" collapsed="false">
      <c r="A299" s="25"/>
      <c r="B299" s="18"/>
      <c r="C299" s="18"/>
      <c r="D299" s="18"/>
      <c r="E299" s="18"/>
      <c r="F299" s="18"/>
    </row>
    <row r="300" customFormat="false" ht="15" hidden="false" customHeight="false" outlineLevel="0" collapsed="false">
      <c r="A300" s="25"/>
      <c r="B300" s="18"/>
      <c r="C300" s="18"/>
      <c r="D300" s="18"/>
      <c r="E300" s="18"/>
      <c r="F300" s="18"/>
    </row>
    <row r="301" customFormat="false" ht="15" hidden="false" customHeight="false" outlineLevel="0" collapsed="false">
      <c r="A301" s="25"/>
      <c r="B301" s="18"/>
      <c r="C301" s="18"/>
      <c r="D301" s="18"/>
      <c r="E301" s="18"/>
      <c r="F301" s="18"/>
    </row>
    <row r="302" customFormat="false" ht="15" hidden="false" customHeight="false" outlineLevel="0" collapsed="false">
      <c r="A302" s="25"/>
      <c r="B302" s="18"/>
      <c r="C302" s="18"/>
      <c r="D302" s="18"/>
      <c r="E302" s="18"/>
      <c r="F302" s="18"/>
    </row>
    <row r="303" customFormat="false" ht="15" hidden="false" customHeight="false" outlineLevel="0" collapsed="false">
      <c r="A303" s="25"/>
      <c r="B303" s="18"/>
      <c r="C303" s="18"/>
      <c r="D303" s="18"/>
      <c r="E303" s="18"/>
      <c r="F303" s="18"/>
    </row>
    <row r="304" customFormat="false" ht="15" hidden="false" customHeight="false" outlineLevel="0" collapsed="false">
      <c r="A304" s="25"/>
      <c r="B304" s="18"/>
      <c r="C304" s="18"/>
      <c r="D304" s="18"/>
      <c r="E304" s="18"/>
      <c r="F304" s="18"/>
    </row>
    <row r="305" customFormat="false" ht="15" hidden="false" customHeight="false" outlineLevel="0" collapsed="false">
      <c r="A305" s="25"/>
      <c r="B305" s="18"/>
      <c r="C305" s="18"/>
      <c r="D305" s="18"/>
      <c r="E305" s="18"/>
      <c r="F305" s="18"/>
    </row>
    <row r="306" customFormat="false" ht="15" hidden="false" customHeight="false" outlineLevel="0" collapsed="false">
      <c r="A306" s="25"/>
      <c r="B306" s="18"/>
      <c r="C306" s="18"/>
      <c r="D306" s="18"/>
      <c r="E306" s="18"/>
      <c r="F306" s="18"/>
    </row>
    <row r="307" customFormat="false" ht="15" hidden="false" customHeight="false" outlineLevel="0" collapsed="false">
      <c r="A307" s="25"/>
      <c r="B307" s="18"/>
      <c r="C307" s="18"/>
      <c r="D307" s="18"/>
      <c r="E307" s="18"/>
      <c r="F307" s="18"/>
    </row>
    <row r="308" customFormat="false" ht="15" hidden="false" customHeight="false" outlineLevel="0" collapsed="false">
      <c r="A308" s="25"/>
      <c r="B308" s="18"/>
      <c r="C308" s="18"/>
      <c r="D308" s="18"/>
      <c r="E308" s="18"/>
      <c r="F308" s="18"/>
    </row>
    <row r="309" customFormat="false" ht="15" hidden="false" customHeight="false" outlineLevel="0" collapsed="false">
      <c r="A309" s="25"/>
      <c r="B309" s="18"/>
      <c r="C309" s="18"/>
      <c r="D309" s="18"/>
      <c r="E309" s="18"/>
      <c r="F309" s="18"/>
    </row>
    <row r="310" customFormat="false" ht="15" hidden="false" customHeight="false" outlineLevel="0" collapsed="false">
      <c r="A310" s="25"/>
      <c r="B310" s="18"/>
      <c r="C310" s="18"/>
      <c r="D310" s="18"/>
      <c r="E310" s="18"/>
      <c r="F310" s="18"/>
    </row>
    <row r="311" customFormat="false" ht="15" hidden="false" customHeight="false" outlineLevel="0" collapsed="false">
      <c r="A311" s="25"/>
      <c r="B311" s="18"/>
      <c r="C311" s="18"/>
      <c r="D311" s="18"/>
      <c r="E311" s="18"/>
      <c r="F311" s="18"/>
    </row>
    <row r="312" customFormat="false" ht="15" hidden="false" customHeight="false" outlineLevel="0" collapsed="false">
      <c r="A312" s="25"/>
      <c r="B312" s="18"/>
      <c r="C312" s="18"/>
      <c r="D312" s="18"/>
      <c r="E312" s="18"/>
      <c r="F312" s="18"/>
    </row>
    <row r="313" customFormat="false" ht="15" hidden="false" customHeight="false" outlineLevel="0" collapsed="false">
      <c r="A313" s="25"/>
      <c r="B313" s="18"/>
      <c r="C313" s="18"/>
      <c r="D313" s="18"/>
      <c r="E313" s="18"/>
      <c r="F313" s="18"/>
    </row>
    <row r="314" customFormat="false" ht="15" hidden="false" customHeight="false" outlineLevel="0" collapsed="false">
      <c r="A314" s="25"/>
      <c r="B314" s="18"/>
      <c r="C314" s="18"/>
      <c r="D314" s="18"/>
      <c r="E314" s="18"/>
      <c r="F314" s="18"/>
    </row>
    <row r="315" customFormat="false" ht="15" hidden="false" customHeight="false" outlineLevel="0" collapsed="false">
      <c r="A315" s="25"/>
      <c r="B315" s="18"/>
      <c r="C315" s="18"/>
      <c r="D315" s="18"/>
      <c r="E315" s="18"/>
      <c r="F315" s="18"/>
    </row>
    <row r="316" customFormat="false" ht="15" hidden="false" customHeight="false" outlineLevel="0" collapsed="false">
      <c r="A316" s="25"/>
      <c r="B316" s="18"/>
      <c r="C316" s="18"/>
      <c r="D316" s="18"/>
      <c r="E316" s="18"/>
      <c r="F316" s="18"/>
    </row>
    <row r="317" customFormat="false" ht="15" hidden="false" customHeight="false" outlineLevel="0" collapsed="false">
      <c r="A317" s="25"/>
      <c r="B317" s="18"/>
      <c r="C317" s="18"/>
      <c r="D317" s="18"/>
      <c r="E317" s="18"/>
      <c r="F317" s="18"/>
    </row>
    <row r="318" customFormat="false" ht="15" hidden="false" customHeight="false" outlineLevel="0" collapsed="false">
      <c r="A318" s="25"/>
      <c r="B318" s="18"/>
      <c r="C318" s="18"/>
      <c r="D318" s="18"/>
      <c r="E318" s="18"/>
      <c r="F318" s="18"/>
    </row>
    <row r="319" customFormat="false" ht="15" hidden="false" customHeight="false" outlineLevel="0" collapsed="false">
      <c r="A319" s="25"/>
      <c r="B319" s="18"/>
      <c r="C319" s="18"/>
      <c r="D319" s="18"/>
      <c r="E319" s="18"/>
      <c r="F319" s="18"/>
    </row>
    <row r="320" customFormat="false" ht="15" hidden="false" customHeight="false" outlineLevel="0" collapsed="false">
      <c r="A320" s="25"/>
      <c r="B320" s="18"/>
      <c r="C320" s="18"/>
      <c r="D320" s="18"/>
      <c r="E320" s="18"/>
      <c r="F320" s="18"/>
    </row>
    <row r="321" customFormat="false" ht="15" hidden="false" customHeight="false" outlineLevel="0" collapsed="false">
      <c r="A321" s="25"/>
      <c r="B321" s="18"/>
      <c r="C321" s="18"/>
      <c r="D321" s="18"/>
      <c r="E321" s="18"/>
      <c r="F321" s="18"/>
    </row>
    <row r="322" customFormat="false" ht="15" hidden="false" customHeight="false" outlineLevel="0" collapsed="false">
      <c r="A322" s="25"/>
      <c r="B322" s="18"/>
      <c r="C322" s="18"/>
      <c r="D322" s="18"/>
      <c r="E322" s="18"/>
      <c r="F322" s="18"/>
    </row>
    <row r="323" customFormat="false" ht="15" hidden="false" customHeight="false" outlineLevel="0" collapsed="false">
      <c r="A323" s="25"/>
      <c r="B323" s="18"/>
      <c r="C323" s="18"/>
      <c r="D323" s="18"/>
      <c r="E323" s="18"/>
      <c r="F323" s="18"/>
    </row>
    <row r="324" customFormat="false" ht="15" hidden="false" customHeight="false" outlineLevel="0" collapsed="false">
      <c r="A324" s="25"/>
      <c r="B324" s="18"/>
      <c r="C324" s="18"/>
      <c r="D324" s="18"/>
      <c r="E324" s="18"/>
      <c r="F324" s="18"/>
    </row>
    <row r="325" customFormat="false" ht="15" hidden="false" customHeight="false" outlineLevel="0" collapsed="false">
      <c r="A325" s="25"/>
      <c r="B325" s="18"/>
      <c r="C325" s="18"/>
      <c r="D325" s="18"/>
      <c r="E325" s="18"/>
      <c r="F325" s="18"/>
    </row>
    <row r="326" customFormat="false" ht="15" hidden="false" customHeight="false" outlineLevel="0" collapsed="false">
      <c r="A326" s="25"/>
      <c r="B326" s="18"/>
      <c r="C326" s="18"/>
      <c r="D326" s="18"/>
      <c r="E326" s="18"/>
      <c r="F326" s="18"/>
    </row>
    <row r="327" customFormat="false" ht="15" hidden="false" customHeight="false" outlineLevel="0" collapsed="false">
      <c r="A327" s="25"/>
      <c r="B327" s="18"/>
      <c r="C327" s="18"/>
      <c r="D327" s="18"/>
      <c r="E327" s="18"/>
      <c r="F327" s="18"/>
    </row>
    <row r="328" customFormat="false" ht="15" hidden="false" customHeight="false" outlineLevel="0" collapsed="false">
      <c r="A328" s="25"/>
      <c r="B328" s="18"/>
      <c r="C328" s="18"/>
      <c r="D328" s="18"/>
      <c r="E328" s="18"/>
      <c r="F328" s="18"/>
    </row>
    <row r="329" customFormat="false" ht="15" hidden="false" customHeight="false" outlineLevel="0" collapsed="false">
      <c r="A329" s="25"/>
      <c r="B329" s="18"/>
      <c r="C329" s="18"/>
      <c r="D329" s="18"/>
      <c r="E329" s="18"/>
      <c r="F329" s="18"/>
    </row>
    <row r="330" customFormat="false" ht="15" hidden="false" customHeight="false" outlineLevel="0" collapsed="false">
      <c r="A330" s="25"/>
      <c r="B330" s="18"/>
      <c r="C330" s="18"/>
      <c r="D330" s="18"/>
      <c r="E330" s="18"/>
      <c r="F330" s="18"/>
    </row>
    <row r="331" customFormat="false" ht="15" hidden="false" customHeight="false" outlineLevel="0" collapsed="false">
      <c r="A331" s="25"/>
      <c r="B331" s="18"/>
      <c r="C331" s="18"/>
      <c r="D331" s="18"/>
      <c r="E331" s="18"/>
      <c r="F331" s="18"/>
    </row>
    <row r="332" customFormat="false" ht="15" hidden="false" customHeight="false" outlineLevel="0" collapsed="false">
      <c r="A332" s="25"/>
      <c r="B332" s="18"/>
      <c r="C332" s="18"/>
      <c r="D332" s="18"/>
      <c r="E332" s="18"/>
      <c r="F332" s="18"/>
    </row>
    <row r="333" customFormat="false" ht="15" hidden="false" customHeight="false" outlineLevel="0" collapsed="false">
      <c r="A333" s="25"/>
      <c r="B333" s="18"/>
      <c r="C333" s="18"/>
      <c r="D333" s="18"/>
      <c r="E333" s="18"/>
      <c r="F333" s="18"/>
    </row>
    <row r="334" customFormat="false" ht="15" hidden="false" customHeight="false" outlineLevel="0" collapsed="false">
      <c r="A334" s="25"/>
      <c r="B334" s="18"/>
      <c r="C334" s="18"/>
      <c r="D334" s="18"/>
      <c r="E334" s="18"/>
      <c r="F334" s="18"/>
    </row>
    <row r="335" customFormat="false" ht="15" hidden="false" customHeight="false" outlineLevel="0" collapsed="false">
      <c r="A335" s="25"/>
      <c r="B335" s="18"/>
      <c r="C335" s="18"/>
      <c r="D335" s="18"/>
      <c r="E335" s="18"/>
      <c r="F335" s="18"/>
    </row>
    <row r="336" customFormat="false" ht="15" hidden="false" customHeight="false" outlineLevel="0" collapsed="false">
      <c r="A336" s="25"/>
      <c r="B336" s="18"/>
      <c r="C336" s="18"/>
      <c r="D336" s="18"/>
      <c r="E336" s="18"/>
      <c r="F336" s="18"/>
    </row>
    <row r="337" customFormat="false" ht="15" hidden="false" customHeight="false" outlineLevel="0" collapsed="false">
      <c r="A337" s="25"/>
      <c r="B337" s="18"/>
      <c r="C337" s="18"/>
      <c r="D337" s="18"/>
      <c r="E337" s="18"/>
      <c r="F337" s="18"/>
    </row>
    <row r="338" customFormat="false" ht="15" hidden="false" customHeight="false" outlineLevel="0" collapsed="false">
      <c r="A338" s="25"/>
      <c r="B338" s="18"/>
      <c r="C338" s="18"/>
      <c r="D338" s="18"/>
      <c r="E338" s="18"/>
      <c r="F338" s="18"/>
    </row>
    <row r="339" customFormat="false" ht="15" hidden="false" customHeight="false" outlineLevel="0" collapsed="false">
      <c r="A339" s="25"/>
      <c r="B339" s="18"/>
      <c r="C339" s="18"/>
      <c r="D339" s="18"/>
      <c r="E339" s="18"/>
      <c r="F339" s="18"/>
    </row>
    <row r="340" customFormat="false" ht="15" hidden="false" customHeight="false" outlineLevel="0" collapsed="false">
      <c r="A340" s="25"/>
      <c r="B340" s="18"/>
      <c r="C340" s="18"/>
      <c r="D340" s="18"/>
      <c r="E340" s="18"/>
      <c r="F340" s="18"/>
    </row>
    <row r="341" customFormat="false" ht="15" hidden="false" customHeight="false" outlineLevel="0" collapsed="false">
      <c r="A341" s="25"/>
      <c r="B341" s="18"/>
      <c r="C341" s="18"/>
      <c r="D341" s="18"/>
      <c r="E341" s="18"/>
      <c r="F341" s="18"/>
    </row>
    <row r="342" customFormat="false" ht="15" hidden="false" customHeight="false" outlineLevel="0" collapsed="false">
      <c r="A342" s="25"/>
      <c r="B342" s="18"/>
      <c r="C342" s="18"/>
      <c r="D342" s="18"/>
      <c r="E342" s="18"/>
      <c r="F342" s="18"/>
    </row>
    <row r="343" customFormat="false" ht="15" hidden="false" customHeight="false" outlineLevel="0" collapsed="false">
      <c r="A343" s="25"/>
      <c r="B343" s="18"/>
      <c r="C343" s="18"/>
      <c r="D343" s="18"/>
      <c r="E343" s="18"/>
      <c r="F343" s="18"/>
    </row>
    <row r="344" customFormat="false" ht="15" hidden="false" customHeight="false" outlineLevel="0" collapsed="false">
      <c r="A344" s="25"/>
      <c r="B344" s="18"/>
      <c r="C344" s="18"/>
      <c r="D344" s="18"/>
      <c r="E344" s="18"/>
      <c r="F344" s="18"/>
    </row>
    <row r="345" customFormat="false" ht="15" hidden="false" customHeight="false" outlineLevel="0" collapsed="false">
      <c r="A345" s="25"/>
      <c r="B345" s="18"/>
      <c r="C345" s="18"/>
      <c r="D345" s="18"/>
      <c r="E345" s="18"/>
      <c r="F345" s="18"/>
    </row>
    <row r="346" customFormat="false" ht="15" hidden="false" customHeight="false" outlineLevel="0" collapsed="false">
      <c r="A346" s="25"/>
      <c r="B346" s="18"/>
      <c r="C346" s="18"/>
      <c r="D346" s="18"/>
      <c r="E346" s="18"/>
      <c r="F346" s="18"/>
    </row>
    <row r="347" customFormat="false" ht="15" hidden="false" customHeight="false" outlineLevel="0" collapsed="false">
      <c r="A347" s="25"/>
      <c r="B347" s="18"/>
      <c r="C347" s="18"/>
      <c r="D347" s="18"/>
      <c r="E347" s="18"/>
      <c r="F347" s="18"/>
    </row>
    <row r="348" customFormat="false" ht="15" hidden="false" customHeight="false" outlineLevel="0" collapsed="false">
      <c r="A348" s="25"/>
      <c r="B348" s="18"/>
      <c r="C348" s="18"/>
      <c r="D348" s="18"/>
      <c r="E348" s="18"/>
      <c r="F348" s="18"/>
    </row>
    <row r="349" customFormat="false" ht="15" hidden="false" customHeight="false" outlineLevel="0" collapsed="false">
      <c r="A349" s="25"/>
      <c r="B349" s="18"/>
      <c r="C349" s="18"/>
      <c r="D349" s="18"/>
      <c r="E349" s="18"/>
      <c r="F349" s="18"/>
    </row>
    <row r="350" customFormat="false" ht="15" hidden="false" customHeight="false" outlineLevel="0" collapsed="false">
      <c r="A350" s="25"/>
      <c r="B350" s="18"/>
      <c r="C350" s="18"/>
      <c r="D350" s="18"/>
      <c r="E350" s="18"/>
      <c r="F350" s="18"/>
    </row>
    <row r="351" customFormat="false" ht="15" hidden="false" customHeight="false" outlineLevel="0" collapsed="false">
      <c r="A351" s="25"/>
      <c r="B351" s="18"/>
      <c r="C351" s="18"/>
      <c r="D351" s="18"/>
      <c r="E351" s="18"/>
      <c r="F351" s="18"/>
    </row>
    <row r="352" customFormat="false" ht="15" hidden="false" customHeight="false" outlineLevel="0" collapsed="false">
      <c r="A352" s="25"/>
      <c r="B352" s="18"/>
      <c r="C352" s="18"/>
      <c r="D352" s="18"/>
      <c r="E352" s="18"/>
      <c r="F352" s="18"/>
    </row>
    <row r="353" customFormat="false" ht="15" hidden="false" customHeight="false" outlineLevel="0" collapsed="false">
      <c r="A353" s="25"/>
      <c r="B353" s="18"/>
      <c r="C353" s="18"/>
      <c r="D353" s="18"/>
      <c r="E353" s="18"/>
      <c r="F353" s="18"/>
    </row>
    <row r="354" customFormat="false" ht="15" hidden="false" customHeight="false" outlineLevel="0" collapsed="false">
      <c r="A354" s="25"/>
      <c r="B354" s="18"/>
      <c r="C354" s="18"/>
      <c r="D354" s="18"/>
      <c r="E354" s="18"/>
      <c r="F354" s="18"/>
    </row>
    <row r="355" customFormat="false" ht="15" hidden="false" customHeight="false" outlineLevel="0" collapsed="false">
      <c r="A355" s="25"/>
      <c r="B355" s="18"/>
      <c r="C355" s="18"/>
      <c r="D355" s="18"/>
      <c r="E355" s="18"/>
      <c r="F355" s="18"/>
    </row>
    <row r="356" customFormat="false" ht="15" hidden="false" customHeight="false" outlineLevel="0" collapsed="false">
      <c r="A356" s="25"/>
      <c r="B356" s="18"/>
      <c r="C356" s="18"/>
      <c r="D356" s="18"/>
      <c r="E356" s="18"/>
      <c r="F356" s="18"/>
    </row>
    <row r="357" customFormat="false" ht="15" hidden="false" customHeight="false" outlineLevel="0" collapsed="false">
      <c r="A357" s="25"/>
      <c r="B357" s="18"/>
      <c r="C357" s="18"/>
      <c r="D357" s="18"/>
      <c r="E357" s="18"/>
      <c r="F357" s="18"/>
    </row>
    <row r="358" customFormat="false" ht="15" hidden="false" customHeight="false" outlineLevel="0" collapsed="false">
      <c r="A358" s="25"/>
      <c r="B358" s="18"/>
      <c r="C358" s="18"/>
      <c r="D358" s="18"/>
      <c r="E358" s="18"/>
      <c r="F358" s="18"/>
    </row>
    <row r="359" customFormat="false" ht="15" hidden="false" customHeight="false" outlineLevel="0" collapsed="false">
      <c r="A359" s="25"/>
      <c r="B359" s="18"/>
      <c r="C359" s="18"/>
      <c r="D359" s="18"/>
      <c r="E359" s="18"/>
      <c r="F359" s="18"/>
    </row>
    <row r="360" customFormat="false" ht="15" hidden="false" customHeight="false" outlineLevel="0" collapsed="false">
      <c r="A360" s="25"/>
      <c r="B360" s="18"/>
      <c r="C360" s="18"/>
      <c r="D360" s="18"/>
      <c r="E360" s="18"/>
      <c r="F360" s="18"/>
    </row>
    <row r="361" customFormat="false" ht="15" hidden="false" customHeight="false" outlineLevel="0" collapsed="false">
      <c r="A361" s="25"/>
      <c r="B361" s="18"/>
      <c r="C361" s="18"/>
      <c r="D361" s="18"/>
      <c r="E361" s="18"/>
      <c r="F361" s="18"/>
    </row>
    <row r="362" customFormat="false" ht="15" hidden="false" customHeight="false" outlineLevel="0" collapsed="false">
      <c r="A362" s="25"/>
      <c r="B362" s="18"/>
      <c r="C362" s="18"/>
      <c r="D362" s="18"/>
      <c r="E362" s="18"/>
      <c r="F362" s="18"/>
    </row>
    <row r="363" customFormat="false" ht="15" hidden="false" customHeight="false" outlineLevel="0" collapsed="false">
      <c r="A363" s="25"/>
      <c r="B363" s="18"/>
      <c r="C363" s="18"/>
      <c r="D363" s="18"/>
      <c r="E363" s="18"/>
      <c r="F363" s="18"/>
    </row>
    <row r="364" customFormat="false" ht="15" hidden="false" customHeight="false" outlineLevel="0" collapsed="false">
      <c r="A364" s="25"/>
      <c r="B364" s="18"/>
      <c r="C364" s="18"/>
      <c r="D364" s="18"/>
      <c r="E364" s="18"/>
      <c r="F364" s="18"/>
    </row>
    <row r="365" customFormat="false" ht="15" hidden="false" customHeight="false" outlineLevel="0" collapsed="false">
      <c r="A365" s="25"/>
      <c r="B365" s="18"/>
      <c r="C365" s="18"/>
      <c r="D365" s="18"/>
      <c r="E365" s="18"/>
      <c r="F365" s="18"/>
    </row>
    <row r="366" customFormat="false" ht="15" hidden="false" customHeight="false" outlineLevel="0" collapsed="false">
      <c r="A366" s="25"/>
      <c r="B366" s="18"/>
      <c r="C366" s="18"/>
      <c r="D366" s="18"/>
      <c r="E366" s="18"/>
      <c r="F366" s="18"/>
    </row>
    <row r="367" customFormat="false" ht="15" hidden="false" customHeight="false" outlineLevel="0" collapsed="false">
      <c r="A367" s="25"/>
      <c r="B367" s="18"/>
      <c r="C367" s="18"/>
      <c r="D367" s="18"/>
      <c r="E367" s="18"/>
      <c r="F367" s="18"/>
    </row>
    <row r="368" customFormat="false" ht="15" hidden="false" customHeight="false" outlineLevel="0" collapsed="false">
      <c r="A368" s="25"/>
      <c r="B368" s="18"/>
      <c r="C368" s="18"/>
      <c r="D368" s="18"/>
      <c r="E368" s="18"/>
      <c r="F368" s="18"/>
    </row>
    <row r="369" customFormat="false" ht="15" hidden="false" customHeight="false" outlineLevel="0" collapsed="false">
      <c r="A369" s="25"/>
      <c r="B369" s="18"/>
      <c r="C369" s="18"/>
      <c r="D369" s="18"/>
      <c r="E369" s="18"/>
      <c r="F369" s="18"/>
    </row>
    <row r="370" customFormat="false" ht="15" hidden="false" customHeight="false" outlineLevel="0" collapsed="false">
      <c r="A370" s="25"/>
      <c r="B370" s="18"/>
      <c r="C370" s="18"/>
      <c r="D370" s="18"/>
      <c r="E370" s="18"/>
      <c r="F370" s="18"/>
    </row>
    <row r="371" customFormat="false" ht="15" hidden="false" customHeight="false" outlineLevel="0" collapsed="false">
      <c r="A371" s="25"/>
      <c r="B371" s="18"/>
      <c r="C371" s="18"/>
      <c r="D371" s="18"/>
      <c r="E371" s="18"/>
      <c r="F371" s="18"/>
    </row>
    <row r="372" customFormat="false" ht="15" hidden="false" customHeight="false" outlineLevel="0" collapsed="false">
      <c r="A372" s="25"/>
      <c r="B372" s="18"/>
      <c r="C372" s="18"/>
      <c r="D372" s="18"/>
      <c r="E372" s="18"/>
      <c r="F372" s="18"/>
    </row>
    <row r="373" customFormat="false" ht="15" hidden="false" customHeight="false" outlineLevel="0" collapsed="false">
      <c r="A373" s="25"/>
      <c r="B373" s="18"/>
      <c r="C373" s="18"/>
      <c r="D373" s="18"/>
      <c r="E373" s="18"/>
      <c r="F373" s="18"/>
    </row>
    <row r="374" customFormat="false" ht="15" hidden="false" customHeight="false" outlineLevel="0" collapsed="false">
      <c r="A374" s="25"/>
      <c r="B374" s="18"/>
      <c r="C374" s="18"/>
      <c r="D374" s="18"/>
      <c r="E374" s="18"/>
      <c r="F374" s="18"/>
    </row>
    <row r="375" customFormat="false" ht="15" hidden="false" customHeight="false" outlineLevel="0" collapsed="false">
      <c r="A375" s="25"/>
      <c r="B375" s="18"/>
      <c r="C375" s="18"/>
      <c r="D375" s="18"/>
      <c r="E375" s="18"/>
      <c r="F375" s="18"/>
    </row>
    <row r="376" customFormat="false" ht="15" hidden="false" customHeight="false" outlineLevel="0" collapsed="false">
      <c r="A376" s="25"/>
      <c r="B376" s="18"/>
      <c r="C376" s="18"/>
      <c r="D376" s="18"/>
      <c r="E376" s="18"/>
      <c r="F376" s="18"/>
    </row>
    <row r="377" customFormat="false" ht="15" hidden="false" customHeight="false" outlineLevel="0" collapsed="false">
      <c r="A377" s="25"/>
      <c r="B377" s="18"/>
      <c r="C377" s="18"/>
      <c r="D377" s="18"/>
      <c r="E377" s="18"/>
      <c r="F377" s="18"/>
    </row>
    <row r="378" customFormat="false" ht="15" hidden="false" customHeight="false" outlineLevel="0" collapsed="false">
      <c r="A378" s="25"/>
      <c r="B378" s="18"/>
      <c r="C378" s="18"/>
      <c r="D378" s="18"/>
      <c r="E378" s="18"/>
      <c r="F378" s="18"/>
    </row>
    <row r="379" customFormat="false" ht="15" hidden="false" customHeight="false" outlineLevel="0" collapsed="false">
      <c r="A379" s="25"/>
      <c r="B379" s="18"/>
      <c r="C379" s="18"/>
      <c r="D379" s="18"/>
      <c r="E379" s="18"/>
      <c r="F379" s="18"/>
    </row>
    <row r="380" customFormat="false" ht="15" hidden="false" customHeight="false" outlineLevel="0" collapsed="false">
      <c r="A380" s="25"/>
      <c r="B380" s="18"/>
      <c r="C380" s="18"/>
      <c r="D380" s="18"/>
      <c r="E380" s="18"/>
      <c r="F380" s="18"/>
    </row>
    <row r="381" customFormat="false" ht="15" hidden="false" customHeight="false" outlineLevel="0" collapsed="false">
      <c r="A381" s="25"/>
      <c r="B381" s="18"/>
      <c r="C381" s="18"/>
      <c r="D381" s="18"/>
      <c r="E381" s="18"/>
      <c r="F381" s="18"/>
    </row>
    <row r="382" customFormat="false" ht="15" hidden="false" customHeight="false" outlineLevel="0" collapsed="false">
      <c r="A382" s="25"/>
      <c r="B382" s="18"/>
      <c r="C382" s="18"/>
      <c r="D382" s="18"/>
      <c r="E382" s="18"/>
      <c r="F382" s="18"/>
    </row>
    <row r="383" customFormat="false" ht="15" hidden="false" customHeight="false" outlineLevel="0" collapsed="false">
      <c r="A383" s="25"/>
      <c r="B383" s="18"/>
      <c r="C383" s="18"/>
      <c r="D383" s="18"/>
      <c r="E383" s="18"/>
      <c r="F383" s="18"/>
    </row>
    <row r="384" customFormat="false" ht="15" hidden="false" customHeight="false" outlineLevel="0" collapsed="false">
      <c r="A384" s="25"/>
      <c r="B384" s="18"/>
      <c r="C384" s="18"/>
      <c r="D384" s="18"/>
      <c r="E384" s="18"/>
      <c r="F384" s="18"/>
    </row>
    <row r="385" customFormat="false" ht="15" hidden="false" customHeight="false" outlineLevel="0" collapsed="false">
      <c r="A385" s="25"/>
      <c r="B385" s="18"/>
      <c r="C385" s="18"/>
      <c r="D385" s="18"/>
      <c r="E385" s="18"/>
      <c r="F385" s="18"/>
    </row>
    <row r="386" customFormat="false" ht="15" hidden="false" customHeight="false" outlineLevel="0" collapsed="false">
      <c r="A386" s="25"/>
      <c r="B386" s="18"/>
      <c r="C386" s="18"/>
      <c r="D386" s="18"/>
      <c r="E386" s="18"/>
      <c r="F386" s="18"/>
    </row>
    <row r="387" customFormat="false" ht="15" hidden="false" customHeight="false" outlineLevel="0" collapsed="false">
      <c r="A387" s="25"/>
      <c r="B387" s="18"/>
      <c r="C387" s="18"/>
      <c r="D387" s="18"/>
      <c r="E387" s="18"/>
      <c r="F387" s="18"/>
    </row>
    <row r="388" customFormat="false" ht="15" hidden="false" customHeight="false" outlineLevel="0" collapsed="false">
      <c r="A388" s="25"/>
      <c r="B388" s="18"/>
      <c r="C388" s="18"/>
      <c r="D388" s="18"/>
      <c r="E388" s="18"/>
      <c r="F388" s="18"/>
    </row>
    <row r="389" customFormat="false" ht="15" hidden="false" customHeight="false" outlineLevel="0" collapsed="false">
      <c r="A389" s="25"/>
      <c r="B389" s="18"/>
      <c r="C389" s="18"/>
      <c r="D389" s="18"/>
      <c r="E389" s="18"/>
      <c r="F389" s="18"/>
    </row>
    <row r="390" customFormat="false" ht="15" hidden="false" customHeight="false" outlineLevel="0" collapsed="false">
      <c r="A390" s="25"/>
      <c r="B390" s="18"/>
      <c r="C390" s="18"/>
      <c r="D390" s="18"/>
      <c r="E390" s="18"/>
      <c r="F390" s="18"/>
    </row>
    <row r="391" customFormat="false" ht="15" hidden="false" customHeight="false" outlineLevel="0" collapsed="false">
      <c r="A391" s="25"/>
      <c r="B391" s="18"/>
      <c r="C391" s="18"/>
      <c r="D391" s="18"/>
      <c r="E391" s="18"/>
      <c r="F391" s="18"/>
    </row>
    <row r="392" customFormat="false" ht="15" hidden="false" customHeight="false" outlineLevel="0" collapsed="false">
      <c r="A392" s="25"/>
      <c r="B392" s="18"/>
      <c r="C392" s="18"/>
      <c r="D392" s="18"/>
      <c r="E392" s="18"/>
      <c r="F392" s="18"/>
    </row>
    <row r="393" customFormat="false" ht="15" hidden="false" customHeight="false" outlineLevel="0" collapsed="false">
      <c r="A393" s="25"/>
      <c r="B393" s="18"/>
      <c r="C393" s="18"/>
      <c r="D393" s="18"/>
      <c r="E393" s="18"/>
      <c r="F393" s="18"/>
    </row>
    <row r="394" customFormat="false" ht="15" hidden="false" customHeight="false" outlineLevel="0" collapsed="false">
      <c r="A394" s="25"/>
      <c r="B394" s="18"/>
      <c r="C394" s="18"/>
      <c r="D394" s="18"/>
      <c r="E394" s="18"/>
      <c r="F394" s="18"/>
    </row>
    <row r="395" customFormat="false" ht="15" hidden="false" customHeight="false" outlineLevel="0" collapsed="false">
      <c r="A395" s="25"/>
      <c r="B395" s="18"/>
      <c r="C395" s="18"/>
      <c r="D395" s="18"/>
      <c r="E395" s="18"/>
      <c r="F395" s="18"/>
    </row>
    <row r="396" customFormat="false" ht="15" hidden="false" customHeight="false" outlineLevel="0" collapsed="false">
      <c r="A396" s="25"/>
      <c r="B396" s="18"/>
      <c r="C396" s="18"/>
      <c r="D396" s="18"/>
      <c r="E396" s="18"/>
      <c r="F396" s="18"/>
    </row>
    <row r="397" customFormat="false" ht="15" hidden="false" customHeight="false" outlineLevel="0" collapsed="false">
      <c r="A397" s="25"/>
      <c r="B397" s="18"/>
      <c r="C397" s="18"/>
      <c r="D397" s="18"/>
      <c r="E397" s="18"/>
      <c r="F397" s="18"/>
    </row>
    <row r="398" customFormat="false" ht="15" hidden="false" customHeight="false" outlineLevel="0" collapsed="false">
      <c r="A398" s="25"/>
      <c r="B398" s="18"/>
      <c r="C398" s="18"/>
      <c r="D398" s="18"/>
      <c r="E398" s="18"/>
      <c r="F398" s="18"/>
    </row>
    <row r="399" customFormat="false" ht="15" hidden="false" customHeight="false" outlineLevel="0" collapsed="false">
      <c r="A399" s="25"/>
      <c r="B399" s="18"/>
      <c r="C399" s="18"/>
      <c r="D399" s="18"/>
      <c r="E399" s="18"/>
      <c r="F399" s="18"/>
    </row>
    <row r="400" customFormat="false" ht="15" hidden="false" customHeight="false" outlineLevel="0" collapsed="false">
      <c r="A400" s="25"/>
      <c r="B400" s="18"/>
      <c r="C400" s="18"/>
      <c r="D400" s="18"/>
      <c r="E400" s="18"/>
      <c r="F400" s="18"/>
    </row>
    <row r="401" customFormat="false" ht="15" hidden="false" customHeight="false" outlineLevel="0" collapsed="false">
      <c r="A401" s="25"/>
      <c r="B401" s="18"/>
      <c r="C401" s="18"/>
      <c r="D401" s="18"/>
      <c r="E401" s="18"/>
      <c r="F401" s="18"/>
    </row>
    <row r="402" customFormat="false" ht="15" hidden="false" customHeight="false" outlineLevel="0" collapsed="false">
      <c r="A402" s="25"/>
      <c r="B402" s="18"/>
      <c r="C402" s="18"/>
      <c r="D402" s="18"/>
      <c r="E402" s="18"/>
      <c r="F402" s="18"/>
    </row>
    <row r="403" customFormat="false" ht="15" hidden="false" customHeight="false" outlineLevel="0" collapsed="false">
      <c r="A403" s="25"/>
      <c r="B403" s="18"/>
      <c r="C403" s="18"/>
      <c r="D403" s="18"/>
      <c r="E403" s="18"/>
      <c r="F403" s="18"/>
    </row>
    <row r="404" customFormat="false" ht="15" hidden="false" customHeight="false" outlineLevel="0" collapsed="false">
      <c r="A404" s="25"/>
      <c r="B404" s="18"/>
      <c r="C404" s="18"/>
      <c r="D404" s="18"/>
      <c r="E404" s="18"/>
      <c r="F404" s="18"/>
    </row>
    <row r="405" customFormat="false" ht="15" hidden="false" customHeight="false" outlineLevel="0" collapsed="false">
      <c r="A405" s="25"/>
      <c r="B405" s="18"/>
      <c r="C405" s="18"/>
      <c r="D405" s="18"/>
      <c r="E405" s="18"/>
      <c r="F405" s="18"/>
    </row>
    <row r="406" customFormat="false" ht="15" hidden="false" customHeight="false" outlineLevel="0" collapsed="false">
      <c r="A406" s="25"/>
      <c r="B406" s="18"/>
      <c r="C406" s="18"/>
      <c r="D406" s="18"/>
      <c r="E406" s="18"/>
      <c r="F406" s="18"/>
    </row>
    <row r="407" customFormat="false" ht="15" hidden="false" customHeight="false" outlineLevel="0" collapsed="false">
      <c r="A407" s="25"/>
      <c r="B407" s="18"/>
      <c r="C407" s="18"/>
      <c r="D407" s="18"/>
      <c r="E407" s="18"/>
      <c r="F407" s="18"/>
    </row>
    <row r="408" customFormat="false" ht="15" hidden="false" customHeight="false" outlineLevel="0" collapsed="false">
      <c r="A408" s="25"/>
      <c r="B408" s="18"/>
      <c r="C408" s="18"/>
      <c r="D408" s="18"/>
      <c r="E408" s="18"/>
      <c r="F408" s="18"/>
    </row>
    <row r="409" customFormat="false" ht="15" hidden="false" customHeight="false" outlineLevel="0" collapsed="false">
      <c r="A409" s="25"/>
      <c r="B409" s="18"/>
      <c r="C409" s="18"/>
      <c r="D409" s="18"/>
      <c r="E409" s="18"/>
      <c r="F409" s="18"/>
    </row>
    <row r="410" customFormat="false" ht="15" hidden="false" customHeight="false" outlineLevel="0" collapsed="false">
      <c r="A410" s="25"/>
      <c r="B410" s="18"/>
      <c r="C410" s="18"/>
      <c r="D410" s="18"/>
      <c r="E410" s="18"/>
      <c r="F410" s="18"/>
    </row>
    <row r="411" customFormat="false" ht="15" hidden="false" customHeight="false" outlineLevel="0" collapsed="false">
      <c r="A411" s="25"/>
      <c r="B411" s="18"/>
      <c r="C411" s="18"/>
      <c r="D411" s="18"/>
      <c r="E411" s="18"/>
      <c r="F411" s="18"/>
    </row>
    <row r="412" customFormat="false" ht="15" hidden="false" customHeight="false" outlineLevel="0" collapsed="false">
      <c r="A412" s="25"/>
      <c r="B412" s="18"/>
      <c r="C412" s="18"/>
      <c r="D412" s="18"/>
      <c r="E412" s="18"/>
      <c r="F412" s="18"/>
    </row>
    <row r="413" customFormat="false" ht="15" hidden="false" customHeight="false" outlineLevel="0" collapsed="false">
      <c r="A413" s="25"/>
      <c r="B413" s="18"/>
      <c r="C413" s="18"/>
      <c r="D413" s="18"/>
      <c r="E413" s="18"/>
      <c r="F413" s="18"/>
    </row>
    <row r="414" customFormat="false" ht="15" hidden="false" customHeight="false" outlineLevel="0" collapsed="false">
      <c r="A414" s="25"/>
      <c r="B414" s="18"/>
      <c r="C414" s="18"/>
      <c r="D414" s="18"/>
      <c r="E414" s="18"/>
      <c r="F414" s="18"/>
    </row>
    <row r="415" customFormat="false" ht="15" hidden="false" customHeight="false" outlineLevel="0" collapsed="false">
      <c r="A415" s="25"/>
      <c r="B415" s="18"/>
      <c r="C415" s="18"/>
      <c r="D415" s="18"/>
      <c r="E415" s="18"/>
      <c r="F415" s="18"/>
    </row>
    <row r="416" customFormat="false" ht="15" hidden="false" customHeight="false" outlineLevel="0" collapsed="false">
      <c r="A416" s="25"/>
      <c r="B416" s="18"/>
      <c r="C416" s="18"/>
      <c r="D416" s="18"/>
      <c r="E416" s="18"/>
      <c r="F416" s="18"/>
    </row>
    <row r="417" customFormat="false" ht="15" hidden="false" customHeight="false" outlineLevel="0" collapsed="false">
      <c r="A417" s="25"/>
      <c r="B417" s="18"/>
      <c r="C417" s="18"/>
      <c r="D417" s="18"/>
      <c r="E417" s="18"/>
      <c r="F417" s="18"/>
    </row>
    <row r="418" customFormat="false" ht="15" hidden="false" customHeight="false" outlineLevel="0" collapsed="false">
      <c r="A418" s="25"/>
      <c r="B418" s="18"/>
      <c r="C418" s="18"/>
      <c r="D418" s="18"/>
      <c r="E418" s="18"/>
      <c r="F418" s="18"/>
    </row>
    <row r="419" customFormat="false" ht="15" hidden="false" customHeight="false" outlineLevel="0" collapsed="false">
      <c r="A419" s="25"/>
      <c r="B419" s="18"/>
      <c r="C419" s="18"/>
      <c r="D419" s="18"/>
      <c r="E419" s="18"/>
      <c r="F419" s="18"/>
    </row>
    <row r="420" customFormat="false" ht="15" hidden="false" customHeight="false" outlineLevel="0" collapsed="false">
      <c r="A420" s="25"/>
      <c r="B420" s="18"/>
      <c r="C420" s="18"/>
      <c r="D420" s="18"/>
      <c r="E420" s="18"/>
      <c r="F420" s="18"/>
    </row>
    <row r="421" customFormat="false" ht="15" hidden="false" customHeight="false" outlineLevel="0" collapsed="false">
      <c r="A421" s="25"/>
      <c r="B421" s="18"/>
      <c r="C421" s="18"/>
      <c r="D421" s="18"/>
      <c r="E421" s="18"/>
      <c r="F421" s="18"/>
    </row>
    <row r="422" customFormat="false" ht="15" hidden="false" customHeight="false" outlineLevel="0" collapsed="false">
      <c r="A422" s="25"/>
      <c r="B422" s="18"/>
      <c r="C422" s="18"/>
      <c r="D422" s="18"/>
      <c r="E422" s="18"/>
      <c r="F422" s="18"/>
    </row>
    <row r="423" customFormat="false" ht="15" hidden="false" customHeight="false" outlineLevel="0" collapsed="false">
      <c r="A423" s="25"/>
      <c r="B423" s="18"/>
      <c r="C423" s="18"/>
      <c r="D423" s="18"/>
      <c r="E423" s="18"/>
      <c r="F423" s="18"/>
    </row>
    <row r="424" customFormat="false" ht="15" hidden="false" customHeight="false" outlineLevel="0" collapsed="false">
      <c r="A424" s="25"/>
      <c r="B424" s="18"/>
      <c r="C424" s="18"/>
      <c r="D424" s="18"/>
      <c r="E424" s="18"/>
      <c r="F424" s="18"/>
    </row>
    <row r="425" customFormat="false" ht="15" hidden="false" customHeight="false" outlineLevel="0" collapsed="false">
      <c r="A425" s="25"/>
      <c r="B425" s="18"/>
      <c r="C425" s="18"/>
      <c r="D425" s="18"/>
      <c r="E425" s="18"/>
      <c r="F425" s="18"/>
    </row>
    <row r="426" customFormat="false" ht="15" hidden="false" customHeight="false" outlineLevel="0" collapsed="false">
      <c r="A426" s="25"/>
      <c r="B426" s="18"/>
      <c r="C426" s="18"/>
      <c r="D426" s="18"/>
      <c r="E426" s="18"/>
      <c r="F426" s="18"/>
    </row>
    <row r="427" customFormat="false" ht="15" hidden="false" customHeight="false" outlineLevel="0" collapsed="false">
      <c r="A427" s="25"/>
      <c r="B427" s="18"/>
      <c r="C427" s="18"/>
      <c r="D427" s="18"/>
      <c r="E427" s="18"/>
      <c r="F427" s="18"/>
    </row>
    <row r="428" customFormat="false" ht="15" hidden="false" customHeight="false" outlineLevel="0" collapsed="false">
      <c r="A428" s="25"/>
      <c r="B428" s="18"/>
      <c r="C428" s="18"/>
      <c r="D428" s="18"/>
      <c r="E428" s="18"/>
      <c r="F428" s="18"/>
    </row>
    <row r="429" customFormat="false" ht="15" hidden="false" customHeight="false" outlineLevel="0" collapsed="false">
      <c r="A429" s="25"/>
      <c r="B429" s="18"/>
      <c r="C429" s="18"/>
      <c r="D429" s="18"/>
      <c r="E429" s="18"/>
      <c r="F429" s="18"/>
    </row>
    <row r="430" customFormat="false" ht="15" hidden="false" customHeight="false" outlineLevel="0" collapsed="false">
      <c r="A430" s="25"/>
      <c r="B430" s="18"/>
      <c r="C430" s="18"/>
      <c r="D430" s="18"/>
      <c r="E430" s="18"/>
      <c r="F430" s="18"/>
    </row>
    <row r="431" customFormat="false" ht="15" hidden="false" customHeight="false" outlineLevel="0" collapsed="false">
      <c r="A431" s="25"/>
      <c r="B431" s="18"/>
      <c r="C431" s="18"/>
      <c r="D431" s="18"/>
      <c r="E431" s="18"/>
      <c r="F431" s="18"/>
    </row>
    <row r="432" customFormat="false" ht="15" hidden="false" customHeight="false" outlineLevel="0" collapsed="false">
      <c r="A432" s="25"/>
      <c r="B432" s="18"/>
      <c r="C432" s="18"/>
      <c r="D432" s="18"/>
      <c r="E432" s="18"/>
      <c r="F432" s="18"/>
    </row>
    <row r="433" customFormat="false" ht="15" hidden="false" customHeight="false" outlineLevel="0" collapsed="false">
      <c r="A433" s="25"/>
      <c r="B433" s="18"/>
      <c r="C433" s="18"/>
      <c r="D433" s="18"/>
      <c r="E433" s="18"/>
      <c r="F433" s="18"/>
    </row>
    <row r="434" customFormat="false" ht="15" hidden="false" customHeight="false" outlineLevel="0" collapsed="false">
      <c r="A434" s="25"/>
      <c r="B434" s="18"/>
      <c r="C434" s="18"/>
      <c r="D434" s="18"/>
      <c r="E434" s="18"/>
      <c r="F434" s="18"/>
    </row>
    <row r="435" customFormat="false" ht="15" hidden="false" customHeight="false" outlineLevel="0" collapsed="false">
      <c r="A435" s="25"/>
      <c r="B435" s="18"/>
      <c r="C435" s="18"/>
      <c r="D435" s="18"/>
      <c r="E435" s="18"/>
      <c r="F435" s="18"/>
    </row>
    <row r="436" customFormat="false" ht="15" hidden="false" customHeight="false" outlineLevel="0" collapsed="false">
      <c r="A436" s="25"/>
      <c r="B436" s="18"/>
      <c r="C436" s="18"/>
      <c r="D436" s="18"/>
      <c r="E436" s="18"/>
      <c r="F436" s="18"/>
    </row>
    <row r="437" customFormat="false" ht="15" hidden="false" customHeight="false" outlineLevel="0" collapsed="false">
      <c r="A437" s="25"/>
      <c r="B437" s="18"/>
      <c r="C437" s="18"/>
      <c r="D437" s="18"/>
      <c r="E437" s="18"/>
      <c r="F437" s="18"/>
    </row>
    <row r="438" customFormat="false" ht="15" hidden="false" customHeight="false" outlineLevel="0" collapsed="false">
      <c r="A438" s="25"/>
      <c r="B438" s="18"/>
      <c r="C438" s="18"/>
      <c r="D438" s="18"/>
      <c r="E438" s="18"/>
      <c r="F438" s="18"/>
    </row>
    <row r="439" customFormat="false" ht="15" hidden="false" customHeight="false" outlineLevel="0" collapsed="false">
      <c r="A439" s="25"/>
      <c r="B439" s="18"/>
      <c r="C439" s="18"/>
      <c r="D439" s="18"/>
      <c r="E439" s="18"/>
      <c r="F439" s="18"/>
    </row>
    <row r="440" customFormat="false" ht="15" hidden="false" customHeight="false" outlineLevel="0" collapsed="false">
      <c r="A440" s="25"/>
      <c r="B440" s="18"/>
      <c r="C440" s="18"/>
      <c r="D440" s="18"/>
      <c r="E440" s="18"/>
      <c r="F440" s="18"/>
    </row>
    <row r="441" customFormat="false" ht="15" hidden="false" customHeight="false" outlineLevel="0" collapsed="false">
      <c r="A441" s="25"/>
      <c r="B441" s="18"/>
      <c r="C441" s="18"/>
      <c r="D441" s="18"/>
      <c r="E441" s="18"/>
      <c r="F441" s="18"/>
    </row>
    <row r="442" customFormat="false" ht="15" hidden="false" customHeight="false" outlineLevel="0" collapsed="false">
      <c r="A442" s="25"/>
      <c r="B442" s="18"/>
      <c r="C442" s="18"/>
      <c r="D442" s="18"/>
      <c r="E442" s="18"/>
      <c r="F442" s="18"/>
    </row>
    <row r="443" customFormat="false" ht="15" hidden="false" customHeight="false" outlineLevel="0" collapsed="false">
      <c r="A443" s="25"/>
      <c r="B443" s="18"/>
      <c r="C443" s="18"/>
      <c r="D443" s="18"/>
      <c r="E443" s="18"/>
      <c r="F443" s="18"/>
    </row>
    <row r="444" customFormat="false" ht="15" hidden="false" customHeight="false" outlineLevel="0" collapsed="false">
      <c r="A444" s="25"/>
      <c r="B444" s="18"/>
      <c r="C444" s="18"/>
      <c r="D444" s="18"/>
      <c r="E444" s="18"/>
      <c r="F444" s="18"/>
    </row>
    <row r="445" customFormat="false" ht="15" hidden="false" customHeight="false" outlineLevel="0" collapsed="false">
      <c r="A445" s="25"/>
      <c r="B445" s="18"/>
      <c r="C445" s="18"/>
      <c r="D445" s="18"/>
      <c r="E445" s="18"/>
      <c r="F445" s="18"/>
    </row>
    <row r="446" customFormat="false" ht="15" hidden="false" customHeight="false" outlineLevel="0" collapsed="false">
      <c r="A446" s="25"/>
      <c r="B446" s="18"/>
      <c r="C446" s="18"/>
      <c r="D446" s="18"/>
      <c r="E446" s="18"/>
      <c r="F446" s="18"/>
    </row>
    <row r="447" customFormat="false" ht="15" hidden="false" customHeight="false" outlineLevel="0" collapsed="false">
      <c r="A447" s="25"/>
      <c r="B447" s="18"/>
      <c r="C447" s="18"/>
      <c r="D447" s="18"/>
      <c r="E447" s="18"/>
      <c r="F447" s="18"/>
    </row>
    <row r="448" customFormat="false" ht="15" hidden="false" customHeight="false" outlineLevel="0" collapsed="false">
      <c r="A448" s="25"/>
      <c r="B448" s="18"/>
      <c r="C448" s="18"/>
      <c r="D448" s="18"/>
      <c r="E448" s="18"/>
      <c r="F448" s="18"/>
    </row>
    <row r="449" customFormat="false" ht="15" hidden="false" customHeight="false" outlineLevel="0" collapsed="false">
      <c r="A449" s="25"/>
      <c r="B449" s="18"/>
      <c r="C449" s="18"/>
      <c r="D449" s="18"/>
      <c r="E449" s="18"/>
      <c r="F449" s="18"/>
    </row>
    <row r="450" customFormat="false" ht="15" hidden="false" customHeight="false" outlineLevel="0" collapsed="false">
      <c r="A450" s="25"/>
      <c r="B450" s="18"/>
      <c r="C450" s="18"/>
      <c r="D450" s="18"/>
      <c r="E450" s="18"/>
      <c r="F450" s="18"/>
    </row>
    <row r="451" customFormat="false" ht="15" hidden="false" customHeight="false" outlineLevel="0" collapsed="false">
      <c r="A451" s="25"/>
      <c r="B451" s="18"/>
      <c r="C451" s="18"/>
      <c r="D451" s="18"/>
      <c r="E451" s="18"/>
      <c r="F451" s="18"/>
    </row>
    <row r="452" customFormat="false" ht="15" hidden="false" customHeight="false" outlineLevel="0" collapsed="false">
      <c r="A452" s="25"/>
      <c r="B452" s="18"/>
      <c r="C452" s="18"/>
      <c r="D452" s="18"/>
      <c r="E452" s="18"/>
      <c r="F452" s="18"/>
    </row>
    <row r="453" customFormat="false" ht="15" hidden="false" customHeight="false" outlineLevel="0" collapsed="false">
      <c r="A453" s="25"/>
      <c r="B453" s="18"/>
      <c r="C453" s="18"/>
      <c r="D453" s="18"/>
      <c r="E453" s="18"/>
      <c r="F453" s="18"/>
    </row>
    <row r="454" customFormat="false" ht="15" hidden="false" customHeight="false" outlineLevel="0" collapsed="false">
      <c r="A454" s="25"/>
      <c r="B454" s="18"/>
      <c r="C454" s="18"/>
      <c r="D454" s="18"/>
      <c r="E454" s="18"/>
      <c r="F454" s="18"/>
    </row>
    <row r="455" customFormat="false" ht="15" hidden="false" customHeight="false" outlineLevel="0" collapsed="false">
      <c r="A455" s="25"/>
      <c r="B455" s="18"/>
      <c r="C455" s="18"/>
      <c r="D455" s="18"/>
      <c r="E455" s="18"/>
      <c r="F455" s="18"/>
    </row>
    <row r="456" customFormat="false" ht="15" hidden="false" customHeight="false" outlineLevel="0" collapsed="false">
      <c r="A456" s="25"/>
      <c r="B456" s="18"/>
      <c r="C456" s="18"/>
      <c r="D456" s="18"/>
      <c r="E456" s="18"/>
      <c r="F456" s="18"/>
    </row>
    <row r="457" customFormat="false" ht="15" hidden="false" customHeight="false" outlineLevel="0" collapsed="false">
      <c r="A457" s="25"/>
      <c r="B457" s="18"/>
      <c r="C457" s="18"/>
      <c r="D457" s="18"/>
      <c r="E457" s="18"/>
      <c r="F457" s="18"/>
    </row>
    <row r="458" customFormat="false" ht="15" hidden="false" customHeight="false" outlineLevel="0" collapsed="false">
      <c r="A458" s="25"/>
      <c r="B458" s="18"/>
      <c r="C458" s="18"/>
      <c r="D458" s="18"/>
      <c r="E458" s="18"/>
      <c r="F458" s="18"/>
    </row>
    <row r="459" customFormat="false" ht="15" hidden="false" customHeight="false" outlineLevel="0" collapsed="false">
      <c r="A459" s="25"/>
      <c r="B459" s="18"/>
      <c r="C459" s="18"/>
      <c r="D459" s="18"/>
      <c r="E459" s="18"/>
      <c r="F459" s="18"/>
    </row>
    <row r="460" customFormat="false" ht="15" hidden="false" customHeight="false" outlineLevel="0" collapsed="false">
      <c r="A460" s="25"/>
      <c r="B460" s="18"/>
      <c r="C460" s="18"/>
      <c r="D460" s="18"/>
      <c r="E460" s="18"/>
      <c r="F460" s="18"/>
    </row>
    <row r="461" customFormat="false" ht="15" hidden="false" customHeight="false" outlineLevel="0" collapsed="false">
      <c r="A461" s="25"/>
      <c r="B461" s="18"/>
      <c r="C461" s="18"/>
      <c r="D461" s="18"/>
      <c r="E461" s="18"/>
      <c r="F461" s="18"/>
    </row>
    <row r="462" customFormat="false" ht="15" hidden="false" customHeight="false" outlineLevel="0" collapsed="false">
      <c r="A462" s="25"/>
      <c r="B462" s="18"/>
      <c r="C462" s="18"/>
      <c r="D462" s="18"/>
      <c r="E462" s="18"/>
      <c r="F462" s="18"/>
    </row>
    <row r="463" customFormat="false" ht="15" hidden="false" customHeight="false" outlineLevel="0" collapsed="false">
      <c r="A463" s="25"/>
      <c r="B463" s="18"/>
      <c r="C463" s="18"/>
      <c r="D463" s="18"/>
      <c r="E463" s="18"/>
      <c r="F463" s="18"/>
    </row>
    <row r="464" customFormat="false" ht="15" hidden="false" customHeight="false" outlineLevel="0" collapsed="false">
      <c r="A464" s="25"/>
      <c r="B464" s="18"/>
      <c r="C464" s="18"/>
      <c r="D464" s="18"/>
      <c r="E464" s="18"/>
      <c r="F464" s="18"/>
    </row>
    <row r="465" customFormat="false" ht="15" hidden="false" customHeight="false" outlineLevel="0" collapsed="false">
      <c r="A465" s="25"/>
      <c r="B465" s="18"/>
      <c r="C465" s="18"/>
      <c r="D465" s="18"/>
      <c r="E465" s="18"/>
      <c r="F465" s="18"/>
    </row>
    <row r="466" customFormat="false" ht="15" hidden="false" customHeight="false" outlineLevel="0" collapsed="false">
      <c r="A466" s="25"/>
      <c r="B466" s="18"/>
      <c r="C466" s="18"/>
      <c r="D466" s="18"/>
      <c r="E466" s="18"/>
      <c r="F466" s="18"/>
    </row>
    <row r="467" customFormat="false" ht="15" hidden="false" customHeight="false" outlineLevel="0" collapsed="false">
      <c r="A467" s="25"/>
      <c r="B467" s="18"/>
      <c r="C467" s="18"/>
      <c r="D467" s="18"/>
      <c r="E467" s="18"/>
      <c r="F467" s="18"/>
    </row>
    <row r="468" customFormat="false" ht="15" hidden="false" customHeight="false" outlineLevel="0" collapsed="false">
      <c r="A468" s="25"/>
      <c r="B468" s="18"/>
      <c r="C468" s="18"/>
      <c r="D468" s="18"/>
      <c r="E468" s="18"/>
      <c r="F468" s="18"/>
    </row>
    <row r="469" customFormat="false" ht="15" hidden="false" customHeight="false" outlineLevel="0" collapsed="false">
      <c r="A469" s="25"/>
      <c r="B469" s="18"/>
      <c r="C469" s="18"/>
      <c r="D469" s="18"/>
      <c r="E469" s="18"/>
      <c r="F469" s="18"/>
    </row>
    <row r="470" customFormat="false" ht="15" hidden="false" customHeight="false" outlineLevel="0" collapsed="false">
      <c r="A470" s="25"/>
      <c r="B470" s="18"/>
      <c r="C470" s="18"/>
      <c r="D470" s="18"/>
      <c r="E470" s="18"/>
      <c r="F470" s="18"/>
    </row>
    <row r="471" customFormat="false" ht="15" hidden="false" customHeight="false" outlineLevel="0" collapsed="false">
      <c r="A471" s="25"/>
      <c r="B471" s="18"/>
      <c r="C471" s="18"/>
      <c r="D471" s="18"/>
      <c r="E471" s="18"/>
      <c r="F471" s="18"/>
    </row>
    <row r="472" customFormat="false" ht="15" hidden="false" customHeight="false" outlineLevel="0" collapsed="false">
      <c r="A472" s="25"/>
      <c r="B472" s="18"/>
      <c r="C472" s="18"/>
      <c r="D472" s="18"/>
      <c r="E472" s="18"/>
      <c r="F472" s="18"/>
    </row>
    <row r="473" customFormat="false" ht="15" hidden="false" customHeight="false" outlineLevel="0" collapsed="false">
      <c r="A473" s="25"/>
      <c r="B473" s="18"/>
      <c r="C473" s="18"/>
      <c r="D473" s="18"/>
      <c r="E473" s="18"/>
      <c r="F473" s="18"/>
    </row>
    <row r="474" customFormat="false" ht="15" hidden="false" customHeight="false" outlineLevel="0" collapsed="false">
      <c r="A474" s="25"/>
      <c r="B474" s="18"/>
      <c r="C474" s="18"/>
      <c r="D474" s="18"/>
      <c r="E474" s="18"/>
      <c r="F474" s="18"/>
    </row>
    <row r="475" customFormat="false" ht="15" hidden="false" customHeight="false" outlineLevel="0" collapsed="false">
      <c r="A475" s="25"/>
      <c r="B475" s="18"/>
      <c r="C475" s="18"/>
      <c r="D475" s="18"/>
      <c r="E475" s="18"/>
      <c r="F475" s="18"/>
    </row>
    <row r="476" customFormat="false" ht="15" hidden="false" customHeight="false" outlineLevel="0" collapsed="false">
      <c r="A476" s="25"/>
      <c r="B476" s="18"/>
      <c r="C476" s="18"/>
      <c r="D476" s="18"/>
      <c r="E476" s="18"/>
      <c r="F476" s="18"/>
    </row>
    <row r="477" customFormat="false" ht="15" hidden="false" customHeight="false" outlineLevel="0" collapsed="false">
      <c r="A477" s="25"/>
      <c r="B477" s="18"/>
      <c r="C477" s="18"/>
      <c r="D477" s="18"/>
      <c r="E477" s="18"/>
      <c r="F477" s="18"/>
    </row>
    <row r="478" customFormat="false" ht="15" hidden="false" customHeight="false" outlineLevel="0" collapsed="false">
      <c r="A478" s="25"/>
      <c r="B478" s="18"/>
      <c r="C478" s="18"/>
      <c r="D478" s="18"/>
      <c r="E478" s="18"/>
      <c r="F478" s="18"/>
    </row>
    <row r="479" customFormat="false" ht="15" hidden="false" customHeight="false" outlineLevel="0" collapsed="false">
      <c r="A479" s="25"/>
      <c r="B479" s="18"/>
      <c r="C479" s="18"/>
      <c r="D479" s="18"/>
      <c r="E479" s="18"/>
      <c r="F479" s="18"/>
    </row>
    <row r="480" customFormat="false" ht="15" hidden="false" customHeight="false" outlineLevel="0" collapsed="false">
      <c r="A480" s="25"/>
      <c r="B480" s="18"/>
      <c r="C480" s="18"/>
      <c r="D480" s="18"/>
      <c r="E480" s="18"/>
      <c r="F480" s="18"/>
    </row>
    <row r="481" customFormat="false" ht="15" hidden="false" customHeight="false" outlineLevel="0" collapsed="false">
      <c r="A481" s="25"/>
      <c r="B481" s="18"/>
      <c r="C481" s="18"/>
      <c r="D481" s="18"/>
      <c r="E481" s="18"/>
      <c r="F481" s="18"/>
    </row>
    <row r="482" customFormat="false" ht="15" hidden="false" customHeight="false" outlineLevel="0" collapsed="false">
      <c r="A482" s="25"/>
      <c r="B482" s="18"/>
      <c r="C482" s="18"/>
      <c r="D482" s="18"/>
      <c r="E482" s="18"/>
      <c r="F482" s="18"/>
    </row>
    <row r="483" customFormat="false" ht="15" hidden="false" customHeight="false" outlineLevel="0" collapsed="false">
      <c r="A483" s="25"/>
      <c r="B483" s="18"/>
      <c r="C483" s="18"/>
      <c r="D483" s="18"/>
      <c r="E483" s="18"/>
      <c r="F483" s="18"/>
    </row>
    <row r="484" customFormat="false" ht="15" hidden="false" customHeight="false" outlineLevel="0" collapsed="false">
      <c r="A484" s="25"/>
      <c r="B484" s="18"/>
      <c r="C484" s="18"/>
      <c r="D484" s="18"/>
      <c r="E484" s="18"/>
      <c r="F484" s="18"/>
    </row>
    <row r="485" customFormat="false" ht="15" hidden="false" customHeight="false" outlineLevel="0" collapsed="false">
      <c r="A485" s="25"/>
      <c r="B485" s="18"/>
      <c r="C485" s="18"/>
      <c r="D485" s="18"/>
      <c r="E485" s="18"/>
      <c r="F485" s="18"/>
    </row>
    <row r="486" customFormat="false" ht="15" hidden="false" customHeight="false" outlineLevel="0" collapsed="false">
      <c r="A486" s="25"/>
      <c r="B486" s="18"/>
      <c r="C486" s="18"/>
      <c r="D486" s="18"/>
      <c r="E486" s="18"/>
      <c r="F486" s="18"/>
    </row>
    <row r="487" customFormat="false" ht="15" hidden="false" customHeight="false" outlineLevel="0" collapsed="false">
      <c r="A487" s="25"/>
      <c r="B487" s="18"/>
      <c r="C487" s="18"/>
      <c r="D487" s="18"/>
      <c r="E487" s="18"/>
      <c r="F487" s="18"/>
    </row>
    <row r="488" customFormat="false" ht="15" hidden="false" customHeight="false" outlineLevel="0" collapsed="false">
      <c r="A488" s="25"/>
      <c r="B488" s="18"/>
      <c r="C488" s="18"/>
      <c r="D488" s="18"/>
      <c r="E488" s="18"/>
      <c r="F488" s="18"/>
    </row>
    <row r="489" customFormat="false" ht="15" hidden="false" customHeight="false" outlineLevel="0" collapsed="false">
      <c r="A489" s="25"/>
      <c r="B489" s="18"/>
      <c r="C489" s="18"/>
      <c r="D489" s="18"/>
      <c r="E489" s="18"/>
      <c r="F489" s="18"/>
    </row>
    <row r="490" customFormat="false" ht="15" hidden="false" customHeight="false" outlineLevel="0" collapsed="false">
      <c r="A490" s="25"/>
      <c r="B490" s="18"/>
      <c r="C490" s="18"/>
      <c r="D490" s="18"/>
      <c r="E490" s="18"/>
      <c r="F490" s="18"/>
    </row>
    <row r="491" customFormat="false" ht="15" hidden="false" customHeight="false" outlineLevel="0" collapsed="false">
      <c r="A491" s="25"/>
      <c r="B491" s="18"/>
      <c r="C491" s="18"/>
      <c r="D491" s="18"/>
      <c r="E491" s="18"/>
      <c r="F491" s="18"/>
    </row>
    <row r="492" customFormat="false" ht="15" hidden="false" customHeight="false" outlineLevel="0" collapsed="false">
      <c r="A492" s="25"/>
      <c r="B492" s="18"/>
      <c r="C492" s="18"/>
      <c r="D492" s="18"/>
      <c r="E492" s="18"/>
      <c r="F492" s="18"/>
    </row>
    <row r="493" customFormat="false" ht="15" hidden="false" customHeight="false" outlineLevel="0" collapsed="false">
      <c r="A493" s="25"/>
      <c r="B493" s="18"/>
      <c r="C493" s="18"/>
      <c r="D493" s="18"/>
      <c r="E493" s="18"/>
      <c r="F493" s="18"/>
    </row>
    <row r="494" customFormat="false" ht="15" hidden="false" customHeight="false" outlineLevel="0" collapsed="false">
      <c r="A494" s="25"/>
      <c r="B494" s="18"/>
      <c r="C494" s="18"/>
      <c r="D494" s="18"/>
      <c r="E494" s="18"/>
      <c r="F494" s="18"/>
    </row>
    <row r="495" customFormat="false" ht="15" hidden="false" customHeight="false" outlineLevel="0" collapsed="false">
      <c r="A495" s="25"/>
      <c r="B495" s="18"/>
      <c r="C495" s="18"/>
      <c r="D495" s="18"/>
      <c r="E495" s="18"/>
      <c r="F495" s="18"/>
    </row>
    <row r="496" customFormat="false" ht="15" hidden="false" customHeight="false" outlineLevel="0" collapsed="false">
      <c r="A496" s="25"/>
      <c r="B496" s="18"/>
      <c r="C496" s="18"/>
      <c r="D496" s="18"/>
      <c r="E496" s="18"/>
      <c r="F496" s="18"/>
    </row>
    <row r="497" customFormat="false" ht="15" hidden="false" customHeight="false" outlineLevel="0" collapsed="false">
      <c r="A497" s="25"/>
      <c r="B497" s="18"/>
      <c r="C497" s="18"/>
      <c r="D497" s="18"/>
      <c r="E497" s="18"/>
      <c r="F497" s="18"/>
    </row>
    <row r="498" customFormat="false" ht="15" hidden="false" customHeight="false" outlineLevel="0" collapsed="false">
      <c r="A498" s="25"/>
      <c r="B498" s="18"/>
      <c r="C498" s="18"/>
      <c r="D498" s="18"/>
      <c r="E498" s="18"/>
      <c r="F498" s="18"/>
    </row>
    <row r="499" customFormat="false" ht="15" hidden="false" customHeight="false" outlineLevel="0" collapsed="false">
      <c r="A499" s="25"/>
      <c r="B499" s="18"/>
      <c r="C499" s="18"/>
      <c r="D499" s="18"/>
      <c r="E499" s="18"/>
      <c r="F499" s="18"/>
    </row>
    <row r="500" customFormat="false" ht="15" hidden="false" customHeight="false" outlineLevel="0" collapsed="false">
      <c r="A500" s="25"/>
      <c r="B500" s="18"/>
      <c r="C500" s="18"/>
      <c r="D500" s="18"/>
      <c r="E500" s="18"/>
      <c r="F500" s="18"/>
    </row>
    <row r="501" customFormat="false" ht="15" hidden="false" customHeight="false" outlineLevel="0" collapsed="false">
      <c r="A501" s="25"/>
      <c r="B501" s="18"/>
      <c r="C501" s="18"/>
      <c r="D501" s="18"/>
      <c r="E501" s="18"/>
      <c r="F501" s="18"/>
    </row>
    <row r="502" customFormat="false" ht="15" hidden="false" customHeight="false" outlineLevel="0" collapsed="false">
      <c r="A502" s="25"/>
      <c r="B502" s="18"/>
      <c r="C502" s="18"/>
      <c r="D502" s="18"/>
      <c r="E502" s="18"/>
      <c r="F502" s="18"/>
    </row>
    <row r="503" customFormat="false" ht="15" hidden="false" customHeight="false" outlineLevel="0" collapsed="false">
      <c r="A503" s="25"/>
      <c r="B503" s="18"/>
      <c r="C503" s="18"/>
      <c r="D503" s="18"/>
      <c r="E503" s="18"/>
      <c r="F503" s="18"/>
    </row>
    <row r="504" customFormat="false" ht="15" hidden="false" customHeight="false" outlineLevel="0" collapsed="false">
      <c r="A504" s="25"/>
      <c r="B504" s="18"/>
      <c r="C504" s="18"/>
      <c r="D504" s="18"/>
      <c r="E504" s="18"/>
      <c r="F504" s="18"/>
    </row>
    <row r="505" customFormat="false" ht="15" hidden="false" customHeight="false" outlineLevel="0" collapsed="false">
      <c r="A505" s="25"/>
      <c r="B505" s="18"/>
      <c r="C505" s="18"/>
      <c r="D505" s="18"/>
      <c r="E505" s="18"/>
      <c r="F505" s="18"/>
    </row>
    <row r="506" customFormat="false" ht="15" hidden="false" customHeight="false" outlineLevel="0" collapsed="false">
      <c r="A506" s="25"/>
      <c r="B506" s="18"/>
      <c r="C506" s="18"/>
      <c r="D506" s="18"/>
      <c r="E506" s="18"/>
      <c r="F506" s="18"/>
    </row>
    <row r="507" customFormat="false" ht="15" hidden="false" customHeight="false" outlineLevel="0" collapsed="false">
      <c r="A507" s="25"/>
      <c r="B507" s="18"/>
      <c r="C507" s="18"/>
      <c r="D507" s="18"/>
      <c r="E507" s="18"/>
      <c r="F507" s="18"/>
    </row>
    <row r="508" customFormat="false" ht="15" hidden="false" customHeight="false" outlineLevel="0" collapsed="false">
      <c r="A508" s="25"/>
      <c r="B508" s="18"/>
      <c r="C508" s="18"/>
      <c r="D508" s="18"/>
      <c r="E508" s="18"/>
      <c r="F508" s="18"/>
    </row>
    <row r="509" customFormat="false" ht="15" hidden="false" customHeight="false" outlineLevel="0" collapsed="false">
      <c r="A509" s="25"/>
      <c r="B509" s="18"/>
      <c r="C509" s="18"/>
      <c r="D509" s="18"/>
      <c r="E509" s="18"/>
      <c r="F509" s="18"/>
    </row>
    <row r="510" customFormat="false" ht="15" hidden="false" customHeight="false" outlineLevel="0" collapsed="false">
      <c r="A510" s="25"/>
      <c r="B510" s="18"/>
      <c r="C510" s="18"/>
      <c r="D510" s="18"/>
      <c r="E510" s="18"/>
      <c r="F510" s="18"/>
    </row>
    <row r="511" customFormat="false" ht="15" hidden="false" customHeight="false" outlineLevel="0" collapsed="false">
      <c r="A511" s="25"/>
      <c r="B511" s="18"/>
      <c r="C511" s="18"/>
      <c r="D511" s="18"/>
      <c r="E511" s="18"/>
      <c r="F511" s="18"/>
    </row>
    <row r="512" customFormat="false" ht="15" hidden="false" customHeight="false" outlineLevel="0" collapsed="false">
      <c r="A512" s="25"/>
      <c r="B512" s="18"/>
      <c r="C512" s="18"/>
      <c r="D512" s="18"/>
      <c r="E512" s="18"/>
      <c r="F512" s="18"/>
    </row>
    <row r="513" customFormat="false" ht="15" hidden="false" customHeight="false" outlineLevel="0" collapsed="false">
      <c r="A513" s="25"/>
      <c r="B513" s="18"/>
      <c r="C513" s="18"/>
      <c r="D513" s="18"/>
      <c r="E513" s="18"/>
      <c r="F513" s="18"/>
    </row>
    <row r="514" customFormat="false" ht="15" hidden="false" customHeight="false" outlineLevel="0" collapsed="false">
      <c r="A514" s="25"/>
      <c r="B514" s="18"/>
      <c r="C514" s="18"/>
      <c r="D514" s="18"/>
      <c r="E514" s="18"/>
      <c r="F514" s="18"/>
    </row>
    <row r="515" customFormat="false" ht="15" hidden="false" customHeight="false" outlineLevel="0" collapsed="false">
      <c r="A515" s="25"/>
      <c r="B515" s="18"/>
      <c r="C515" s="18"/>
      <c r="D515" s="18"/>
      <c r="E515" s="18"/>
      <c r="F515" s="18"/>
    </row>
    <row r="516" customFormat="false" ht="15" hidden="false" customHeight="false" outlineLevel="0" collapsed="false">
      <c r="A516" s="25"/>
      <c r="B516" s="18"/>
      <c r="C516" s="18"/>
      <c r="D516" s="18"/>
      <c r="E516" s="18"/>
      <c r="F516" s="18"/>
    </row>
    <row r="517" customFormat="false" ht="15" hidden="false" customHeight="false" outlineLevel="0" collapsed="false">
      <c r="A517" s="25"/>
      <c r="B517" s="18"/>
      <c r="C517" s="18"/>
      <c r="D517" s="18"/>
      <c r="E517" s="18"/>
      <c r="F517" s="18"/>
    </row>
    <row r="518" customFormat="false" ht="15" hidden="false" customHeight="false" outlineLevel="0" collapsed="false">
      <c r="A518" s="25"/>
      <c r="B518" s="18"/>
      <c r="C518" s="18"/>
      <c r="D518" s="18"/>
      <c r="E518" s="18"/>
      <c r="F518" s="18"/>
    </row>
    <row r="519" customFormat="false" ht="15" hidden="false" customHeight="false" outlineLevel="0" collapsed="false">
      <c r="A519" s="25"/>
      <c r="B519" s="18"/>
      <c r="C519" s="18"/>
      <c r="D519" s="18"/>
      <c r="E519" s="18"/>
      <c r="F519" s="18"/>
    </row>
    <row r="520" customFormat="false" ht="15" hidden="false" customHeight="false" outlineLevel="0" collapsed="false">
      <c r="A520" s="25"/>
      <c r="B520" s="18"/>
      <c r="C520" s="18"/>
      <c r="D520" s="18"/>
      <c r="E520" s="18"/>
      <c r="F520" s="18"/>
    </row>
    <row r="521" customFormat="false" ht="15" hidden="false" customHeight="false" outlineLevel="0" collapsed="false">
      <c r="A521" s="25"/>
      <c r="B521" s="18"/>
      <c r="C521" s="18"/>
      <c r="D521" s="18"/>
      <c r="E521" s="18"/>
      <c r="F521" s="18"/>
    </row>
    <row r="522" customFormat="false" ht="15" hidden="false" customHeight="false" outlineLevel="0" collapsed="false">
      <c r="A522" s="25"/>
      <c r="B522" s="18"/>
      <c r="C522" s="18"/>
      <c r="D522" s="18"/>
      <c r="E522" s="18"/>
      <c r="F522" s="18"/>
    </row>
    <row r="523" customFormat="false" ht="15" hidden="false" customHeight="false" outlineLevel="0" collapsed="false">
      <c r="A523" s="25"/>
      <c r="B523" s="18"/>
      <c r="C523" s="18"/>
      <c r="D523" s="18"/>
      <c r="E523" s="18"/>
      <c r="F523" s="18"/>
    </row>
    <row r="524" customFormat="false" ht="15" hidden="false" customHeight="false" outlineLevel="0" collapsed="false">
      <c r="A524" s="25"/>
      <c r="B524" s="18"/>
      <c r="C524" s="18"/>
      <c r="D524" s="18"/>
      <c r="E524" s="18"/>
      <c r="F524" s="18"/>
    </row>
    <row r="525" customFormat="false" ht="15" hidden="false" customHeight="false" outlineLevel="0" collapsed="false">
      <c r="A525" s="25"/>
      <c r="B525" s="18"/>
      <c r="C525" s="18"/>
      <c r="D525" s="18"/>
      <c r="E525" s="18"/>
      <c r="F525" s="18"/>
    </row>
    <row r="526" customFormat="false" ht="15" hidden="false" customHeight="false" outlineLevel="0" collapsed="false">
      <c r="A526" s="25"/>
      <c r="B526" s="18"/>
      <c r="C526" s="18"/>
      <c r="D526" s="18"/>
      <c r="E526" s="18"/>
      <c r="F526" s="18"/>
    </row>
    <row r="527" customFormat="false" ht="15" hidden="false" customHeight="false" outlineLevel="0" collapsed="false">
      <c r="A527" s="25"/>
      <c r="B527" s="18"/>
      <c r="C527" s="18"/>
      <c r="D527" s="18"/>
      <c r="E527" s="18"/>
      <c r="F527" s="18"/>
    </row>
    <row r="528" customFormat="false" ht="15" hidden="false" customHeight="false" outlineLevel="0" collapsed="false">
      <c r="A528" s="25"/>
      <c r="B528" s="18"/>
      <c r="C528" s="18"/>
      <c r="D528" s="18"/>
      <c r="E528" s="18"/>
      <c r="F528" s="18"/>
    </row>
    <row r="529" customFormat="false" ht="15" hidden="false" customHeight="false" outlineLevel="0" collapsed="false">
      <c r="A529" s="25"/>
      <c r="B529" s="18"/>
      <c r="C529" s="18"/>
      <c r="D529" s="18"/>
      <c r="E529" s="18"/>
      <c r="F529" s="18"/>
    </row>
    <row r="530" customFormat="false" ht="15" hidden="false" customHeight="false" outlineLevel="0" collapsed="false">
      <c r="A530" s="25"/>
      <c r="B530" s="18"/>
      <c r="C530" s="18"/>
      <c r="D530" s="18"/>
      <c r="E530" s="18"/>
      <c r="F530" s="18"/>
    </row>
    <row r="531" customFormat="false" ht="15" hidden="false" customHeight="false" outlineLevel="0" collapsed="false">
      <c r="A531" s="25"/>
      <c r="B531" s="18"/>
      <c r="C531" s="18"/>
      <c r="D531" s="18"/>
      <c r="E531" s="18"/>
      <c r="F531" s="18"/>
    </row>
    <row r="532" customFormat="false" ht="15" hidden="false" customHeight="false" outlineLevel="0" collapsed="false">
      <c r="A532" s="25"/>
      <c r="B532" s="18"/>
      <c r="C532" s="18"/>
      <c r="D532" s="18"/>
      <c r="E532" s="18"/>
      <c r="F532" s="18"/>
    </row>
    <row r="533" customFormat="false" ht="15" hidden="false" customHeight="false" outlineLevel="0" collapsed="false">
      <c r="A533" s="25"/>
      <c r="B533" s="18"/>
      <c r="C533" s="18"/>
      <c r="D533" s="18"/>
      <c r="E533" s="18"/>
      <c r="F533" s="18"/>
    </row>
    <row r="534" customFormat="false" ht="15" hidden="false" customHeight="false" outlineLevel="0" collapsed="false">
      <c r="A534" s="25"/>
      <c r="B534" s="18"/>
      <c r="C534" s="18"/>
      <c r="D534" s="18"/>
      <c r="E534" s="18"/>
      <c r="F534" s="18"/>
    </row>
    <row r="535" customFormat="false" ht="15" hidden="false" customHeight="false" outlineLevel="0" collapsed="false">
      <c r="A535" s="25"/>
      <c r="B535" s="18"/>
      <c r="C535" s="18"/>
      <c r="D535" s="18"/>
      <c r="E535" s="18"/>
      <c r="F535" s="18"/>
    </row>
    <row r="536" customFormat="false" ht="15" hidden="false" customHeight="false" outlineLevel="0" collapsed="false">
      <c r="A536" s="25"/>
      <c r="B536" s="18"/>
      <c r="C536" s="18"/>
      <c r="D536" s="18"/>
      <c r="E536" s="18"/>
      <c r="F536" s="18"/>
    </row>
    <row r="537" customFormat="false" ht="15" hidden="false" customHeight="false" outlineLevel="0" collapsed="false">
      <c r="A537" s="25"/>
      <c r="B537" s="18"/>
      <c r="C537" s="18"/>
      <c r="D537" s="18"/>
      <c r="E537" s="18"/>
      <c r="F537" s="18"/>
    </row>
    <row r="538" customFormat="false" ht="15" hidden="false" customHeight="false" outlineLevel="0" collapsed="false">
      <c r="A538" s="25"/>
      <c r="B538" s="18"/>
      <c r="C538" s="18"/>
      <c r="D538" s="18"/>
      <c r="E538" s="18"/>
      <c r="F538" s="18"/>
    </row>
    <row r="539" customFormat="false" ht="15" hidden="false" customHeight="false" outlineLevel="0" collapsed="false">
      <c r="A539" s="25"/>
      <c r="B539" s="18"/>
      <c r="C539" s="18"/>
      <c r="D539" s="18"/>
      <c r="E539" s="18"/>
      <c r="F539" s="18"/>
    </row>
    <row r="540" customFormat="false" ht="15" hidden="false" customHeight="false" outlineLevel="0" collapsed="false">
      <c r="A540" s="25"/>
      <c r="B540" s="18"/>
      <c r="C540" s="18"/>
      <c r="D540" s="18"/>
      <c r="E540" s="18"/>
      <c r="F540" s="18"/>
    </row>
    <row r="541" customFormat="false" ht="15" hidden="false" customHeight="false" outlineLevel="0" collapsed="false">
      <c r="A541" s="25"/>
      <c r="B541" s="18"/>
      <c r="C541" s="18"/>
      <c r="D541" s="18"/>
      <c r="E541" s="18"/>
      <c r="F541" s="18"/>
    </row>
    <row r="542" customFormat="false" ht="15" hidden="false" customHeight="false" outlineLevel="0" collapsed="false">
      <c r="A542" s="25"/>
      <c r="B542" s="18"/>
      <c r="C542" s="18"/>
      <c r="D542" s="18"/>
      <c r="E542" s="18"/>
      <c r="F542" s="18"/>
    </row>
    <row r="543" customFormat="false" ht="15" hidden="false" customHeight="false" outlineLevel="0" collapsed="false">
      <c r="A543" s="25"/>
      <c r="B543" s="18"/>
      <c r="C543" s="18"/>
      <c r="D543" s="18"/>
      <c r="E543" s="18"/>
      <c r="F543" s="18"/>
    </row>
    <row r="544" customFormat="false" ht="15" hidden="false" customHeight="false" outlineLevel="0" collapsed="false">
      <c r="A544" s="25"/>
      <c r="B544" s="18"/>
      <c r="C544" s="18"/>
      <c r="D544" s="18"/>
      <c r="E544" s="18"/>
      <c r="F544" s="18"/>
    </row>
    <row r="545" customFormat="false" ht="15" hidden="false" customHeight="false" outlineLevel="0" collapsed="false">
      <c r="A545" s="25"/>
      <c r="B545" s="18"/>
      <c r="C545" s="18"/>
      <c r="D545" s="18"/>
      <c r="E545" s="18"/>
      <c r="F545" s="18"/>
    </row>
    <row r="546" customFormat="false" ht="15" hidden="false" customHeight="false" outlineLevel="0" collapsed="false">
      <c r="A546" s="25"/>
      <c r="B546" s="18"/>
      <c r="C546" s="18"/>
      <c r="D546" s="18"/>
      <c r="E546" s="18"/>
      <c r="F546" s="18"/>
    </row>
    <row r="547" customFormat="false" ht="15" hidden="false" customHeight="false" outlineLevel="0" collapsed="false">
      <c r="A547" s="25"/>
      <c r="B547" s="18"/>
      <c r="C547" s="18"/>
      <c r="D547" s="18"/>
      <c r="E547" s="18"/>
      <c r="F547" s="18"/>
    </row>
    <row r="548" customFormat="false" ht="15" hidden="false" customHeight="false" outlineLevel="0" collapsed="false">
      <c r="A548" s="25"/>
      <c r="B548" s="18"/>
      <c r="C548" s="18"/>
      <c r="D548" s="18"/>
      <c r="E548" s="18"/>
      <c r="F548" s="18"/>
    </row>
    <row r="549" customFormat="false" ht="15" hidden="false" customHeight="false" outlineLevel="0" collapsed="false">
      <c r="A549" s="25"/>
      <c r="B549" s="18"/>
      <c r="C549" s="18"/>
      <c r="D549" s="18"/>
      <c r="E549" s="18"/>
      <c r="F549" s="18"/>
    </row>
    <row r="550" customFormat="false" ht="15" hidden="false" customHeight="false" outlineLevel="0" collapsed="false">
      <c r="A550" s="25"/>
      <c r="B550" s="18"/>
      <c r="C550" s="18"/>
      <c r="D550" s="18"/>
      <c r="E550" s="18"/>
      <c r="F550" s="18"/>
    </row>
    <row r="551" customFormat="false" ht="15" hidden="false" customHeight="false" outlineLevel="0" collapsed="false">
      <c r="A551" s="25"/>
      <c r="B551" s="18"/>
      <c r="C551" s="18"/>
      <c r="D551" s="18"/>
      <c r="E551" s="18"/>
      <c r="F551" s="18"/>
    </row>
    <row r="552" customFormat="false" ht="15" hidden="false" customHeight="false" outlineLevel="0" collapsed="false">
      <c r="A552" s="25"/>
      <c r="B552" s="18"/>
      <c r="C552" s="18"/>
      <c r="D552" s="18"/>
      <c r="E552" s="18"/>
      <c r="F552" s="18"/>
    </row>
    <row r="553" customFormat="false" ht="15" hidden="false" customHeight="false" outlineLevel="0" collapsed="false">
      <c r="A553" s="25"/>
      <c r="B553" s="18"/>
      <c r="C553" s="18"/>
      <c r="D553" s="18"/>
      <c r="E553" s="18"/>
      <c r="F553" s="18"/>
    </row>
    <row r="554" customFormat="false" ht="15" hidden="false" customHeight="false" outlineLevel="0" collapsed="false">
      <c r="A554" s="25"/>
      <c r="B554" s="18"/>
      <c r="C554" s="18"/>
      <c r="D554" s="18"/>
      <c r="E554" s="18"/>
      <c r="F554" s="18"/>
    </row>
    <row r="555" customFormat="false" ht="15" hidden="false" customHeight="false" outlineLevel="0" collapsed="false">
      <c r="A555" s="25"/>
      <c r="B555" s="18"/>
      <c r="C555" s="18"/>
      <c r="D555" s="18"/>
      <c r="E555" s="18"/>
      <c r="F555" s="18"/>
    </row>
    <row r="556" customFormat="false" ht="15" hidden="false" customHeight="false" outlineLevel="0" collapsed="false">
      <c r="A556" s="25"/>
      <c r="B556" s="18"/>
      <c r="C556" s="18"/>
      <c r="D556" s="18"/>
      <c r="E556" s="18"/>
      <c r="F556" s="18"/>
    </row>
    <row r="557" customFormat="false" ht="15" hidden="false" customHeight="false" outlineLevel="0" collapsed="false">
      <c r="A557" s="25"/>
      <c r="B557" s="18"/>
      <c r="C557" s="18"/>
      <c r="D557" s="18"/>
      <c r="E557" s="18"/>
      <c r="F557" s="18"/>
    </row>
    <row r="558" customFormat="false" ht="15" hidden="false" customHeight="false" outlineLevel="0" collapsed="false">
      <c r="A558" s="25"/>
      <c r="B558" s="18"/>
      <c r="C558" s="18"/>
      <c r="D558" s="18"/>
      <c r="E558" s="18"/>
      <c r="F558" s="18"/>
    </row>
    <row r="559" customFormat="false" ht="15" hidden="false" customHeight="false" outlineLevel="0" collapsed="false">
      <c r="A559" s="25"/>
      <c r="B559" s="18"/>
      <c r="C559" s="18"/>
      <c r="D559" s="18"/>
      <c r="E559" s="18"/>
      <c r="F559" s="18"/>
    </row>
    <row r="560" customFormat="false" ht="15" hidden="false" customHeight="false" outlineLevel="0" collapsed="false">
      <c r="A560" s="25"/>
      <c r="B560" s="18"/>
      <c r="C560" s="18"/>
      <c r="D560" s="18"/>
      <c r="E560" s="18"/>
      <c r="F560" s="18"/>
    </row>
    <row r="561" customFormat="false" ht="15" hidden="false" customHeight="false" outlineLevel="0" collapsed="false">
      <c r="A561" s="25"/>
      <c r="B561" s="18"/>
      <c r="C561" s="18"/>
      <c r="D561" s="18"/>
      <c r="E561" s="18"/>
      <c r="F561" s="18"/>
    </row>
    <row r="562" customFormat="false" ht="15" hidden="false" customHeight="false" outlineLevel="0" collapsed="false">
      <c r="A562" s="25"/>
      <c r="B562" s="18"/>
      <c r="C562" s="18"/>
      <c r="D562" s="18"/>
      <c r="E562" s="18"/>
      <c r="F562" s="18"/>
    </row>
    <row r="563" customFormat="false" ht="15" hidden="false" customHeight="false" outlineLevel="0" collapsed="false">
      <c r="A563" s="25"/>
      <c r="B563" s="18"/>
      <c r="C563" s="18"/>
      <c r="D563" s="18"/>
      <c r="E563" s="18"/>
      <c r="F563" s="18"/>
    </row>
    <row r="564" customFormat="false" ht="15" hidden="false" customHeight="false" outlineLevel="0" collapsed="false">
      <c r="A564" s="25"/>
      <c r="B564" s="18"/>
      <c r="C564" s="18"/>
      <c r="D564" s="18"/>
      <c r="E564" s="18"/>
      <c r="F564" s="18"/>
    </row>
    <row r="565" customFormat="false" ht="15" hidden="false" customHeight="false" outlineLevel="0" collapsed="false">
      <c r="A565" s="25"/>
      <c r="B565" s="18"/>
      <c r="C565" s="18"/>
      <c r="D565" s="18"/>
      <c r="E565" s="18"/>
      <c r="F565" s="18"/>
    </row>
    <row r="566" customFormat="false" ht="15" hidden="false" customHeight="false" outlineLevel="0" collapsed="false">
      <c r="A566" s="25"/>
      <c r="B566" s="18"/>
      <c r="C566" s="18"/>
      <c r="D566" s="18"/>
      <c r="E566" s="18"/>
      <c r="F566" s="18"/>
    </row>
    <row r="567" customFormat="false" ht="15" hidden="false" customHeight="false" outlineLevel="0" collapsed="false">
      <c r="A567" s="25"/>
      <c r="B567" s="18"/>
      <c r="C567" s="18"/>
      <c r="D567" s="18"/>
      <c r="E567" s="18"/>
      <c r="F567" s="18"/>
    </row>
    <row r="568" customFormat="false" ht="15" hidden="false" customHeight="false" outlineLevel="0" collapsed="false">
      <c r="A568" s="25"/>
      <c r="B568" s="18"/>
      <c r="C568" s="18"/>
      <c r="D568" s="18"/>
      <c r="E568" s="18"/>
      <c r="F568" s="18"/>
    </row>
    <row r="569" customFormat="false" ht="15" hidden="false" customHeight="false" outlineLevel="0" collapsed="false">
      <c r="A569" s="25"/>
      <c r="B569" s="18"/>
      <c r="C569" s="18"/>
      <c r="D569" s="18"/>
      <c r="E569" s="18"/>
      <c r="F569" s="18"/>
    </row>
    <row r="570" customFormat="false" ht="15" hidden="false" customHeight="false" outlineLevel="0" collapsed="false">
      <c r="A570" s="25"/>
      <c r="B570" s="18"/>
      <c r="C570" s="18"/>
      <c r="D570" s="18"/>
      <c r="E570" s="18"/>
      <c r="F570" s="18"/>
    </row>
    <row r="571" customFormat="false" ht="15" hidden="false" customHeight="false" outlineLevel="0" collapsed="false">
      <c r="A571" s="25"/>
      <c r="B571" s="18"/>
      <c r="C571" s="18"/>
      <c r="D571" s="18"/>
      <c r="E571" s="18"/>
      <c r="F571" s="18"/>
    </row>
    <row r="572" customFormat="false" ht="15" hidden="false" customHeight="false" outlineLevel="0" collapsed="false">
      <c r="A572" s="25"/>
      <c r="B572" s="18"/>
      <c r="C572" s="18"/>
      <c r="D572" s="18"/>
      <c r="E572" s="18"/>
      <c r="F572" s="18"/>
    </row>
    <row r="573" customFormat="false" ht="15" hidden="false" customHeight="false" outlineLevel="0" collapsed="false">
      <c r="A573" s="25"/>
      <c r="B573" s="18"/>
      <c r="C573" s="18"/>
      <c r="D573" s="18"/>
      <c r="E573" s="18"/>
      <c r="F573" s="18"/>
    </row>
    <row r="574" customFormat="false" ht="15" hidden="false" customHeight="false" outlineLevel="0" collapsed="false">
      <c r="A574" s="25"/>
      <c r="B574" s="18"/>
      <c r="C574" s="18"/>
      <c r="D574" s="18"/>
      <c r="E574" s="18"/>
      <c r="F574" s="18"/>
    </row>
    <row r="575" customFormat="false" ht="15" hidden="false" customHeight="false" outlineLevel="0" collapsed="false">
      <c r="A575" s="25"/>
      <c r="B575" s="18"/>
      <c r="C575" s="18"/>
      <c r="D575" s="18"/>
      <c r="E575" s="18"/>
      <c r="F575" s="18"/>
    </row>
    <row r="576" customFormat="false" ht="15" hidden="false" customHeight="false" outlineLevel="0" collapsed="false">
      <c r="A576" s="25"/>
      <c r="B576" s="18"/>
      <c r="C576" s="18"/>
      <c r="D576" s="18"/>
      <c r="E576" s="18"/>
      <c r="F576" s="18"/>
    </row>
    <row r="577" customFormat="false" ht="15" hidden="false" customHeight="false" outlineLevel="0" collapsed="false">
      <c r="A577" s="25"/>
      <c r="B577" s="18"/>
      <c r="C577" s="18"/>
      <c r="D577" s="18"/>
      <c r="E577" s="18"/>
      <c r="F577" s="18"/>
    </row>
    <row r="578" customFormat="false" ht="15" hidden="false" customHeight="false" outlineLevel="0" collapsed="false">
      <c r="A578" s="25"/>
      <c r="B578" s="18"/>
      <c r="C578" s="18"/>
      <c r="D578" s="18"/>
      <c r="E578" s="18"/>
      <c r="F578" s="18"/>
    </row>
    <row r="579" customFormat="false" ht="15" hidden="false" customHeight="false" outlineLevel="0" collapsed="false">
      <c r="A579" s="25"/>
      <c r="B579" s="18"/>
      <c r="C579" s="18"/>
      <c r="D579" s="18"/>
      <c r="E579" s="18"/>
      <c r="F579" s="18"/>
    </row>
    <row r="580" customFormat="false" ht="15" hidden="false" customHeight="false" outlineLevel="0" collapsed="false">
      <c r="A580" s="25"/>
      <c r="B580" s="18"/>
      <c r="C580" s="18"/>
      <c r="D580" s="18"/>
      <c r="E580" s="18"/>
      <c r="F580" s="18"/>
    </row>
    <row r="581" customFormat="false" ht="15" hidden="false" customHeight="false" outlineLevel="0" collapsed="false">
      <c r="A581" s="25"/>
      <c r="B581" s="18"/>
      <c r="C581" s="18"/>
      <c r="D581" s="18"/>
      <c r="E581" s="18"/>
      <c r="F581" s="18"/>
    </row>
    <row r="582" customFormat="false" ht="15" hidden="false" customHeight="false" outlineLevel="0" collapsed="false">
      <c r="A582" s="25"/>
      <c r="B582" s="18"/>
      <c r="C582" s="18"/>
      <c r="D582" s="18"/>
      <c r="E582" s="18"/>
      <c r="F582" s="18"/>
    </row>
    <row r="583" customFormat="false" ht="15" hidden="false" customHeight="false" outlineLevel="0" collapsed="false">
      <c r="A583" s="25"/>
      <c r="B583" s="18"/>
      <c r="C583" s="18"/>
      <c r="D583" s="18"/>
      <c r="E583" s="18"/>
      <c r="F583" s="18"/>
    </row>
    <row r="584" customFormat="false" ht="15" hidden="false" customHeight="false" outlineLevel="0" collapsed="false">
      <c r="A584" s="25"/>
      <c r="B584" s="18"/>
      <c r="C584" s="18"/>
      <c r="D584" s="18"/>
      <c r="E584" s="18"/>
      <c r="F584" s="18"/>
    </row>
    <row r="585" customFormat="false" ht="15" hidden="false" customHeight="false" outlineLevel="0" collapsed="false">
      <c r="A585" s="25"/>
      <c r="B585" s="18"/>
      <c r="C585" s="18"/>
      <c r="D585" s="18"/>
      <c r="E585" s="18"/>
      <c r="F585" s="18"/>
    </row>
    <row r="586" customFormat="false" ht="15" hidden="false" customHeight="false" outlineLevel="0" collapsed="false">
      <c r="A586" s="25"/>
      <c r="B586" s="18"/>
      <c r="C586" s="18"/>
      <c r="D586" s="18"/>
      <c r="E586" s="18"/>
      <c r="F586" s="18"/>
    </row>
    <row r="587" customFormat="false" ht="15" hidden="false" customHeight="false" outlineLevel="0" collapsed="false">
      <c r="A587" s="25"/>
      <c r="B587" s="18"/>
      <c r="C587" s="18"/>
      <c r="D587" s="18"/>
      <c r="E587" s="18"/>
      <c r="F587" s="18"/>
    </row>
    <row r="588" customFormat="false" ht="15" hidden="false" customHeight="false" outlineLevel="0" collapsed="false">
      <c r="A588" s="25"/>
      <c r="B588" s="18"/>
      <c r="C588" s="18"/>
      <c r="D588" s="18"/>
      <c r="E588" s="18"/>
      <c r="F588" s="18"/>
    </row>
    <row r="589" customFormat="false" ht="15" hidden="false" customHeight="false" outlineLevel="0" collapsed="false">
      <c r="A589" s="25"/>
      <c r="B589" s="18"/>
      <c r="C589" s="18"/>
      <c r="D589" s="18"/>
      <c r="E589" s="18"/>
      <c r="F589" s="18"/>
    </row>
    <row r="590" customFormat="false" ht="15" hidden="false" customHeight="false" outlineLevel="0" collapsed="false">
      <c r="A590" s="25"/>
      <c r="B590" s="18"/>
      <c r="C590" s="18"/>
      <c r="D590" s="18"/>
      <c r="E590" s="18"/>
      <c r="F590" s="18"/>
    </row>
    <row r="591" customFormat="false" ht="15" hidden="false" customHeight="false" outlineLevel="0" collapsed="false">
      <c r="A591" s="25"/>
      <c r="B591" s="18"/>
      <c r="C591" s="18"/>
      <c r="D591" s="18"/>
      <c r="E591" s="18"/>
      <c r="F591" s="18"/>
    </row>
    <row r="592" customFormat="false" ht="15" hidden="false" customHeight="false" outlineLevel="0" collapsed="false">
      <c r="A592" s="25"/>
      <c r="B592" s="18"/>
      <c r="C592" s="18"/>
      <c r="D592" s="18"/>
      <c r="E592" s="18"/>
      <c r="F592" s="18"/>
    </row>
    <row r="593" customFormat="false" ht="15" hidden="false" customHeight="false" outlineLevel="0" collapsed="false">
      <c r="A593" s="25"/>
      <c r="B593" s="18"/>
      <c r="C593" s="18"/>
      <c r="D593" s="18"/>
      <c r="E593" s="18"/>
      <c r="F593" s="18"/>
    </row>
    <row r="594" customFormat="false" ht="15" hidden="false" customHeight="false" outlineLevel="0" collapsed="false">
      <c r="A594" s="25"/>
      <c r="B594" s="18"/>
      <c r="C594" s="18"/>
      <c r="D594" s="18"/>
      <c r="E594" s="18"/>
      <c r="F594" s="18"/>
    </row>
    <row r="595" customFormat="false" ht="15" hidden="false" customHeight="false" outlineLevel="0" collapsed="false">
      <c r="A595" s="25"/>
      <c r="B595" s="18"/>
      <c r="C595" s="18"/>
      <c r="D595" s="18"/>
      <c r="E595" s="18"/>
      <c r="F595" s="18"/>
    </row>
    <row r="596" customFormat="false" ht="15" hidden="false" customHeight="false" outlineLevel="0" collapsed="false">
      <c r="A596" s="25"/>
      <c r="B596" s="18"/>
      <c r="C596" s="18"/>
      <c r="D596" s="18"/>
      <c r="E596" s="18"/>
      <c r="F596" s="18"/>
    </row>
    <row r="597" customFormat="false" ht="15" hidden="false" customHeight="false" outlineLevel="0" collapsed="false">
      <c r="A597" s="25"/>
      <c r="B597" s="18"/>
      <c r="C597" s="18"/>
      <c r="D597" s="18"/>
      <c r="E597" s="18"/>
      <c r="F597" s="18"/>
    </row>
    <row r="598" customFormat="false" ht="15" hidden="false" customHeight="false" outlineLevel="0" collapsed="false">
      <c r="A598" s="25"/>
      <c r="B598" s="18"/>
      <c r="C598" s="18"/>
      <c r="D598" s="18"/>
      <c r="E598" s="18"/>
      <c r="F598" s="18"/>
    </row>
    <row r="599" customFormat="false" ht="15" hidden="false" customHeight="false" outlineLevel="0" collapsed="false">
      <c r="A599" s="25"/>
      <c r="B599" s="18"/>
      <c r="C599" s="18"/>
      <c r="D599" s="18"/>
      <c r="E599" s="18"/>
      <c r="F599" s="18"/>
    </row>
    <row r="600" customFormat="false" ht="15" hidden="false" customHeight="false" outlineLevel="0" collapsed="false">
      <c r="A600" s="25"/>
      <c r="B600" s="18"/>
      <c r="C600" s="18"/>
      <c r="D600" s="18"/>
      <c r="E600" s="18"/>
      <c r="F600" s="18"/>
    </row>
    <row r="601" customFormat="false" ht="15" hidden="false" customHeight="false" outlineLevel="0" collapsed="false">
      <c r="A601" s="25"/>
      <c r="B601" s="18"/>
      <c r="C601" s="18"/>
      <c r="D601" s="18"/>
      <c r="E601" s="18"/>
      <c r="F601" s="18"/>
    </row>
    <row r="602" customFormat="false" ht="15" hidden="false" customHeight="false" outlineLevel="0" collapsed="false">
      <c r="A602" s="25"/>
      <c r="B602" s="18"/>
      <c r="C602" s="18"/>
      <c r="D602" s="18"/>
      <c r="E602" s="18"/>
      <c r="F602" s="18"/>
    </row>
    <row r="603" customFormat="false" ht="15" hidden="false" customHeight="false" outlineLevel="0" collapsed="false">
      <c r="A603" s="25"/>
      <c r="B603" s="18"/>
      <c r="C603" s="18"/>
      <c r="D603" s="18"/>
      <c r="E603" s="18"/>
      <c r="F603" s="18"/>
    </row>
    <row r="604" customFormat="false" ht="15" hidden="false" customHeight="false" outlineLevel="0" collapsed="false">
      <c r="A604" s="25"/>
      <c r="B604" s="18"/>
      <c r="C604" s="18"/>
      <c r="D604" s="18"/>
      <c r="E604" s="18"/>
      <c r="F604" s="18"/>
    </row>
    <row r="605" customFormat="false" ht="15" hidden="false" customHeight="false" outlineLevel="0" collapsed="false">
      <c r="A605" s="25"/>
      <c r="B605" s="18"/>
      <c r="C605" s="18"/>
      <c r="D605" s="18"/>
      <c r="E605" s="18"/>
      <c r="F605" s="18"/>
    </row>
    <row r="606" customFormat="false" ht="15" hidden="false" customHeight="false" outlineLevel="0" collapsed="false">
      <c r="A606" s="25"/>
      <c r="B606" s="18"/>
      <c r="C606" s="18"/>
      <c r="D606" s="18"/>
      <c r="E606" s="18"/>
      <c r="F606" s="18"/>
    </row>
    <row r="607" customFormat="false" ht="15" hidden="false" customHeight="false" outlineLevel="0" collapsed="false">
      <c r="A607" s="25"/>
      <c r="B607" s="18"/>
      <c r="C607" s="18"/>
      <c r="D607" s="18"/>
      <c r="E607" s="18"/>
      <c r="F607" s="18"/>
    </row>
    <row r="608" customFormat="false" ht="15" hidden="false" customHeight="false" outlineLevel="0" collapsed="false">
      <c r="A608" s="25"/>
      <c r="B608" s="18"/>
      <c r="C608" s="18"/>
      <c r="D608" s="18"/>
      <c r="E608" s="18"/>
      <c r="F608" s="18"/>
    </row>
    <row r="609" customFormat="false" ht="15" hidden="false" customHeight="false" outlineLevel="0" collapsed="false">
      <c r="A609" s="25"/>
      <c r="B609" s="18"/>
      <c r="C609" s="18"/>
      <c r="D609" s="18"/>
      <c r="E609" s="18"/>
      <c r="F609" s="18"/>
    </row>
    <row r="610" customFormat="false" ht="15" hidden="false" customHeight="false" outlineLevel="0" collapsed="false">
      <c r="A610" s="25"/>
      <c r="B610" s="18"/>
      <c r="C610" s="18"/>
      <c r="D610" s="18"/>
      <c r="E610" s="18"/>
      <c r="F610" s="18"/>
    </row>
    <row r="611" customFormat="false" ht="15" hidden="false" customHeight="false" outlineLevel="0" collapsed="false">
      <c r="A611" s="25"/>
      <c r="B611" s="18"/>
      <c r="C611" s="18"/>
      <c r="D611" s="18"/>
      <c r="E611" s="18"/>
      <c r="F611" s="18"/>
    </row>
    <row r="612" customFormat="false" ht="15" hidden="false" customHeight="false" outlineLevel="0" collapsed="false">
      <c r="A612" s="25"/>
      <c r="B612" s="18"/>
      <c r="C612" s="18"/>
      <c r="D612" s="18"/>
      <c r="E612" s="18"/>
      <c r="F612" s="18"/>
    </row>
    <row r="613" customFormat="false" ht="15" hidden="false" customHeight="false" outlineLevel="0" collapsed="false">
      <c r="A613" s="25"/>
      <c r="B613" s="18"/>
      <c r="C613" s="18"/>
      <c r="D613" s="18"/>
      <c r="E613" s="18"/>
      <c r="F613" s="18"/>
    </row>
    <row r="614" customFormat="false" ht="15" hidden="false" customHeight="false" outlineLevel="0" collapsed="false">
      <c r="A614" s="25"/>
      <c r="B614" s="18"/>
      <c r="C614" s="18"/>
      <c r="D614" s="18"/>
      <c r="E614" s="18"/>
      <c r="F614" s="18"/>
    </row>
    <row r="615" customFormat="false" ht="15" hidden="false" customHeight="false" outlineLevel="0" collapsed="false">
      <c r="A615" s="25"/>
      <c r="B615" s="18"/>
      <c r="C615" s="18"/>
      <c r="D615" s="18"/>
      <c r="E615" s="18"/>
      <c r="F615" s="18"/>
    </row>
    <row r="616" customFormat="false" ht="15" hidden="false" customHeight="false" outlineLevel="0" collapsed="false">
      <c r="A616" s="25"/>
      <c r="B616" s="18"/>
      <c r="C616" s="18"/>
      <c r="D616" s="18"/>
      <c r="E616" s="18"/>
      <c r="F616" s="18"/>
    </row>
    <row r="617" customFormat="false" ht="15" hidden="false" customHeight="false" outlineLevel="0" collapsed="false">
      <c r="A617" s="25"/>
      <c r="B617" s="18"/>
      <c r="C617" s="18"/>
      <c r="D617" s="18"/>
      <c r="E617" s="18"/>
      <c r="F617" s="18"/>
    </row>
    <row r="618" customFormat="false" ht="15" hidden="false" customHeight="false" outlineLevel="0" collapsed="false">
      <c r="A618" s="25"/>
      <c r="B618" s="18"/>
      <c r="C618" s="18"/>
      <c r="D618" s="18"/>
      <c r="E618" s="18"/>
      <c r="F618" s="18"/>
    </row>
    <row r="619" customFormat="false" ht="15" hidden="false" customHeight="false" outlineLevel="0" collapsed="false">
      <c r="A619" s="25"/>
      <c r="B619" s="18"/>
      <c r="C619" s="18"/>
      <c r="D619" s="18"/>
      <c r="E619" s="18"/>
      <c r="F619" s="18"/>
    </row>
    <row r="620" customFormat="false" ht="15" hidden="false" customHeight="false" outlineLevel="0" collapsed="false">
      <c r="A620" s="25"/>
      <c r="B620" s="18"/>
      <c r="C620" s="18"/>
      <c r="D620" s="18"/>
      <c r="E620" s="18"/>
      <c r="F620" s="18"/>
    </row>
    <row r="621" customFormat="false" ht="15" hidden="false" customHeight="false" outlineLevel="0" collapsed="false">
      <c r="A621" s="25"/>
      <c r="B621" s="18"/>
      <c r="C621" s="18"/>
      <c r="D621" s="18"/>
      <c r="E621" s="18"/>
      <c r="F621" s="18"/>
    </row>
    <row r="622" customFormat="false" ht="15" hidden="false" customHeight="false" outlineLevel="0" collapsed="false">
      <c r="A622" s="25"/>
      <c r="B622" s="18"/>
      <c r="C622" s="18"/>
      <c r="D622" s="18"/>
      <c r="E622" s="18"/>
      <c r="F622" s="18"/>
    </row>
    <row r="623" customFormat="false" ht="15" hidden="false" customHeight="false" outlineLevel="0" collapsed="false">
      <c r="A623" s="25"/>
      <c r="B623" s="18"/>
      <c r="C623" s="18"/>
      <c r="D623" s="18"/>
      <c r="E623" s="18"/>
      <c r="F623" s="18"/>
    </row>
    <row r="624" customFormat="false" ht="15" hidden="false" customHeight="false" outlineLevel="0" collapsed="false">
      <c r="A624" s="25"/>
      <c r="B624" s="18"/>
      <c r="C624" s="18"/>
      <c r="D624" s="18"/>
      <c r="E624" s="18"/>
      <c r="F624" s="18"/>
    </row>
    <row r="625" customFormat="false" ht="15" hidden="false" customHeight="false" outlineLevel="0" collapsed="false">
      <c r="A625" s="25"/>
      <c r="B625" s="18"/>
      <c r="C625" s="18"/>
      <c r="D625" s="18"/>
      <c r="E625" s="18"/>
      <c r="F625" s="18"/>
    </row>
    <row r="626" customFormat="false" ht="15" hidden="false" customHeight="false" outlineLevel="0" collapsed="false">
      <c r="A626" s="25"/>
      <c r="B626" s="18"/>
      <c r="C626" s="18"/>
      <c r="D626" s="18"/>
      <c r="E626" s="18"/>
      <c r="F626" s="18"/>
    </row>
    <row r="627" customFormat="false" ht="15" hidden="false" customHeight="false" outlineLevel="0" collapsed="false">
      <c r="A627" s="25"/>
      <c r="B627" s="18"/>
      <c r="C627" s="18"/>
      <c r="D627" s="18"/>
      <c r="E627" s="18"/>
      <c r="F627" s="18"/>
    </row>
    <row r="628" customFormat="false" ht="15" hidden="false" customHeight="false" outlineLevel="0" collapsed="false">
      <c r="A628" s="25"/>
      <c r="B628" s="18"/>
      <c r="C628" s="18"/>
      <c r="D628" s="18"/>
      <c r="E628" s="18"/>
      <c r="F628" s="18"/>
    </row>
    <row r="629" customFormat="false" ht="15" hidden="false" customHeight="false" outlineLevel="0" collapsed="false">
      <c r="A629" s="25"/>
      <c r="B629" s="18"/>
      <c r="C629" s="18"/>
      <c r="D629" s="18"/>
      <c r="E629" s="18"/>
      <c r="F629" s="18"/>
    </row>
    <row r="630" customFormat="false" ht="15" hidden="false" customHeight="false" outlineLevel="0" collapsed="false">
      <c r="A630" s="25"/>
      <c r="B630" s="18"/>
      <c r="C630" s="18"/>
      <c r="D630" s="18"/>
      <c r="E630" s="18"/>
      <c r="F630" s="18"/>
    </row>
    <row r="631" customFormat="false" ht="15" hidden="false" customHeight="false" outlineLevel="0" collapsed="false">
      <c r="A631" s="25"/>
      <c r="B631" s="18"/>
      <c r="C631" s="18"/>
      <c r="D631" s="18"/>
      <c r="E631" s="18"/>
      <c r="F631" s="18"/>
    </row>
    <row r="632" customFormat="false" ht="15" hidden="false" customHeight="false" outlineLevel="0" collapsed="false">
      <c r="A632" s="25"/>
      <c r="B632" s="18"/>
      <c r="C632" s="18"/>
      <c r="D632" s="18"/>
      <c r="E632" s="18"/>
      <c r="F632" s="18"/>
    </row>
    <row r="633" customFormat="false" ht="15" hidden="false" customHeight="false" outlineLevel="0" collapsed="false">
      <c r="A633" s="25"/>
      <c r="B633" s="18"/>
      <c r="C633" s="18"/>
      <c r="D633" s="18"/>
      <c r="E633" s="18"/>
      <c r="F633" s="18"/>
    </row>
    <row r="634" customFormat="false" ht="15" hidden="false" customHeight="false" outlineLevel="0" collapsed="false">
      <c r="A634" s="25"/>
      <c r="B634" s="18"/>
      <c r="C634" s="18"/>
      <c r="D634" s="18"/>
      <c r="E634" s="18"/>
      <c r="F634" s="18"/>
    </row>
    <row r="635" customFormat="false" ht="15" hidden="false" customHeight="false" outlineLevel="0" collapsed="false">
      <c r="A635" s="25"/>
      <c r="B635" s="18"/>
      <c r="C635" s="18"/>
      <c r="D635" s="18"/>
      <c r="E635" s="18"/>
      <c r="F635" s="18"/>
    </row>
    <row r="636" customFormat="false" ht="15" hidden="false" customHeight="false" outlineLevel="0" collapsed="false">
      <c r="A636" s="25"/>
      <c r="B636" s="18"/>
      <c r="C636" s="18"/>
      <c r="D636" s="18"/>
      <c r="E636" s="18"/>
      <c r="F636" s="18"/>
    </row>
    <row r="637" customFormat="false" ht="15" hidden="false" customHeight="false" outlineLevel="0" collapsed="false">
      <c r="A637" s="25"/>
      <c r="B637" s="18"/>
      <c r="C637" s="18"/>
      <c r="D637" s="18"/>
      <c r="E637" s="18"/>
      <c r="F637" s="18"/>
    </row>
    <row r="638" customFormat="false" ht="15" hidden="false" customHeight="false" outlineLevel="0" collapsed="false">
      <c r="A638" s="25"/>
      <c r="B638" s="18"/>
      <c r="C638" s="18"/>
      <c r="D638" s="18"/>
      <c r="E638" s="18"/>
      <c r="F638" s="18"/>
    </row>
    <row r="639" customFormat="false" ht="15" hidden="false" customHeight="false" outlineLevel="0" collapsed="false">
      <c r="A639" s="25"/>
      <c r="B639" s="18"/>
      <c r="C639" s="18"/>
      <c r="D639" s="18"/>
      <c r="E639" s="18"/>
      <c r="F639" s="18"/>
    </row>
    <row r="640" customFormat="false" ht="15" hidden="false" customHeight="false" outlineLevel="0" collapsed="false">
      <c r="A640" s="25"/>
      <c r="B640" s="18"/>
      <c r="C640" s="18"/>
      <c r="D640" s="18"/>
      <c r="E640" s="18"/>
      <c r="F640" s="18"/>
    </row>
    <row r="641" customFormat="false" ht="15" hidden="false" customHeight="false" outlineLevel="0" collapsed="false">
      <c r="A641" s="25"/>
      <c r="B641" s="18"/>
      <c r="C641" s="18"/>
      <c r="D641" s="18"/>
      <c r="E641" s="18"/>
      <c r="F641" s="18"/>
    </row>
    <row r="642" customFormat="false" ht="15" hidden="false" customHeight="false" outlineLevel="0" collapsed="false">
      <c r="A642" s="25"/>
      <c r="B642" s="18"/>
      <c r="C642" s="18"/>
      <c r="D642" s="18"/>
      <c r="E642" s="18"/>
      <c r="F642" s="18"/>
    </row>
    <row r="643" customFormat="false" ht="15" hidden="false" customHeight="false" outlineLevel="0" collapsed="false">
      <c r="A643" s="25"/>
      <c r="B643" s="18"/>
      <c r="C643" s="18"/>
      <c r="D643" s="18"/>
      <c r="E643" s="18"/>
      <c r="F643" s="18"/>
    </row>
    <row r="644" customFormat="false" ht="15" hidden="false" customHeight="false" outlineLevel="0" collapsed="false">
      <c r="A644" s="25"/>
      <c r="B644" s="18"/>
      <c r="C644" s="18"/>
      <c r="D644" s="18"/>
      <c r="E644" s="18"/>
      <c r="F644" s="18"/>
    </row>
    <row r="645" customFormat="false" ht="15" hidden="false" customHeight="false" outlineLevel="0" collapsed="false">
      <c r="A645" s="25"/>
      <c r="B645" s="18"/>
      <c r="C645" s="18"/>
      <c r="D645" s="18"/>
      <c r="E645" s="18"/>
      <c r="F645" s="18"/>
    </row>
    <row r="646" customFormat="false" ht="15" hidden="false" customHeight="false" outlineLevel="0" collapsed="false">
      <c r="A646" s="25"/>
      <c r="B646" s="18"/>
      <c r="C646" s="18"/>
      <c r="D646" s="18"/>
      <c r="E646" s="18"/>
      <c r="F646" s="18"/>
    </row>
    <row r="647" customFormat="false" ht="15" hidden="false" customHeight="false" outlineLevel="0" collapsed="false">
      <c r="A647" s="25"/>
      <c r="B647" s="18"/>
      <c r="C647" s="18"/>
      <c r="D647" s="18"/>
      <c r="E647" s="18"/>
      <c r="F647" s="18"/>
    </row>
    <row r="648" customFormat="false" ht="15" hidden="false" customHeight="false" outlineLevel="0" collapsed="false">
      <c r="A648" s="25"/>
      <c r="B648" s="18"/>
      <c r="C648" s="18"/>
      <c r="D648" s="18"/>
      <c r="E648" s="18"/>
      <c r="F648" s="18"/>
    </row>
    <row r="649" customFormat="false" ht="15" hidden="false" customHeight="false" outlineLevel="0" collapsed="false">
      <c r="A649" s="25"/>
      <c r="B649" s="18"/>
      <c r="C649" s="18"/>
      <c r="D649" s="18"/>
      <c r="E649" s="18"/>
      <c r="F649" s="18"/>
    </row>
    <row r="650" customFormat="false" ht="15" hidden="false" customHeight="false" outlineLevel="0" collapsed="false">
      <c r="A650" s="25"/>
      <c r="B650" s="18"/>
      <c r="C650" s="18"/>
      <c r="D650" s="18"/>
      <c r="E650" s="18"/>
      <c r="F650" s="18"/>
    </row>
    <row r="651" customFormat="false" ht="15" hidden="false" customHeight="false" outlineLevel="0" collapsed="false">
      <c r="A651" s="25"/>
      <c r="B651" s="18"/>
      <c r="C651" s="18"/>
      <c r="D651" s="18"/>
      <c r="E651" s="18"/>
      <c r="F651" s="18"/>
    </row>
    <row r="652" customFormat="false" ht="15" hidden="false" customHeight="false" outlineLevel="0" collapsed="false">
      <c r="A652" s="25"/>
      <c r="B652" s="18"/>
      <c r="C652" s="18"/>
      <c r="D652" s="18"/>
      <c r="E652" s="18"/>
      <c r="F652" s="18"/>
    </row>
    <row r="653" customFormat="false" ht="15" hidden="false" customHeight="false" outlineLevel="0" collapsed="false">
      <c r="A653" s="25"/>
      <c r="B653" s="18"/>
      <c r="C653" s="18"/>
      <c r="D653" s="18"/>
      <c r="E653" s="18"/>
      <c r="F653" s="18"/>
    </row>
    <row r="654" customFormat="false" ht="15" hidden="false" customHeight="false" outlineLevel="0" collapsed="false">
      <c r="A654" s="25"/>
      <c r="B654" s="18"/>
      <c r="C654" s="18"/>
      <c r="D654" s="18"/>
      <c r="E654" s="18"/>
      <c r="F654" s="18"/>
    </row>
    <row r="655" customFormat="false" ht="15" hidden="false" customHeight="false" outlineLevel="0" collapsed="false">
      <c r="A655" s="25"/>
      <c r="B655" s="18"/>
      <c r="C655" s="18"/>
      <c r="D655" s="18"/>
      <c r="E655" s="18"/>
      <c r="F655" s="18"/>
    </row>
    <row r="656" customFormat="false" ht="15" hidden="false" customHeight="false" outlineLevel="0" collapsed="false">
      <c r="A656" s="25"/>
      <c r="B656" s="18"/>
      <c r="C656" s="18"/>
      <c r="D656" s="18"/>
      <c r="E656" s="18"/>
      <c r="F656" s="18"/>
    </row>
    <row r="657" customFormat="false" ht="15" hidden="false" customHeight="false" outlineLevel="0" collapsed="false">
      <c r="A657" s="25"/>
      <c r="B657" s="18"/>
      <c r="C657" s="18"/>
      <c r="D657" s="18"/>
      <c r="E657" s="18"/>
      <c r="F657" s="18"/>
    </row>
    <row r="658" customFormat="false" ht="15" hidden="false" customHeight="false" outlineLevel="0" collapsed="false">
      <c r="A658" s="25"/>
      <c r="B658" s="18"/>
      <c r="C658" s="18"/>
      <c r="D658" s="18"/>
      <c r="E658" s="18"/>
      <c r="F658" s="18"/>
    </row>
    <row r="659" customFormat="false" ht="15" hidden="false" customHeight="false" outlineLevel="0" collapsed="false">
      <c r="A659" s="25"/>
      <c r="B659" s="18"/>
      <c r="C659" s="18"/>
      <c r="D659" s="18"/>
      <c r="E659" s="18"/>
      <c r="F659" s="18"/>
    </row>
    <row r="660" customFormat="false" ht="15" hidden="false" customHeight="false" outlineLevel="0" collapsed="false">
      <c r="A660" s="25"/>
      <c r="B660" s="18"/>
      <c r="C660" s="18"/>
      <c r="D660" s="18"/>
      <c r="E660" s="18"/>
      <c r="F660" s="18"/>
    </row>
    <row r="661" customFormat="false" ht="15" hidden="false" customHeight="false" outlineLevel="0" collapsed="false">
      <c r="A661" s="25"/>
      <c r="B661" s="18"/>
      <c r="C661" s="18"/>
      <c r="D661" s="18"/>
      <c r="E661" s="18"/>
      <c r="F661" s="18"/>
    </row>
    <row r="662" customFormat="false" ht="15" hidden="false" customHeight="false" outlineLevel="0" collapsed="false">
      <c r="A662" s="25"/>
      <c r="B662" s="18"/>
      <c r="C662" s="18"/>
      <c r="D662" s="18"/>
      <c r="E662" s="18"/>
      <c r="F662" s="18"/>
    </row>
    <row r="663" customFormat="false" ht="15" hidden="false" customHeight="false" outlineLevel="0" collapsed="false">
      <c r="A663" s="25"/>
      <c r="B663" s="18"/>
      <c r="C663" s="18"/>
      <c r="D663" s="18"/>
      <c r="E663" s="18"/>
      <c r="F663" s="18"/>
    </row>
    <row r="664" customFormat="false" ht="15" hidden="false" customHeight="false" outlineLevel="0" collapsed="false">
      <c r="A664" s="25"/>
      <c r="B664" s="18"/>
      <c r="C664" s="18"/>
      <c r="D664" s="18"/>
      <c r="E664" s="18"/>
      <c r="F664" s="18"/>
    </row>
    <row r="665" customFormat="false" ht="15" hidden="false" customHeight="false" outlineLevel="0" collapsed="false">
      <c r="A665" s="25"/>
      <c r="B665" s="18"/>
      <c r="C665" s="18"/>
      <c r="D665" s="18"/>
      <c r="E665" s="18"/>
      <c r="F665" s="18"/>
    </row>
    <row r="666" customFormat="false" ht="15" hidden="false" customHeight="false" outlineLevel="0" collapsed="false">
      <c r="A666" s="25"/>
      <c r="B666" s="18"/>
      <c r="C666" s="18"/>
      <c r="D666" s="18"/>
      <c r="E666" s="18"/>
      <c r="F666" s="18"/>
    </row>
    <row r="667" customFormat="false" ht="15" hidden="false" customHeight="false" outlineLevel="0" collapsed="false">
      <c r="A667" s="25"/>
      <c r="B667" s="18"/>
      <c r="C667" s="18"/>
      <c r="D667" s="18"/>
      <c r="E667" s="18"/>
      <c r="F667" s="18"/>
    </row>
    <row r="668" customFormat="false" ht="15" hidden="false" customHeight="false" outlineLevel="0" collapsed="false">
      <c r="A668" s="25"/>
      <c r="B668" s="18"/>
      <c r="C668" s="18"/>
      <c r="D668" s="18"/>
      <c r="E668" s="18"/>
      <c r="F668" s="18"/>
    </row>
    <row r="669" customFormat="false" ht="15" hidden="false" customHeight="false" outlineLevel="0" collapsed="false">
      <c r="A669" s="25"/>
      <c r="B669" s="18"/>
      <c r="C669" s="18"/>
      <c r="D669" s="18"/>
      <c r="E669" s="18"/>
      <c r="F669" s="18"/>
    </row>
    <row r="670" customFormat="false" ht="15" hidden="false" customHeight="false" outlineLevel="0" collapsed="false">
      <c r="A670" s="25"/>
      <c r="B670" s="18"/>
      <c r="C670" s="18"/>
      <c r="D670" s="18"/>
      <c r="E670" s="18"/>
      <c r="F670" s="18"/>
    </row>
    <row r="671" customFormat="false" ht="15" hidden="false" customHeight="false" outlineLevel="0" collapsed="false">
      <c r="A671" s="25"/>
      <c r="B671" s="18"/>
      <c r="C671" s="18"/>
      <c r="D671" s="18"/>
      <c r="E671" s="18"/>
      <c r="F671" s="18"/>
    </row>
    <row r="672" customFormat="false" ht="15" hidden="false" customHeight="false" outlineLevel="0" collapsed="false">
      <c r="A672" s="25"/>
      <c r="B672" s="18"/>
      <c r="C672" s="18"/>
      <c r="D672" s="18"/>
      <c r="E672" s="18"/>
      <c r="F672" s="18"/>
    </row>
    <row r="673" customFormat="false" ht="15" hidden="false" customHeight="false" outlineLevel="0" collapsed="false">
      <c r="A673" s="25"/>
      <c r="B673" s="18"/>
      <c r="C673" s="18"/>
      <c r="D673" s="18"/>
      <c r="E673" s="18"/>
      <c r="F673" s="18"/>
    </row>
    <row r="674" customFormat="false" ht="15" hidden="false" customHeight="false" outlineLevel="0" collapsed="false">
      <c r="A674" s="25"/>
      <c r="B674" s="18"/>
      <c r="C674" s="18"/>
      <c r="D674" s="18"/>
      <c r="E674" s="18"/>
      <c r="F674" s="18"/>
    </row>
    <row r="675" customFormat="false" ht="15" hidden="false" customHeight="false" outlineLevel="0" collapsed="false">
      <c r="A675" s="25"/>
      <c r="B675" s="18"/>
      <c r="C675" s="18"/>
      <c r="D675" s="18"/>
      <c r="E675" s="18"/>
      <c r="F675" s="18"/>
    </row>
    <row r="676" customFormat="false" ht="15" hidden="false" customHeight="false" outlineLevel="0" collapsed="false">
      <c r="A676" s="25"/>
      <c r="B676" s="18"/>
      <c r="C676" s="18"/>
      <c r="D676" s="18"/>
      <c r="E676" s="18"/>
      <c r="F676" s="18"/>
    </row>
    <row r="677" customFormat="false" ht="15" hidden="false" customHeight="false" outlineLevel="0" collapsed="false">
      <c r="A677" s="25"/>
      <c r="B677" s="18"/>
      <c r="C677" s="18"/>
      <c r="D677" s="18"/>
      <c r="E677" s="18"/>
      <c r="F677" s="18"/>
    </row>
    <row r="678" customFormat="false" ht="15" hidden="false" customHeight="false" outlineLevel="0" collapsed="false">
      <c r="A678" s="25"/>
      <c r="B678" s="18"/>
      <c r="C678" s="18"/>
      <c r="D678" s="18"/>
      <c r="E678" s="18"/>
      <c r="F678" s="18"/>
    </row>
    <row r="679" customFormat="false" ht="15" hidden="false" customHeight="false" outlineLevel="0" collapsed="false">
      <c r="A679" s="25"/>
      <c r="B679" s="18"/>
      <c r="C679" s="18"/>
      <c r="D679" s="18"/>
      <c r="E679" s="18"/>
      <c r="F679" s="18"/>
    </row>
    <row r="680" customFormat="false" ht="15" hidden="false" customHeight="false" outlineLevel="0" collapsed="false">
      <c r="A680" s="25"/>
      <c r="B680" s="18"/>
      <c r="C680" s="18"/>
      <c r="D680" s="18"/>
      <c r="E680" s="18"/>
      <c r="F680" s="18"/>
    </row>
    <row r="681" customFormat="false" ht="15" hidden="false" customHeight="false" outlineLevel="0" collapsed="false">
      <c r="A681" s="25"/>
      <c r="B681" s="18"/>
      <c r="C681" s="18"/>
      <c r="D681" s="18"/>
      <c r="E681" s="18"/>
      <c r="F681" s="18"/>
    </row>
    <row r="682" customFormat="false" ht="15" hidden="false" customHeight="false" outlineLevel="0" collapsed="false">
      <c r="A682" s="25"/>
      <c r="B682" s="18"/>
      <c r="C682" s="18"/>
      <c r="D682" s="18"/>
      <c r="E682" s="18"/>
      <c r="F682" s="18"/>
    </row>
    <row r="683" customFormat="false" ht="15" hidden="false" customHeight="false" outlineLevel="0" collapsed="false">
      <c r="A683" s="25"/>
      <c r="B683" s="18"/>
      <c r="C683" s="18"/>
      <c r="D683" s="18"/>
      <c r="E683" s="18"/>
      <c r="F683" s="18"/>
    </row>
    <row r="684" customFormat="false" ht="15" hidden="false" customHeight="false" outlineLevel="0" collapsed="false">
      <c r="A684" s="25"/>
      <c r="B684" s="18"/>
      <c r="C684" s="18"/>
      <c r="D684" s="18"/>
      <c r="E684" s="18"/>
      <c r="F684" s="18"/>
    </row>
    <row r="685" customFormat="false" ht="15" hidden="false" customHeight="false" outlineLevel="0" collapsed="false">
      <c r="A685" s="25"/>
      <c r="B685" s="18"/>
      <c r="C685" s="18"/>
      <c r="D685" s="18"/>
      <c r="E685" s="18"/>
      <c r="F685" s="18"/>
    </row>
    <row r="686" customFormat="false" ht="15" hidden="false" customHeight="false" outlineLevel="0" collapsed="false">
      <c r="A686" s="25"/>
      <c r="B686" s="18"/>
      <c r="C686" s="18"/>
      <c r="D686" s="18"/>
      <c r="E686" s="18"/>
      <c r="F686" s="18"/>
    </row>
    <row r="687" customFormat="false" ht="15" hidden="false" customHeight="false" outlineLevel="0" collapsed="false">
      <c r="A687" s="25"/>
      <c r="B687" s="18"/>
      <c r="C687" s="18"/>
      <c r="D687" s="18"/>
      <c r="E687" s="18"/>
      <c r="F687" s="18"/>
    </row>
    <row r="688" customFormat="false" ht="15" hidden="false" customHeight="false" outlineLevel="0" collapsed="false">
      <c r="A688" s="25"/>
      <c r="B688" s="18"/>
      <c r="C688" s="18"/>
      <c r="D688" s="18"/>
      <c r="E688" s="18"/>
      <c r="F688" s="18"/>
    </row>
    <row r="689" customFormat="false" ht="15" hidden="false" customHeight="false" outlineLevel="0" collapsed="false">
      <c r="A689" s="25"/>
      <c r="B689" s="18"/>
      <c r="C689" s="18"/>
      <c r="D689" s="18"/>
      <c r="E689" s="18"/>
      <c r="F689" s="18"/>
    </row>
    <row r="690" customFormat="false" ht="15" hidden="false" customHeight="false" outlineLevel="0" collapsed="false">
      <c r="A690" s="25"/>
      <c r="B690" s="18"/>
      <c r="C690" s="18"/>
      <c r="D690" s="18"/>
      <c r="E690" s="18"/>
      <c r="F690" s="18"/>
    </row>
    <row r="691" customFormat="false" ht="15" hidden="false" customHeight="false" outlineLevel="0" collapsed="false">
      <c r="A691" s="25"/>
      <c r="B691" s="18"/>
      <c r="C691" s="18"/>
      <c r="D691" s="18"/>
      <c r="E691" s="18"/>
      <c r="F691" s="18"/>
    </row>
    <row r="692" customFormat="false" ht="15" hidden="false" customHeight="false" outlineLevel="0" collapsed="false">
      <c r="A692" s="25"/>
      <c r="B692" s="18"/>
      <c r="C692" s="18"/>
      <c r="D692" s="18"/>
      <c r="E692" s="18"/>
      <c r="F692" s="18"/>
    </row>
    <row r="693" customFormat="false" ht="15" hidden="false" customHeight="false" outlineLevel="0" collapsed="false">
      <c r="A693" s="25"/>
      <c r="B693" s="18"/>
      <c r="C693" s="18"/>
      <c r="D693" s="18"/>
      <c r="E693" s="18"/>
      <c r="F693" s="18"/>
    </row>
    <row r="694" customFormat="false" ht="15" hidden="false" customHeight="false" outlineLevel="0" collapsed="false">
      <c r="A694" s="25"/>
      <c r="B694" s="18"/>
      <c r="C694" s="18"/>
      <c r="D694" s="18"/>
      <c r="E694" s="18"/>
      <c r="F694" s="18"/>
    </row>
    <row r="695" customFormat="false" ht="15" hidden="false" customHeight="false" outlineLevel="0" collapsed="false">
      <c r="A695" s="25"/>
      <c r="B695" s="18"/>
      <c r="C695" s="18"/>
      <c r="D695" s="18"/>
      <c r="E695" s="18"/>
      <c r="F695" s="18"/>
    </row>
    <row r="696" customFormat="false" ht="15" hidden="false" customHeight="false" outlineLevel="0" collapsed="false">
      <c r="A696" s="25"/>
      <c r="B696" s="18"/>
      <c r="C696" s="18"/>
      <c r="D696" s="18"/>
      <c r="E696" s="18"/>
      <c r="F696" s="18"/>
    </row>
    <row r="697" customFormat="false" ht="15" hidden="false" customHeight="false" outlineLevel="0" collapsed="false">
      <c r="A697" s="25"/>
      <c r="B697" s="18"/>
      <c r="C697" s="18"/>
      <c r="D697" s="18"/>
      <c r="E697" s="18"/>
      <c r="F697" s="18"/>
    </row>
    <row r="698" customFormat="false" ht="15" hidden="false" customHeight="false" outlineLevel="0" collapsed="false">
      <c r="A698" s="25"/>
      <c r="B698" s="18"/>
      <c r="C698" s="18"/>
      <c r="D698" s="18"/>
      <c r="E698" s="18"/>
      <c r="F698" s="18"/>
    </row>
    <row r="699" customFormat="false" ht="15" hidden="false" customHeight="false" outlineLevel="0" collapsed="false">
      <c r="A699" s="25"/>
      <c r="B699" s="18"/>
      <c r="C699" s="18"/>
      <c r="D699" s="18"/>
      <c r="E699" s="18"/>
      <c r="F699" s="18"/>
    </row>
    <row r="700" customFormat="false" ht="15" hidden="false" customHeight="false" outlineLevel="0" collapsed="false">
      <c r="A700" s="25"/>
      <c r="B700" s="18"/>
      <c r="C700" s="18"/>
      <c r="D700" s="18"/>
      <c r="E700" s="18"/>
      <c r="F700" s="18"/>
    </row>
    <row r="701" customFormat="false" ht="15" hidden="false" customHeight="false" outlineLevel="0" collapsed="false">
      <c r="A701" s="25"/>
      <c r="B701" s="18"/>
      <c r="C701" s="18"/>
      <c r="D701" s="18"/>
      <c r="E701" s="18"/>
      <c r="F701" s="18"/>
    </row>
    <row r="702" customFormat="false" ht="15" hidden="false" customHeight="false" outlineLevel="0" collapsed="false">
      <c r="A702" s="25"/>
      <c r="B702" s="18"/>
      <c r="C702" s="18"/>
      <c r="D702" s="18"/>
      <c r="E702" s="18"/>
      <c r="F702" s="18"/>
    </row>
    <row r="703" customFormat="false" ht="15" hidden="false" customHeight="false" outlineLevel="0" collapsed="false">
      <c r="A703" s="25"/>
      <c r="B703" s="18"/>
      <c r="C703" s="18"/>
      <c r="D703" s="18"/>
      <c r="E703" s="18"/>
      <c r="F703" s="18"/>
    </row>
    <row r="704" customFormat="false" ht="15" hidden="false" customHeight="false" outlineLevel="0" collapsed="false">
      <c r="A704" s="25"/>
      <c r="B704" s="18"/>
      <c r="C704" s="18"/>
      <c r="D704" s="18"/>
      <c r="E704" s="18"/>
      <c r="F704" s="18"/>
    </row>
    <row r="705" customFormat="false" ht="15" hidden="false" customHeight="false" outlineLevel="0" collapsed="false">
      <c r="A705" s="25"/>
      <c r="B705" s="18"/>
      <c r="C705" s="18"/>
      <c r="D705" s="18"/>
      <c r="E705" s="18"/>
      <c r="F705" s="18"/>
    </row>
    <row r="706" customFormat="false" ht="15" hidden="false" customHeight="false" outlineLevel="0" collapsed="false">
      <c r="A706" s="25"/>
      <c r="B706" s="18"/>
      <c r="C706" s="18"/>
      <c r="D706" s="18"/>
      <c r="E706" s="18"/>
      <c r="F706" s="18"/>
    </row>
    <row r="707" customFormat="false" ht="15" hidden="false" customHeight="false" outlineLevel="0" collapsed="false">
      <c r="A707" s="25"/>
      <c r="B707" s="18"/>
      <c r="C707" s="18"/>
      <c r="D707" s="18"/>
      <c r="E707" s="18"/>
      <c r="F707" s="18"/>
    </row>
    <row r="708" customFormat="false" ht="15" hidden="false" customHeight="false" outlineLevel="0" collapsed="false">
      <c r="A708" s="25"/>
      <c r="B708" s="18"/>
      <c r="C708" s="18"/>
      <c r="D708" s="18"/>
      <c r="E708" s="18"/>
      <c r="F708" s="18"/>
    </row>
    <row r="709" customFormat="false" ht="15" hidden="false" customHeight="false" outlineLevel="0" collapsed="false">
      <c r="A709" s="25"/>
      <c r="B709" s="18"/>
      <c r="C709" s="18"/>
      <c r="D709" s="18"/>
      <c r="E709" s="18"/>
      <c r="F709" s="18"/>
    </row>
    <row r="710" customFormat="false" ht="15" hidden="false" customHeight="false" outlineLevel="0" collapsed="false">
      <c r="A710" s="25"/>
      <c r="B710" s="18"/>
      <c r="C710" s="18"/>
      <c r="D710" s="18"/>
      <c r="E710" s="18"/>
      <c r="F710" s="18"/>
    </row>
    <row r="711" customFormat="false" ht="15" hidden="false" customHeight="false" outlineLevel="0" collapsed="false">
      <c r="A711" s="25"/>
      <c r="B711" s="18"/>
      <c r="C711" s="18"/>
      <c r="D711" s="18"/>
      <c r="E711" s="18"/>
      <c r="F711" s="18"/>
    </row>
    <row r="712" customFormat="false" ht="15" hidden="false" customHeight="false" outlineLevel="0" collapsed="false">
      <c r="A712" s="25"/>
      <c r="B712" s="18"/>
      <c r="C712" s="18"/>
      <c r="D712" s="18"/>
      <c r="E712" s="18"/>
      <c r="F712" s="18"/>
    </row>
    <row r="713" customFormat="false" ht="15" hidden="false" customHeight="false" outlineLevel="0" collapsed="false">
      <c r="A713" s="25"/>
      <c r="B713" s="18"/>
      <c r="C713" s="18"/>
      <c r="D713" s="18"/>
      <c r="E713" s="18"/>
      <c r="F713" s="18"/>
    </row>
    <row r="714" customFormat="false" ht="15" hidden="false" customHeight="false" outlineLevel="0" collapsed="false">
      <c r="A714" s="25"/>
      <c r="B714" s="18"/>
      <c r="C714" s="18"/>
      <c r="D714" s="18"/>
      <c r="E714" s="18"/>
      <c r="F714" s="18"/>
    </row>
    <row r="715" customFormat="false" ht="15" hidden="false" customHeight="false" outlineLevel="0" collapsed="false">
      <c r="A715" s="25"/>
      <c r="B715" s="18"/>
      <c r="C715" s="18"/>
      <c r="D715" s="18"/>
      <c r="E715" s="18"/>
      <c r="F715" s="18"/>
    </row>
    <row r="716" customFormat="false" ht="15" hidden="false" customHeight="false" outlineLevel="0" collapsed="false">
      <c r="A716" s="25"/>
      <c r="B716" s="18"/>
      <c r="C716" s="18"/>
      <c r="D716" s="18"/>
      <c r="E716" s="18"/>
      <c r="F716" s="18"/>
    </row>
    <row r="717" customFormat="false" ht="15" hidden="false" customHeight="false" outlineLevel="0" collapsed="false">
      <c r="A717" s="25"/>
      <c r="B717" s="18"/>
      <c r="C717" s="18"/>
      <c r="D717" s="18"/>
      <c r="E717" s="18"/>
      <c r="F717" s="18"/>
    </row>
    <row r="718" customFormat="false" ht="15" hidden="false" customHeight="false" outlineLevel="0" collapsed="false">
      <c r="A718" s="25"/>
      <c r="B718" s="18"/>
      <c r="C718" s="18"/>
      <c r="D718" s="18"/>
      <c r="E718" s="18"/>
      <c r="F718" s="18"/>
    </row>
    <row r="719" customFormat="false" ht="15" hidden="false" customHeight="false" outlineLevel="0" collapsed="false">
      <c r="A719" s="25"/>
      <c r="B719" s="18"/>
      <c r="C719" s="18"/>
      <c r="D719" s="18"/>
      <c r="E719" s="18"/>
      <c r="F719" s="18"/>
    </row>
    <row r="720" customFormat="false" ht="15" hidden="false" customHeight="false" outlineLevel="0" collapsed="false">
      <c r="A720" s="25"/>
      <c r="B720" s="18"/>
      <c r="C720" s="18"/>
      <c r="D720" s="18"/>
      <c r="E720" s="18"/>
      <c r="F720" s="18"/>
    </row>
    <row r="721" customFormat="false" ht="15" hidden="false" customHeight="false" outlineLevel="0" collapsed="false">
      <c r="A721" s="25"/>
      <c r="B721" s="18"/>
      <c r="C721" s="18"/>
      <c r="D721" s="18"/>
      <c r="E721" s="18"/>
      <c r="F721" s="18"/>
    </row>
    <row r="722" customFormat="false" ht="15" hidden="false" customHeight="false" outlineLevel="0" collapsed="false">
      <c r="A722" s="25"/>
      <c r="B722" s="18"/>
      <c r="C722" s="18"/>
      <c r="D722" s="18"/>
      <c r="E722" s="18"/>
      <c r="F722" s="18"/>
    </row>
    <row r="723" customFormat="false" ht="15" hidden="false" customHeight="false" outlineLevel="0" collapsed="false">
      <c r="A723" s="25"/>
      <c r="B723" s="18"/>
      <c r="C723" s="18"/>
      <c r="D723" s="18"/>
      <c r="E723" s="18"/>
      <c r="F723" s="18"/>
    </row>
    <row r="724" customFormat="false" ht="15" hidden="false" customHeight="false" outlineLevel="0" collapsed="false">
      <c r="A724" s="25"/>
      <c r="B724" s="18"/>
      <c r="C724" s="18"/>
      <c r="D724" s="18"/>
      <c r="E724" s="18"/>
      <c r="F724" s="18"/>
    </row>
    <row r="725" customFormat="false" ht="15" hidden="false" customHeight="false" outlineLevel="0" collapsed="false">
      <c r="A725" s="25"/>
      <c r="B725" s="18"/>
      <c r="C725" s="18"/>
      <c r="D725" s="18"/>
      <c r="E725" s="18"/>
      <c r="F725" s="18"/>
    </row>
    <row r="726" customFormat="false" ht="15" hidden="false" customHeight="false" outlineLevel="0" collapsed="false">
      <c r="A726" s="25"/>
      <c r="B726" s="18"/>
      <c r="C726" s="18"/>
      <c r="D726" s="18"/>
      <c r="E726" s="18"/>
      <c r="F726" s="18"/>
    </row>
    <row r="727" customFormat="false" ht="15" hidden="false" customHeight="false" outlineLevel="0" collapsed="false">
      <c r="A727" s="25"/>
      <c r="B727" s="18"/>
      <c r="C727" s="18"/>
      <c r="D727" s="18"/>
      <c r="E727" s="18"/>
      <c r="F727" s="18"/>
    </row>
    <row r="728" customFormat="false" ht="15" hidden="false" customHeight="false" outlineLevel="0" collapsed="false">
      <c r="A728" s="25"/>
      <c r="B728" s="18"/>
      <c r="C728" s="18"/>
      <c r="D728" s="18"/>
      <c r="E728" s="18"/>
      <c r="F728" s="18"/>
    </row>
    <row r="729" customFormat="false" ht="15" hidden="false" customHeight="false" outlineLevel="0" collapsed="false">
      <c r="A729" s="25"/>
      <c r="B729" s="18"/>
      <c r="C729" s="18"/>
      <c r="D729" s="18"/>
      <c r="E729" s="18"/>
      <c r="F729" s="18"/>
    </row>
    <row r="730" customFormat="false" ht="15" hidden="false" customHeight="false" outlineLevel="0" collapsed="false">
      <c r="A730" s="25"/>
      <c r="B730" s="18"/>
      <c r="C730" s="18"/>
      <c r="D730" s="18"/>
      <c r="E730" s="18"/>
      <c r="F730" s="18"/>
    </row>
    <row r="731" customFormat="false" ht="15" hidden="false" customHeight="false" outlineLevel="0" collapsed="false">
      <c r="A731" s="25"/>
      <c r="B731" s="18"/>
      <c r="C731" s="18"/>
      <c r="D731" s="18"/>
      <c r="E731" s="18"/>
      <c r="F731" s="18"/>
    </row>
    <row r="732" customFormat="false" ht="15" hidden="false" customHeight="false" outlineLevel="0" collapsed="false">
      <c r="A732" s="25"/>
      <c r="B732" s="18"/>
      <c r="C732" s="18"/>
      <c r="D732" s="18"/>
      <c r="E732" s="18"/>
      <c r="F732" s="18"/>
    </row>
    <row r="733" customFormat="false" ht="15" hidden="false" customHeight="false" outlineLevel="0" collapsed="false">
      <c r="A733" s="25"/>
      <c r="B733" s="18"/>
      <c r="C733" s="18"/>
      <c r="D733" s="18"/>
      <c r="E733" s="18"/>
      <c r="F733" s="18"/>
    </row>
    <row r="734" customFormat="false" ht="15" hidden="false" customHeight="false" outlineLevel="0" collapsed="false">
      <c r="A734" s="25"/>
      <c r="B734" s="18"/>
      <c r="C734" s="18"/>
      <c r="D734" s="18"/>
      <c r="E734" s="18"/>
      <c r="F734" s="18"/>
    </row>
    <row r="735" customFormat="false" ht="15" hidden="false" customHeight="false" outlineLevel="0" collapsed="false">
      <c r="A735" s="25"/>
      <c r="B735" s="18"/>
      <c r="C735" s="18"/>
      <c r="D735" s="18"/>
      <c r="E735" s="18"/>
      <c r="F735" s="18"/>
    </row>
    <row r="736" customFormat="false" ht="15" hidden="false" customHeight="false" outlineLevel="0" collapsed="false">
      <c r="A736" s="25"/>
      <c r="B736" s="18"/>
      <c r="C736" s="18"/>
      <c r="D736" s="18"/>
      <c r="E736" s="18"/>
      <c r="F736" s="18"/>
    </row>
    <row r="737" customFormat="false" ht="15" hidden="false" customHeight="false" outlineLevel="0" collapsed="false">
      <c r="A737" s="25"/>
      <c r="B737" s="18"/>
      <c r="C737" s="18"/>
      <c r="D737" s="18"/>
      <c r="E737" s="18"/>
      <c r="F737" s="18"/>
    </row>
    <row r="738" customFormat="false" ht="15" hidden="false" customHeight="false" outlineLevel="0" collapsed="false">
      <c r="A738" s="25"/>
      <c r="B738" s="18"/>
      <c r="C738" s="18"/>
      <c r="D738" s="18"/>
      <c r="E738" s="18"/>
      <c r="F738" s="18"/>
    </row>
    <row r="739" customFormat="false" ht="15" hidden="false" customHeight="false" outlineLevel="0" collapsed="false">
      <c r="A739" s="25"/>
      <c r="B739" s="18"/>
      <c r="C739" s="18"/>
      <c r="D739" s="18"/>
      <c r="E739" s="18"/>
      <c r="F739" s="18"/>
    </row>
    <row r="740" customFormat="false" ht="15" hidden="false" customHeight="false" outlineLevel="0" collapsed="false">
      <c r="A740" s="25"/>
      <c r="B740" s="18"/>
      <c r="C740" s="18"/>
      <c r="D740" s="18"/>
      <c r="E740" s="18"/>
      <c r="F740" s="18"/>
    </row>
    <row r="741" customFormat="false" ht="15" hidden="false" customHeight="false" outlineLevel="0" collapsed="false">
      <c r="A741" s="25"/>
      <c r="B741" s="18"/>
      <c r="C741" s="18"/>
      <c r="D741" s="18"/>
      <c r="E741" s="18"/>
      <c r="F741" s="18"/>
    </row>
    <row r="742" customFormat="false" ht="15" hidden="false" customHeight="false" outlineLevel="0" collapsed="false">
      <c r="A742" s="25"/>
      <c r="B742" s="18"/>
      <c r="C742" s="18"/>
      <c r="D742" s="18"/>
      <c r="E742" s="18"/>
      <c r="F742" s="18"/>
    </row>
    <row r="743" customFormat="false" ht="15" hidden="false" customHeight="false" outlineLevel="0" collapsed="false">
      <c r="A743" s="25"/>
      <c r="B743" s="18"/>
      <c r="C743" s="18"/>
      <c r="D743" s="18"/>
      <c r="E743" s="18"/>
      <c r="F743" s="18"/>
    </row>
    <row r="744" customFormat="false" ht="15" hidden="false" customHeight="false" outlineLevel="0" collapsed="false">
      <c r="A744" s="25"/>
      <c r="B744" s="18"/>
      <c r="C744" s="18"/>
      <c r="D744" s="18"/>
      <c r="E744" s="18"/>
      <c r="F744" s="18"/>
    </row>
    <row r="745" customFormat="false" ht="15" hidden="false" customHeight="false" outlineLevel="0" collapsed="false">
      <c r="A745" s="25"/>
      <c r="B745" s="18"/>
      <c r="C745" s="18"/>
      <c r="D745" s="18"/>
      <c r="E745" s="18"/>
      <c r="F745" s="18"/>
    </row>
    <row r="746" customFormat="false" ht="15" hidden="false" customHeight="false" outlineLevel="0" collapsed="false">
      <c r="A746" s="25"/>
      <c r="B746" s="18"/>
      <c r="C746" s="18"/>
      <c r="D746" s="18"/>
      <c r="E746" s="18"/>
      <c r="F746" s="18"/>
    </row>
    <row r="747" customFormat="false" ht="15" hidden="false" customHeight="false" outlineLevel="0" collapsed="false">
      <c r="A747" s="25"/>
      <c r="B747" s="18"/>
      <c r="C747" s="18"/>
      <c r="D747" s="18"/>
      <c r="E747" s="18"/>
      <c r="F747" s="18"/>
    </row>
    <row r="748" customFormat="false" ht="15" hidden="false" customHeight="false" outlineLevel="0" collapsed="false">
      <c r="A748" s="25"/>
      <c r="B748" s="18"/>
      <c r="C748" s="18"/>
      <c r="D748" s="18"/>
      <c r="E748" s="18"/>
      <c r="F748" s="18"/>
    </row>
    <row r="749" customFormat="false" ht="15" hidden="false" customHeight="false" outlineLevel="0" collapsed="false">
      <c r="A749" s="25"/>
      <c r="B749" s="18"/>
      <c r="C749" s="18"/>
      <c r="D749" s="18"/>
      <c r="E749" s="18"/>
      <c r="F749" s="18"/>
    </row>
    <row r="750" customFormat="false" ht="15" hidden="false" customHeight="false" outlineLevel="0" collapsed="false">
      <c r="A750" s="25"/>
      <c r="B750" s="18"/>
      <c r="C750" s="18"/>
      <c r="D750" s="18"/>
      <c r="E750" s="18"/>
      <c r="F750" s="18"/>
    </row>
    <row r="751" customFormat="false" ht="15" hidden="false" customHeight="false" outlineLevel="0" collapsed="false">
      <c r="A751" s="25"/>
      <c r="B751" s="18"/>
      <c r="C751" s="18"/>
      <c r="D751" s="18"/>
      <c r="E751" s="18"/>
      <c r="F751" s="18"/>
    </row>
    <row r="752" customFormat="false" ht="15" hidden="false" customHeight="false" outlineLevel="0" collapsed="false">
      <c r="A752" s="25"/>
      <c r="B752" s="18"/>
      <c r="C752" s="18"/>
      <c r="D752" s="18"/>
      <c r="E752" s="18"/>
      <c r="F752" s="18"/>
    </row>
    <row r="753" customFormat="false" ht="15" hidden="false" customHeight="false" outlineLevel="0" collapsed="false">
      <c r="A753" s="25"/>
      <c r="B753" s="18"/>
      <c r="C753" s="18"/>
      <c r="D753" s="18"/>
      <c r="E753" s="18"/>
      <c r="F753" s="18"/>
    </row>
    <row r="754" customFormat="false" ht="15" hidden="false" customHeight="false" outlineLevel="0" collapsed="false">
      <c r="A754" s="25"/>
      <c r="B754" s="18"/>
      <c r="C754" s="18"/>
      <c r="D754" s="18"/>
      <c r="E754" s="18"/>
      <c r="F754" s="18"/>
    </row>
    <row r="755" customFormat="false" ht="15" hidden="false" customHeight="false" outlineLevel="0" collapsed="false">
      <c r="A755" s="25"/>
      <c r="B755" s="18"/>
      <c r="C755" s="18"/>
      <c r="D755" s="18"/>
      <c r="E755" s="18"/>
      <c r="F755" s="18"/>
    </row>
    <row r="756" customFormat="false" ht="15" hidden="false" customHeight="false" outlineLevel="0" collapsed="false">
      <c r="A756" s="25"/>
      <c r="B756" s="18"/>
      <c r="C756" s="18"/>
      <c r="D756" s="18"/>
      <c r="E756" s="18"/>
      <c r="F756" s="18"/>
    </row>
    <row r="757" customFormat="false" ht="15" hidden="false" customHeight="false" outlineLevel="0" collapsed="false">
      <c r="A757" s="25"/>
      <c r="B757" s="18"/>
      <c r="C757" s="18"/>
      <c r="D757" s="18"/>
      <c r="E757" s="18"/>
      <c r="F757" s="18"/>
    </row>
    <row r="758" customFormat="false" ht="15" hidden="false" customHeight="false" outlineLevel="0" collapsed="false">
      <c r="A758" s="25"/>
      <c r="B758" s="18"/>
      <c r="C758" s="18"/>
      <c r="D758" s="18"/>
      <c r="E758" s="18"/>
      <c r="F758" s="18"/>
    </row>
    <row r="759" customFormat="false" ht="15" hidden="false" customHeight="false" outlineLevel="0" collapsed="false">
      <c r="A759" s="25"/>
      <c r="B759" s="18"/>
      <c r="C759" s="18"/>
      <c r="D759" s="18"/>
      <c r="E759" s="18"/>
      <c r="F759" s="18"/>
    </row>
    <row r="760" customFormat="false" ht="15" hidden="false" customHeight="false" outlineLevel="0" collapsed="false">
      <c r="A760" s="25"/>
      <c r="B760" s="18"/>
      <c r="C760" s="18"/>
      <c r="D760" s="18"/>
      <c r="E760" s="18"/>
      <c r="F760" s="18"/>
    </row>
    <row r="761" customFormat="false" ht="15" hidden="false" customHeight="false" outlineLevel="0" collapsed="false">
      <c r="A761" s="25"/>
      <c r="B761" s="18"/>
      <c r="C761" s="18"/>
      <c r="D761" s="18"/>
      <c r="E761" s="18"/>
      <c r="F761" s="18"/>
    </row>
    <row r="762" customFormat="false" ht="15" hidden="false" customHeight="false" outlineLevel="0" collapsed="false">
      <c r="A762" s="25"/>
      <c r="B762" s="18"/>
      <c r="C762" s="18"/>
      <c r="D762" s="18"/>
      <c r="E762" s="18"/>
      <c r="F762" s="18"/>
    </row>
    <row r="763" customFormat="false" ht="15" hidden="false" customHeight="false" outlineLevel="0" collapsed="false">
      <c r="A763" s="25"/>
      <c r="B763" s="18"/>
      <c r="C763" s="18"/>
      <c r="D763" s="18"/>
      <c r="E763" s="18"/>
      <c r="F763" s="18"/>
    </row>
    <row r="764" customFormat="false" ht="15" hidden="false" customHeight="false" outlineLevel="0" collapsed="false">
      <c r="A764" s="25"/>
      <c r="B764" s="18"/>
      <c r="C764" s="18"/>
      <c r="D764" s="18"/>
      <c r="E764" s="18"/>
      <c r="F764" s="18"/>
    </row>
    <row r="765" customFormat="false" ht="15" hidden="false" customHeight="false" outlineLevel="0" collapsed="false">
      <c r="A765" s="25"/>
      <c r="B765" s="18"/>
      <c r="C765" s="18"/>
      <c r="D765" s="18"/>
      <c r="E765" s="18"/>
      <c r="F765" s="18"/>
    </row>
    <row r="766" customFormat="false" ht="15" hidden="false" customHeight="false" outlineLevel="0" collapsed="false">
      <c r="A766" s="25"/>
      <c r="B766" s="18"/>
      <c r="C766" s="18"/>
      <c r="D766" s="18"/>
      <c r="E766" s="18"/>
      <c r="F766" s="18"/>
    </row>
    <row r="767" customFormat="false" ht="15" hidden="false" customHeight="false" outlineLevel="0" collapsed="false">
      <c r="A767" s="25"/>
      <c r="B767" s="18"/>
      <c r="C767" s="18"/>
      <c r="D767" s="18"/>
      <c r="E767" s="18"/>
      <c r="F767" s="18"/>
    </row>
    <row r="768" customFormat="false" ht="15" hidden="false" customHeight="false" outlineLevel="0" collapsed="false">
      <c r="A768" s="25"/>
      <c r="B768" s="18"/>
      <c r="C768" s="18"/>
      <c r="D768" s="18"/>
      <c r="E768" s="18"/>
      <c r="F768" s="18"/>
    </row>
    <row r="769" customFormat="false" ht="15" hidden="false" customHeight="false" outlineLevel="0" collapsed="false">
      <c r="A769" s="25"/>
      <c r="B769" s="18"/>
      <c r="C769" s="18"/>
      <c r="D769" s="18"/>
      <c r="E769" s="18"/>
      <c r="F769" s="18"/>
    </row>
    <row r="770" customFormat="false" ht="15" hidden="false" customHeight="false" outlineLevel="0" collapsed="false">
      <c r="A770" s="25"/>
      <c r="B770" s="18"/>
      <c r="C770" s="18"/>
      <c r="D770" s="18"/>
      <c r="E770" s="18"/>
      <c r="F770" s="18"/>
    </row>
    <row r="771" customFormat="false" ht="15" hidden="false" customHeight="false" outlineLevel="0" collapsed="false">
      <c r="A771" s="25"/>
      <c r="B771" s="18"/>
      <c r="C771" s="18"/>
      <c r="D771" s="18"/>
      <c r="E771" s="18"/>
      <c r="F771" s="18"/>
    </row>
    <row r="772" customFormat="false" ht="15" hidden="false" customHeight="false" outlineLevel="0" collapsed="false">
      <c r="A772" s="25"/>
      <c r="B772" s="18"/>
      <c r="C772" s="18"/>
      <c r="D772" s="18"/>
      <c r="E772" s="18"/>
      <c r="F772" s="18"/>
    </row>
    <row r="773" customFormat="false" ht="15" hidden="false" customHeight="false" outlineLevel="0" collapsed="false">
      <c r="A773" s="25"/>
      <c r="B773" s="18"/>
      <c r="C773" s="18"/>
      <c r="D773" s="18"/>
      <c r="E773" s="18"/>
      <c r="F773" s="18"/>
    </row>
    <row r="774" customFormat="false" ht="15" hidden="false" customHeight="false" outlineLevel="0" collapsed="false">
      <c r="A774" s="25"/>
      <c r="B774" s="18"/>
      <c r="C774" s="18"/>
      <c r="D774" s="18"/>
      <c r="E774" s="18"/>
      <c r="F774" s="18"/>
    </row>
    <row r="775" customFormat="false" ht="15" hidden="false" customHeight="false" outlineLevel="0" collapsed="false">
      <c r="A775" s="25"/>
      <c r="B775" s="18"/>
      <c r="C775" s="18"/>
      <c r="D775" s="18"/>
      <c r="E775" s="18"/>
      <c r="F775" s="18"/>
    </row>
    <row r="776" customFormat="false" ht="15" hidden="false" customHeight="false" outlineLevel="0" collapsed="false">
      <c r="A776" s="25"/>
      <c r="B776" s="18"/>
      <c r="C776" s="18"/>
      <c r="D776" s="18"/>
      <c r="E776" s="18"/>
      <c r="F776" s="18"/>
    </row>
    <row r="777" customFormat="false" ht="15" hidden="false" customHeight="false" outlineLevel="0" collapsed="false">
      <c r="A777" s="25"/>
      <c r="B777" s="18"/>
      <c r="C777" s="18"/>
      <c r="D777" s="18"/>
      <c r="E777" s="18"/>
      <c r="F777" s="18"/>
    </row>
    <row r="778" customFormat="false" ht="15" hidden="false" customHeight="false" outlineLevel="0" collapsed="false">
      <c r="A778" s="25"/>
      <c r="B778" s="18"/>
      <c r="C778" s="18"/>
      <c r="D778" s="18"/>
      <c r="E778" s="18"/>
      <c r="F778" s="18"/>
    </row>
    <row r="779" customFormat="false" ht="15" hidden="false" customHeight="false" outlineLevel="0" collapsed="false">
      <c r="A779" s="25"/>
      <c r="B779" s="18"/>
      <c r="C779" s="18"/>
      <c r="D779" s="18"/>
      <c r="E779" s="18"/>
      <c r="F779" s="18"/>
    </row>
    <row r="780" customFormat="false" ht="15" hidden="false" customHeight="false" outlineLevel="0" collapsed="false">
      <c r="A780" s="25"/>
      <c r="B780" s="18"/>
      <c r="C780" s="18"/>
      <c r="D780" s="18"/>
      <c r="E780" s="18"/>
      <c r="F780" s="18"/>
    </row>
    <row r="781" customFormat="false" ht="15" hidden="false" customHeight="false" outlineLevel="0" collapsed="false">
      <c r="A781" s="25"/>
      <c r="B781" s="18"/>
      <c r="C781" s="18"/>
      <c r="D781" s="18"/>
      <c r="E781" s="18"/>
      <c r="F781" s="18"/>
    </row>
    <row r="782" customFormat="false" ht="15" hidden="false" customHeight="false" outlineLevel="0" collapsed="false">
      <c r="A782" s="25"/>
      <c r="B782" s="18"/>
      <c r="C782" s="18"/>
      <c r="D782" s="18"/>
      <c r="E782" s="18"/>
      <c r="F782" s="18"/>
    </row>
    <row r="783" customFormat="false" ht="15" hidden="false" customHeight="false" outlineLevel="0" collapsed="false">
      <c r="A783" s="25"/>
      <c r="B783" s="18"/>
      <c r="C783" s="18"/>
      <c r="D783" s="18"/>
      <c r="E783" s="18"/>
      <c r="F783" s="18"/>
    </row>
    <row r="784" customFormat="false" ht="15" hidden="false" customHeight="false" outlineLevel="0" collapsed="false">
      <c r="A784" s="25"/>
      <c r="B784" s="18"/>
      <c r="C784" s="18"/>
      <c r="D784" s="18"/>
      <c r="E784" s="18"/>
      <c r="F784" s="18"/>
    </row>
    <row r="785" customFormat="false" ht="15" hidden="false" customHeight="false" outlineLevel="0" collapsed="false">
      <c r="A785" s="25"/>
      <c r="B785" s="18"/>
      <c r="C785" s="18"/>
      <c r="D785" s="18"/>
      <c r="E785" s="18"/>
      <c r="F785" s="18"/>
    </row>
    <row r="786" customFormat="false" ht="15" hidden="false" customHeight="false" outlineLevel="0" collapsed="false">
      <c r="A786" s="25"/>
      <c r="B786" s="18"/>
      <c r="C786" s="18"/>
      <c r="D786" s="18"/>
      <c r="E786" s="18"/>
      <c r="F786" s="18"/>
    </row>
    <row r="787" customFormat="false" ht="15" hidden="false" customHeight="false" outlineLevel="0" collapsed="false">
      <c r="A787" s="25"/>
      <c r="B787" s="18"/>
      <c r="C787" s="18"/>
      <c r="D787" s="18"/>
      <c r="E787" s="18"/>
      <c r="F787" s="18"/>
    </row>
    <row r="788" customFormat="false" ht="15" hidden="false" customHeight="false" outlineLevel="0" collapsed="false">
      <c r="A788" s="25"/>
      <c r="B788" s="18"/>
      <c r="C788" s="18"/>
      <c r="D788" s="18"/>
      <c r="E788" s="18"/>
      <c r="F788" s="18"/>
    </row>
    <row r="789" customFormat="false" ht="15" hidden="false" customHeight="false" outlineLevel="0" collapsed="false">
      <c r="A789" s="25"/>
      <c r="B789" s="18"/>
      <c r="C789" s="18"/>
      <c r="D789" s="18"/>
      <c r="E789" s="18"/>
      <c r="F789" s="18"/>
    </row>
    <row r="790" customFormat="false" ht="15" hidden="false" customHeight="false" outlineLevel="0" collapsed="false">
      <c r="A790" s="25"/>
      <c r="B790" s="18"/>
      <c r="C790" s="18"/>
      <c r="D790" s="18"/>
      <c r="E790" s="18"/>
      <c r="F790" s="18"/>
    </row>
    <row r="791" customFormat="false" ht="15" hidden="false" customHeight="false" outlineLevel="0" collapsed="false">
      <c r="A791" s="25"/>
      <c r="B791" s="18"/>
      <c r="C791" s="18"/>
      <c r="D791" s="18"/>
      <c r="E791" s="18"/>
      <c r="F791" s="18"/>
    </row>
    <row r="792" customFormat="false" ht="15" hidden="false" customHeight="false" outlineLevel="0" collapsed="false">
      <c r="A792" s="25"/>
      <c r="B792" s="18"/>
      <c r="C792" s="18"/>
      <c r="D792" s="18"/>
      <c r="E792" s="18"/>
      <c r="F792" s="18"/>
    </row>
    <row r="793" customFormat="false" ht="15" hidden="false" customHeight="false" outlineLevel="0" collapsed="false">
      <c r="A793" s="25"/>
      <c r="B793" s="18"/>
      <c r="C793" s="18"/>
      <c r="D793" s="18"/>
      <c r="E793" s="18"/>
      <c r="F793" s="18"/>
    </row>
    <row r="794" customFormat="false" ht="15" hidden="false" customHeight="false" outlineLevel="0" collapsed="false">
      <c r="A794" s="25"/>
      <c r="B794" s="18"/>
      <c r="C794" s="18"/>
      <c r="D794" s="18"/>
      <c r="E794" s="18"/>
      <c r="F794" s="18"/>
    </row>
    <row r="795" customFormat="false" ht="15" hidden="false" customHeight="false" outlineLevel="0" collapsed="false">
      <c r="A795" s="25"/>
      <c r="B795" s="18"/>
      <c r="C795" s="18"/>
      <c r="D795" s="18"/>
      <c r="E795" s="18"/>
      <c r="F795" s="18"/>
    </row>
    <row r="796" customFormat="false" ht="15" hidden="false" customHeight="false" outlineLevel="0" collapsed="false">
      <c r="A796" s="25"/>
      <c r="B796" s="18"/>
      <c r="C796" s="18"/>
      <c r="D796" s="18"/>
      <c r="E796" s="18"/>
      <c r="F796" s="18"/>
    </row>
    <row r="797" customFormat="false" ht="15" hidden="false" customHeight="false" outlineLevel="0" collapsed="false">
      <c r="A797" s="25"/>
      <c r="B797" s="18"/>
      <c r="C797" s="18"/>
      <c r="D797" s="18"/>
      <c r="E797" s="18"/>
      <c r="F797" s="18"/>
    </row>
    <row r="798" customFormat="false" ht="15" hidden="false" customHeight="false" outlineLevel="0" collapsed="false">
      <c r="A798" s="25"/>
      <c r="B798" s="18"/>
      <c r="C798" s="18"/>
      <c r="D798" s="18"/>
      <c r="E798" s="18"/>
      <c r="F798" s="18"/>
    </row>
    <row r="799" customFormat="false" ht="15" hidden="false" customHeight="false" outlineLevel="0" collapsed="false">
      <c r="A799" s="25"/>
      <c r="B799" s="18"/>
      <c r="C799" s="18"/>
      <c r="D799" s="18"/>
      <c r="E799" s="18"/>
      <c r="F799" s="18"/>
    </row>
    <row r="800" customFormat="false" ht="15" hidden="false" customHeight="false" outlineLevel="0" collapsed="false">
      <c r="A800" s="25"/>
      <c r="B800" s="18"/>
      <c r="C800" s="18"/>
      <c r="D800" s="18"/>
      <c r="E800" s="18"/>
      <c r="F800" s="18"/>
    </row>
    <row r="801" customFormat="false" ht="15" hidden="false" customHeight="false" outlineLevel="0" collapsed="false">
      <c r="A801" s="25"/>
      <c r="B801" s="18"/>
      <c r="C801" s="18"/>
      <c r="D801" s="18"/>
      <c r="E801" s="18"/>
      <c r="F801" s="18"/>
    </row>
    <row r="802" customFormat="false" ht="15" hidden="false" customHeight="false" outlineLevel="0" collapsed="false">
      <c r="A802" s="25"/>
      <c r="B802" s="18"/>
      <c r="C802" s="18"/>
      <c r="D802" s="18"/>
      <c r="E802" s="18"/>
      <c r="F802" s="18"/>
    </row>
    <row r="803" customFormat="false" ht="15" hidden="false" customHeight="false" outlineLevel="0" collapsed="false">
      <c r="A803" s="25"/>
      <c r="B803" s="18"/>
      <c r="C803" s="18"/>
      <c r="D803" s="18"/>
      <c r="E803" s="18"/>
      <c r="F803" s="18"/>
    </row>
    <row r="804" customFormat="false" ht="15" hidden="false" customHeight="false" outlineLevel="0" collapsed="false">
      <c r="A804" s="25"/>
      <c r="B804" s="18"/>
      <c r="C804" s="18"/>
      <c r="D804" s="18"/>
      <c r="E804" s="18"/>
      <c r="F804" s="18"/>
    </row>
    <row r="805" customFormat="false" ht="15" hidden="false" customHeight="false" outlineLevel="0" collapsed="false">
      <c r="A805" s="25"/>
      <c r="B805" s="18"/>
      <c r="C805" s="18"/>
      <c r="D805" s="18"/>
      <c r="E805" s="18"/>
      <c r="F805" s="18"/>
    </row>
    <row r="806" customFormat="false" ht="15" hidden="false" customHeight="false" outlineLevel="0" collapsed="false">
      <c r="A806" s="25"/>
      <c r="B806" s="18"/>
      <c r="C806" s="18"/>
      <c r="D806" s="18"/>
      <c r="E806" s="18"/>
      <c r="F806" s="18"/>
    </row>
    <row r="807" customFormat="false" ht="15" hidden="false" customHeight="false" outlineLevel="0" collapsed="false">
      <c r="A807" s="25"/>
      <c r="B807" s="18"/>
      <c r="C807" s="18"/>
      <c r="D807" s="18"/>
      <c r="E807" s="18"/>
      <c r="F807" s="18"/>
    </row>
    <row r="808" customFormat="false" ht="15" hidden="false" customHeight="false" outlineLevel="0" collapsed="false">
      <c r="A808" s="25"/>
      <c r="B808" s="18"/>
      <c r="C808" s="18"/>
      <c r="D808" s="18"/>
      <c r="E808" s="18"/>
      <c r="F808" s="18"/>
    </row>
    <row r="809" customFormat="false" ht="15" hidden="false" customHeight="false" outlineLevel="0" collapsed="false">
      <c r="A809" s="25"/>
      <c r="B809" s="18"/>
      <c r="C809" s="18"/>
      <c r="D809" s="18"/>
      <c r="E809" s="18"/>
      <c r="F809" s="18"/>
    </row>
    <row r="810" customFormat="false" ht="15" hidden="false" customHeight="false" outlineLevel="0" collapsed="false">
      <c r="A810" s="25"/>
      <c r="B810" s="18"/>
      <c r="C810" s="18"/>
      <c r="D810" s="18"/>
      <c r="E810" s="18"/>
      <c r="F810" s="18"/>
    </row>
    <row r="811" customFormat="false" ht="15" hidden="false" customHeight="false" outlineLevel="0" collapsed="false">
      <c r="A811" s="25"/>
      <c r="B811" s="18"/>
      <c r="C811" s="18"/>
      <c r="D811" s="18"/>
      <c r="E811" s="18"/>
      <c r="F811" s="18"/>
    </row>
    <row r="812" customFormat="false" ht="15" hidden="false" customHeight="false" outlineLevel="0" collapsed="false">
      <c r="A812" s="25"/>
      <c r="B812" s="18"/>
      <c r="C812" s="18"/>
      <c r="D812" s="18"/>
      <c r="E812" s="18"/>
      <c r="F812" s="18"/>
    </row>
    <row r="813" customFormat="false" ht="15" hidden="false" customHeight="false" outlineLevel="0" collapsed="false">
      <c r="A813" s="25"/>
      <c r="B813" s="18"/>
      <c r="C813" s="18"/>
      <c r="D813" s="18"/>
      <c r="E813" s="18"/>
      <c r="F813" s="18"/>
    </row>
    <row r="814" customFormat="false" ht="15" hidden="false" customHeight="false" outlineLevel="0" collapsed="false">
      <c r="A814" s="25"/>
      <c r="B814" s="18"/>
      <c r="C814" s="18"/>
      <c r="D814" s="18"/>
      <c r="E814" s="18"/>
      <c r="F814" s="18"/>
    </row>
    <row r="815" customFormat="false" ht="15" hidden="false" customHeight="false" outlineLevel="0" collapsed="false">
      <c r="A815" s="25"/>
      <c r="B815" s="18"/>
      <c r="C815" s="18"/>
      <c r="D815" s="18"/>
      <c r="E815" s="18"/>
      <c r="F815" s="18"/>
    </row>
    <row r="816" customFormat="false" ht="15" hidden="false" customHeight="false" outlineLevel="0" collapsed="false">
      <c r="A816" s="25"/>
      <c r="B816" s="18"/>
      <c r="C816" s="18"/>
      <c r="D816" s="18"/>
      <c r="E816" s="18"/>
      <c r="F816" s="18"/>
    </row>
    <row r="817" customFormat="false" ht="15" hidden="false" customHeight="false" outlineLevel="0" collapsed="false">
      <c r="A817" s="25"/>
      <c r="B817" s="18"/>
      <c r="C817" s="18"/>
      <c r="D817" s="18"/>
      <c r="E817" s="18"/>
      <c r="F817" s="18"/>
    </row>
    <row r="818" customFormat="false" ht="15" hidden="false" customHeight="false" outlineLevel="0" collapsed="false">
      <c r="A818" s="25"/>
      <c r="B818" s="18"/>
      <c r="C818" s="18"/>
      <c r="D818" s="18"/>
      <c r="E818" s="18"/>
      <c r="F818" s="18"/>
    </row>
    <row r="819" customFormat="false" ht="15" hidden="false" customHeight="false" outlineLevel="0" collapsed="false">
      <c r="A819" s="25"/>
      <c r="B819" s="18"/>
      <c r="C819" s="18"/>
      <c r="D819" s="18"/>
      <c r="E819" s="18"/>
      <c r="F819" s="18"/>
    </row>
    <row r="820" customFormat="false" ht="15" hidden="false" customHeight="false" outlineLevel="0" collapsed="false">
      <c r="A820" s="25"/>
      <c r="B820" s="18"/>
      <c r="C820" s="18"/>
      <c r="D820" s="18"/>
      <c r="E820" s="18"/>
      <c r="F820" s="18"/>
    </row>
    <row r="821" customFormat="false" ht="15" hidden="false" customHeight="false" outlineLevel="0" collapsed="false">
      <c r="A821" s="25"/>
      <c r="B821" s="18"/>
      <c r="C821" s="18"/>
      <c r="D821" s="18"/>
      <c r="E821" s="18"/>
      <c r="F821" s="18"/>
    </row>
    <row r="822" customFormat="false" ht="15" hidden="false" customHeight="false" outlineLevel="0" collapsed="false">
      <c r="A822" s="25"/>
      <c r="B822" s="18"/>
      <c r="C822" s="18"/>
      <c r="D822" s="18"/>
      <c r="E822" s="18"/>
      <c r="F822" s="18"/>
    </row>
    <row r="823" customFormat="false" ht="15" hidden="false" customHeight="false" outlineLevel="0" collapsed="false">
      <c r="A823" s="25"/>
      <c r="B823" s="18"/>
      <c r="C823" s="18"/>
      <c r="D823" s="18"/>
      <c r="E823" s="18"/>
      <c r="F823" s="18"/>
    </row>
    <row r="824" customFormat="false" ht="15" hidden="false" customHeight="false" outlineLevel="0" collapsed="false">
      <c r="A824" s="25"/>
      <c r="B824" s="18"/>
      <c r="C824" s="18"/>
      <c r="D824" s="18"/>
      <c r="E824" s="18"/>
      <c r="F824" s="18"/>
    </row>
    <row r="825" customFormat="false" ht="15" hidden="false" customHeight="false" outlineLevel="0" collapsed="false">
      <c r="A825" s="25"/>
      <c r="B825" s="18"/>
      <c r="C825" s="18"/>
      <c r="D825" s="18"/>
      <c r="E825" s="18"/>
      <c r="F825" s="18"/>
    </row>
    <row r="826" customFormat="false" ht="15" hidden="false" customHeight="false" outlineLevel="0" collapsed="false">
      <c r="A826" s="25"/>
      <c r="B826" s="18"/>
      <c r="C826" s="18"/>
      <c r="D826" s="18"/>
      <c r="E826" s="18"/>
      <c r="F826" s="18"/>
    </row>
    <row r="827" customFormat="false" ht="15" hidden="false" customHeight="false" outlineLevel="0" collapsed="false">
      <c r="A827" s="25"/>
      <c r="B827" s="18"/>
      <c r="C827" s="18"/>
      <c r="D827" s="18"/>
      <c r="E827" s="18"/>
      <c r="F827" s="18"/>
    </row>
    <row r="828" customFormat="false" ht="15" hidden="false" customHeight="false" outlineLevel="0" collapsed="false">
      <c r="A828" s="25"/>
      <c r="B828" s="18"/>
      <c r="C828" s="18"/>
      <c r="D828" s="18"/>
      <c r="E828" s="18"/>
      <c r="F828" s="18"/>
    </row>
    <row r="829" customFormat="false" ht="15" hidden="false" customHeight="false" outlineLevel="0" collapsed="false">
      <c r="A829" s="25"/>
      <c r="B829" s="18"/>
      <c r="C829" s="18"/>
      <c r="D829" s="18"/>
      <c r="E829" s="18"/>
      <c r="F829" s="18"/>
    </row>
    <row r="830" customFormat="false" ht="15" hidden="false" customHeight="false" outlineLevel="0" collapsed="false">
      <c r="A830" s="25"/>
      <c r="B830" s="18"/>
      <c r="C830" s="18"/>
      <c r="D830" s="18"/>
      <c r="E830" s="18"/>
      <c r="F830" s="18"/>
    </row>
    <row r="831" customFormat="false" ht="15" hidden="false" customHeight="false" outlineLevel="0" collapsed="false">
      <c r="A831" s="25"/>
      <c r="B831" s="18"/>
      <c r="C831" s="18"/>
      <c r="D831" s="18"/>
      <c r="E831" s="18"/>
      <c r="F831" s="18"/>
    </row>
    <row r="832" customFormat="false" ht="15" hidden="false" customHeight="false" outlineLevel="0" collapsed="false">
      <c r="A832" s="25"/>
      <c r="B832" s="18"/>
      <c r="C832" s="18"/>
      <c r="D832" s="18"/>
      <c r="E832" s="18"/>
      <c r="F832" s="18"/>
    </row>
    <row r="833" customFormat="false" ht="15" hidden="false" customHeight="false" outlineLevel="0" collapsed="false">
      <c r="A833" s="25"/>
      <c r="B833" s="18"/>
      <c r="C833" s="18"/>
      <c r="D833" s="18"/>
      <c r="E833" s="18"/>
      <c r="F833" s="18"/>
    </row>
    <row r="834" customFormat="false" ht="15" hidden="false" customHeight="false" outlineLevel="0" collapsed="false">
      <c r="A834" s="25"/>
      <c r="B834" s="18"/>
      <c r="C834" s="18"/>
      <c r="D834" s="18"/>
      <c r="E834" s="18"/>
      <c r="F834" s="18"/>
    </row>
    <row r="835" customFormat="false" ht="15" hidden="false" customHeight="false" outlineLevel="0" collapsed="false">
      <c r="A835" s="25"/>
      <c r="B835" s="18"/>
      <c r="C835" s="18"/>
      <c r="D835" s="18"/>
      <c r="E835" s="18"/>
      <c r="F835" s="18"/>
    </row>
    <row r="836" customFormat="false" ht="15" hidden="false" customHeight="false" outlineLevel="0" collapsed="false">
      <c r="A836" s="25"/>
      <c r="B836" s="18"/>
      <c r="C836" s="18"/>
      <c r="D836" s="18"/>
      <c r="E836" s="18"/>
      <c r="F836" s="18"/>
    </row>
    <row r="837" customFormat="false" ht="15" hidden="false" customHeight="false" outlineLevel="0" collapsed="false">
      <c r="A837" s="25"/>
      <c r="B837" s="18"/>
      <c r="C837" s="18"/>
      <c r="D837" s="18"/>
      <c r="E837" s="18"/>
      <c r="F837" s="18"/>
    </row>
    <row r="838" customFormat="false" ht="15" hidden="false" customHeight="false" outlineLevel="0" collapsed="false">
      <c r="A838" s="25"/>
      <c r="B838" s="18"/>
      <c r="C838" s="18"/>
      <c r="D838" s="18"/>
      <c r="E838" s="18"/>
      <c r="F838" s="18"/>
    </row>
    <row r="839" customFormat="false" ht="15" hidden="false" customHeight="false" outlineLevel="0" collapsed="false">
      <c r="A839" s="25"/>
      <c r="B839" s="18"/>
      <c r="C839" s="18"/>
      <c r="D839" s="18"/>
      <c r="E839" s="18"/>
      <c r="F839" s="18"/>
    </row>
    <row r="840" customFormat="false" ht="15" hidden="false" customHeight="false" outlineLevel="0" collapsed="false">
      <c r="A840" s="25"/>
      <c r="B840" s="18"/>
      <c r="C840" s="18"/>
      <c r="D840" s="18"/>
      <c r="E840" s="18"/>
      <c r="F840" s="18"/>
    </row>
    <row r="841" customFormat="false" ht="15" hidden="false" customHeight="false" outlineLevel="0" collapsed="false">
      <c r="A841" s="25"/>
      <c r="B841" s="18"/>
      <c r="C841" s="18"/>
      <c r="D841" s="18"/>
      <c r="E841" s="18"/>
      <c r="F841" s="18"/>
    </row>
    <row r="842" customFormat="false" ht="15" hidden="false" customHeight="false" outlineLevel="0" collapsed="false">
      <c r="A842" s="25"/>
      <c r="B842" s="18"/>
      <c r="C842" s="18"/>
      <c r="D842" s="18"/>
      <c r="E842" s="18"/>
      <c r="F842" s="18"/>
    </row>
    <row r="843" customFormat="false" ht="15" hidden="false" customHeight="false" outlineLevel="0" collapsed="false">
      <c r="A843" s="25"/>
      <c r="B843" s="18"/>
      <c r="C843" s="18"/>
      <c r="D843" s="18"/>
      <c r="E843" s="18"/>
      <c r="F843" s="18"/>
    </row>
    <row r="844" customFormat="false" ht="15" hidden="false" customHeight="false" outlineLevel="0" collapsed="false">
      <c r="A844" s="25"/>
      <c r="B844" s="18"/>
      <c r="C844" s="18"/>
      <c r="D844" s="18"/>
      <c r="E844" s="18"/>
      <c r="F844" s="18"/>
    </row>
    <row r="845" customFormat="false" ht="15" hidden="false" customHeight="false" outlineLevel="0" collapsed="false">
      <c r="A845" s="25"/>
      <c r="B845" s="18"/>
      <c r="C845" s="18"/>
      <c r="D845" s="18"/>
      <c r="E845" s="18"/>
      <c r="F845" s="18"/>
    </row>
    <row r="846" customFormat="false" ht="15" hidden="false" customHeight="false" outlineLevel="0" collapsed="false">
      <c r="A846" s="25"/>
      <c r="B846" s="18"/>
      <c r="C846" s="18"/>
      <c r="D846" s="18"/>
      <c r="E846" s="18"/>
      <c r="F846" s="18"/>
    </row>
    <row r="847" customFormat="false" ht="15" hidden="false" customHeight="false" outlineLevel="0" collapsed="false">
      <c r="A847" s="25"/>
      <c r="B847" s="18"/>
      <c r="C847" s="18"/>
      <c r="D847" s="18"/>
      <c r="E847" s="18"/>
      <c r="F847" s="18"/>
    </row>
    <row r="848" customFormat="false" ht="15" hidden="false" customHeight="false" outlineLevel="0" collapsed="false">
      <c r="A848" s="25"/>
      <c r="B848" s="18"/>
      <c r="C848" s="18"/>
      <c r="D848" s="18"/>
      <c r="E848" s="18"/>
      <c r="F848" s="18"/>
    </row>
    <row r="849" customFormat="false" ht="15" hidden="false" customHeight="false" outlineLevel="0" collapsed="false">
      <c r="A849" s="25"/>
      <c r="B849" s="18"/>
      <c r="C849" s="18"/>
      <c r="D849" s="18"/>
      <c r="E849" s="18"/>
      <c r="F849" s="18"/>
    </row>
    <row r="850" customFormat="false" ht="15" hidden="false" customHeight="false" outlineLevel="0" collapsed="false">
      <c r="A850" s="25"/>
      <c r="B850" s="18"/>
      <c r="C850" s="18"/>
      <c r="D850" s="18"/>
      <c r="E850" s="18"/>
      <c r="F850" s="18"/>
    </row>
    <row r="851" customFormat="false" ht="15" hidden="false" customHeight="false" outlineLevel="0" collapsed="false">
      <c r="A851" s="25"/>
      <c r="B851" s="18"/>
      <c r="C851" s="18"/>
      <c r="D851" s="18"/>
      <c r="E851" s="18"/>
      <c r="F851" s="18"/>
    </row>
    <row r="852" customFormat="false" ht="15" hidden="false" customHeight="false" outlineLevel="0" collapsed="false">
      <c r="A852" s="25"/>
      <c r="B852" s="18"/>
      <c r="C852" s="18"/>
      <c r="D852" s="18"/>
      <c r="E852" s="18"/>
      <c r="F852" s="18"/>
    </row>
    <row r="853" customFormat="false" ht="15" hidden="false" customHeight="false" outlineLevel="0" collapsed="false">
      <c r="A853" s="25"/>
      <c r="B853" s="18"/>
      <c r="C853" s="18"/>
      <c r="D853" s="18"/>
      <c r="E853" s="18"/>
      <c r="F853" s="18"/>
    </row>
    <row r="854" customFormat="false" ht="15" hidden="false" customHeight="false" outlineLevel="0" collapsed="false">
      <c r="A854" s="25"/>
      <c r="B854" s="18"/>
      <c r="C854" s="18"/>
      <c r="D854" s="18"/>
      <c r="E854" s="18"/>
      <c r="F854" s="18"/>
    </row>
    <row r="855" customFormat="false" ht="15" hidden="false" customHeight="false" outlineLevel="0" collapsed="false">
      <c r="A855" s="25"/>
      <c r="B855" s="18"/>
      <c r="C855" s="18"/>
      <c r="D855" s="18"/>
      <c r="E855" s="18"/>
      <c r="F855" s="18"/>
    </row>
    <row r="856" customFormat="false" ht="15" hidden="false" customHeight="false" outlineLevel="0" collapsed="false">
      <c r="A856" s="25"/>
      <c r="B856" s="18"/>
      <c r="C856" s="18"/>
      <c r="D856" s="18"/>
      <c r="E856" s="18"/>
      <c r="F856" s="18"/>
    </row>
    <row r="857" customFormat="false" ht="15" hidden="false" customHeight="false" outlineLevel="0" collapsed="false">
      <c r="A857" s="25"/>
      <c r="B857" s="18"/>
      <c r="C857" s="18"/>
      <c r="D857" s="18"/>
      <c r="E857" s="18"/>
      <c r="F857" s="18"/>
    </row>
    <row r="858" customFormat="false" ht="15" hidden="false" customHeight="false" outlineLevel="0" collapsed="false">
      <c r="A858" s="25"/>
      <c r="B858" s="18"/>
      <c r="C858" s="18"/>
      <c r="D858" s="18"/>
      <c r="E858" s="18"/>
      <c r="F858" s="18"/>
    </row>
    <row r="859" customFormat="false" ht="15" hidden="false" customHeight="false" outlineLevel="0" collapsed="false">
      <c r="A859" s="25"/>
      <c r="B859" s="18"/>
      <c r="C859" s="18"/>
      <c r="D859" s="18"/>
      <c r="E859" s="18"/>
      <c r="F859" s="18"/>
    </row>
    <row r="860" customFormat="false" ht="15" hidden="false" customHeight="false" outlineLevel="0" collapsed="false">
      <c r="A860" s="25"/>
      <c r="B860" s="18"/>
      <c r="C860" s="18"/>
      <c r="D860" s="18"/>
      <c r="E860" s="18"/>
      <c r="F860" s="18"/>
    </row>
    <row r="861" customFormat="false" ht="15" hidden="false" customHeight="false" outlineLevel="0" collapsed="false">
      <c r="A861" s="25"/>
      <c r="B861" s="18"/>
      <c r="C861" s="18"/>
      <c r="D861" s="18"/>
      <c r="E861" s="18"/>
      <c r="F861" s="18"/>
    </row>
    <row r="862" customFormat="false" ht="15" hidden="false" customHeight="false" outlineLevel="0" collapsed="false">
      <c r="A862" s="25"/>
      <c r="B862" s="18"/>
      <c r="C862" s="18"/>
      <c r="D862" s="18"/>
      <c r="E862" s="18"/>
      <c r="F862" s="18"/>
    </row>
    <row r="863" customFormat="false" ht="15" hidden="false" customHeight="false" outlineLevel="0" collapsed="false">
      <c r="A863" s="25"/>
      <c r="B863" s="18"/>
      <c r="C863" s="18"/>
      <c r="D863" s="18"/>
      <c r="E863" s="18"/>
      <c r="F863" s="18"/>
    </row>
    <row r="864" customFormat="false" ht="15" hidden="false" customHeight="false" outlineLevel="0" collapsed="false">
      <c r="A864" s="25"/>
      <c r="B864" s="18"/>
      <c r="C864" s="18"/>
      <c r="D864" s="18"/>
      <c r="E864" s="18"/>
      <c r="F864" s="18"/>
    </row>
    <row r="865" customFormat="false" ht="15" hidden="false" customHeight="false" outlineLevel="0" collapsed="false">
      <c r="A865" s="25"/>
      <c r="B865" s="18"/>
      <c r="C865" s="18"/>
      <c r="D865" s="18"/>
      <c r="E865" s="18"/>
      <c r="F865" s="18"/>
    </row>
    <row r="866" customFormat="false" ht="15" hidden="false" customHeight="false" outlineLevel="0" collapsed="false">
      <c r="A866" s="25"/>
      <c r="B866" s="18"/>
      <c r="C866" s="18"/>
      <c r="D866" s="18"/>
      <c r="E866" s="18"/>
      <c r="F866" s="18"/>
    </row>
    <row r="867" customFormat="false" ht="15" hidden="false" customHeight="false" outlineLevel="0" collapsed="false">
      <c r="A867" s="25"/>
      <c r="B867" s="18"/>
      <c r="C867" s="18"/>
      <c r="D867" s="18"/>
      <c r="E867" s="18"/>
      <c r="F867" s="18"/>
    </row>
    <row r="868" customFormat="false" ht="15" hidden="false" customHeight="false" outlineLevel="0" collapsed="false">
      <c r="A868" s="25"/>
      <c r="B868" s="18"/>
      <c r="C868" s="18"/>
      <c r="D868" s="18"/>
      <c r="E868" s="18"/>
      <c r="F868" s="18"/>
    </row>
    <row r="869" customFormat="false" ht="15" hidden="false" customHeight="false" outlineLevel="0" collapsed="false">
      <c r="A869" s="25"/>
      <c r="B869" s="18"/>
      <c r="C869" s="18"/>
      <c r="D869" s="18"/>
      <c r="E869" s="18"/>
      <c r="F869" s="18"/>
    </row>
    <row r="870" customFormat="false" ht="15" hidden="false" customHeight="false" outlineLevel="0" collapsed="false">
      <c r="A870" s="25"/>
      <c r="B870" s="18"/>
      <c r="C870" s="18"/>
      <c r="D870" s="18"/>
      <c r="E870" s="18"/>
      <c r="F870" s="18"/>
    </row>
    <row r="871" customFormat="false" ht="15" hidden="false" customHeight="false" outlineLevel="0" collapsed="false">
      <c r="A871" s="25"/>
      <c r="B871" s="18"/>
      <c r="C871" s="18"/>
      <c r="D871" s="18"/>
      <c r="E871" s="18"/>
      <c r="F871" s="18"/>
    </row>
    <row r="872" customFormat="false" ht="15" hidden="false" customHeight="false" outlineLevel="0" collapsed="false">
      <c r="A872" s="25"/>
      <c r="B872" s="18"/>
      <c r="C872" s="18"/>
      <c r="D872" s="18"/>
      <c r="E872" s="18"/>
      <c r="F872" s="18"/>
    </row>
    <row r="873" customFormat="false" ht="15" hidden="false" customHeight="false" outlineLevel="0" collapsed="false">
      <c r="A873" s="25"/>
      <c r="B873" s="18"/>
      <c r="C873" s="18"/>
      <c r="D873" s="18"/>
      <c r="E873" s="18"/>
      <c r="F873" s="18"/>
    </row>
    <row r="874" customFormat="false" ht="15" hidden="false" customHeight="false" outlineLevel="0" collapsed="false">
      <c r="A874" s="25"/>
      <c r="B874" s="18"/>
      <c r="C874" s="18"/>
      <c r="D874" s="18"/>
      <c r="E874" s="18"/>
      <c r="F874" s="18"/>
    </row>
    <row r="875" customFormat="false" ht="15" hidden="false" customHeight="false" outlineLevel="0" collapsed="false">
      <c r="A875" s="25"/>
      <c r="B875" s="18"/>
      <c r="C875" s="18"/>
      <c r="D875" s="18"/>
      <c r="E875" s="18"/>
      <c r="F875" s="18"/>
    </row>
    <row r="876" customFormat="false" ht="15" hidden="false" customHeight="false" outlineLevel="0" collapsed="false">
      <c r="A876" s="25"/>
      <c r="B876" s="18"/>
      <c r="C876" s="18"/>
      <c r="D876" s="18"/>
      <c r="E876" s="18"/>
      <c r="F876" s="18"/>
    </row>
    <row r="877" customFormat="false" ht="15" hidden="false" customHeight="false" outlineLevel="0" collapsed="false">
      <c r="A877" s="25"/>
      <c r="B877" s="18"/>
      <c r="C877" s="18"/>
      <c r="D877" s="18"/>
      <c r="E877" s="18"/>
      <c r="F877" s="18"/>
    </row>
    <row r="878" customFormat="false" ht="15" hidden="false" customHeight="false" outlineLevel="0" collapsed="false">
      <c r="A878" s="25"/>
      <c r="B878" s="18"/>
      <c r="C878" s="18"/>
      <c r="D878" s="18"/>
      <c r="E878" s="18"/>
      <c r="F878" s="18"/>
    </row>
    <row r="879" customFormat="false" ht="15" hidden="false" customHeight="false" outlineLevel="0" collapsed="false">
      <c r="A879" s="25"/>
      <c r="B879" s="18"/>
      <c r="C879" s="18"/>
      <c r="D879" s="18"/>
      <c r="E879" s="18"/>
      <c r="F879" s="18"/>
    </row>
    <row r="880" customFormat="false" ht="15" hidden="false" customHeight="false" outlineLevel="0" collapsed="false">
      <c r="A880" s="25"/>
      <c r="B880" s="18"/>
      <c r="C880" s="18"/>
      <c r="D880" s="18"/>
      <c r="E880" s="18"/>
      <c r="F880" s="18"/>
    </row>
    <row r="881" customFormat="false" ht="15" hidden="false" customHeight="false" outlineLevel="0" collapsed="false">
      <c r="A881" s="25"/>
      <c r="B881" s="18"/>
      <c r="C881" s="18"/>
      <c r="D881" s="18"/>
      <c r="E881" s="18"/>
      <c r="F881" s="18"/>
    </row>
    <row r="882" customFormat="false" ht="15" hidden="false" customHeight="false" outlineLevel="0" collapsed="false">
      <c r="A882" s="25"/>
      <c r="B882" s="18"/>
      <c r="C882" s="18"/>
      <c r="D882" s="18"/>
      <c r="E882" s="18"/>
      <c r="F882" s="18"/>
    </row>
    <row r="883" customFormat="false" ht="15" hidden="false" customHeight="false" outlineLevel="0" collapsed="false">
      <c r="A883" s="25"/>
      <c r="B883" s="18"/>
      <c r="C883" s="18"/>
      <c r="D883" s="18"/>
      <c r="E883" s="18"/>
      <c r="F883" s="18"/>
    </row>
    <row r="884" customFormat="false" ht="15" hidden="false" customHeight="false" outlineLevel="0" collapsed="false">
      <c r="A884" s="25"/>
      <c r="B884" s="18"/>
      <c r="C884" s="18"/>
      <c r="D884" s="18"/>
      <c r="E884" s="18"/>
      <c r="F884" s="18"/>
    </row>
    <row r="885" customFormat="false" ht="15" hidden="false" customHeight="false" outlineLevel="0" collapsed="false">
      <c r="A885" s="25"/>
      <c r="B885" s="18"/>
      <c r="C885" s="18"/>
      <c r="D885" s="18"/>
      <c r="E885" s="18"/>
      <c r="F885" s="18"/>
    </row>
    <row r="886" customFormat="false" ht="15" hidden="false" customHeight="false" outlineLevel="0" collapsed="false">
      <c r="A886" s="25"/>
      <c r="B886" s="18"/>
      <c r="C886" s="18"/>
      <c r="D886" s="18"/>
      <c r="E886" s="18"/>
      <c r="F886" s="18"/>
    </row>
    <row r="887" customFormat="false" ht="15" hidden="false" customHeight="false" outlineLevel="0" collapsed="false">
      <c r="A887" s="25"/>
      <c r="B887" s="18"/>
      <c r="C887" s="18"/>
      <c r="D887" s="18"/>
      <c r="E887" s="18"/>
      <c r="F887" s="18"/>
    </row>
    <row r="888" customFormat="false" ht="15" hidden="false" customHeight="false" outlineLevel="0" collapsed="false">
      <c r="A888" s="25"/>
      <c r="B888" s="18"/>
      <c r="C888" s="18"/>
      <c r="D888" s="18"/>
      <c r="E888" s="18"/>
      <c r="F888" s="18"/>
    </row>
    <row r="889" customFormat="false" ht="15" hidden="false" customHeight="false" outlineLevel="0" collapsed="false">
      <c r="A889" s="25"/>
      <c r="B889" s="18"/>
      <c r="C889" s="18"/>
      <c r="D889" s="18"/>
      <c r="E889" s="18"/>
      <c r="F889" s="18"/>
    </row>
    <row r="890" customFormat="false" ht="15" hidden="false" customHeight="false" outlineLevel="0" collapsed="false">
      <c r="A890" s="25"/>
      <c r="B890" s="18"/>
      <c r="C890" s="18"/>
      <c r="D890" s="18"/>
      <c r="E890" s="18"/>
      <c r="F890" s="18"/>
    </row>
    <row r="891" customFormat="false" ht="15" hidden="false" customHeight="false" outlineLevel="0" collapsed="false">
      <c r="A891" s="25"/>
      <c r="B891" s="18"/>
      <c r="C891" s="18"/>
      <c r="D891" s="18"/>
      <c r="E891" s="18"/>
      <c r="F891" s="18"/>
    </row>
    <row r="892" customFormat="false" ht="15" hidden="false" customHeight="false" outlineLevel="0" collapsed="false">
      <c r="A892" s="25"/>
      <c r="B892" s="18"/>
      <c r="C892" s="18"/>
      <c r="D892" s="18"/>
      <c r="E892" s="18"/>
      <c r="F892" s="18"/>
    </row>
    <row r="893" customFormat="false" ht="15" hidden="false" customHeight="false" outlineLevel="0" collapsed="false">
      <c r="A893" s="25"/>
      <c r="B893" s="18"/>
      <c r="C893" s="18"/>
      <c r="D893" s="18"/>
      <c r="E893" s="18"/>
      <c r="F893" s="18"/>
    </row>
    <row r="894" customFormat="false" ht="15" hidden="false" customHeight="false" outlineLevel="0" collapsed="false">
      <c r="A894" s="25"/>
      <c r="B894" s="18"/>
      <c r="C894" s="18"/>
      <c r="D894" s="18"/>
      <c r="E894" s="18"/>
      <c r="F894" s="18"/>
    </row>
    <row r="895" customFormat="false" ht="15" hidden="false" customHeight="false" outlineLevel="0" collapsed="false">
      <c r="A895" s="25"/>
      <c r="B895" s="18"/>
      <c r="C895" s="18"/>
      <c r="D895" s="18"/>
      <c r="E895" s="18"/>
      <c r="F895" s="18"/>
    </row>
    <row r="896" customFormat="false" ht="15" hidden="false" customHeight="false" outlineLevel="0" collapsed="false">
      <c r="A896" s="25"/>
      <c r="B896" s="18"/>
      <c r="C896" s="18"/>
      <c r="D896" s="18"/>
      <c r="E896" s="18"/>
      <c r="F896" s="18"/>
    </row>
    <row r="897" customFormat="false" ht="15" hidden="false" customHeight="false" outlineLevel="0" collapsed="false">
      <c r="A897" s="25"/>
      <c r="B897" s="18"/>
      <c r="C897" s="18"/>
      <c r="D897" s="18"/>
      <c r="E897" s="18"/>
      <c r="F897" s="18"/>
    </row>
    <row r="898" customFormat="false" ht="15" hidden="false" customHeight="false" outlineLevel="0" collapsed="false">
      <c r="A898" s="25"/>
      <c r="B898" s="18"/>
      <c r="C898" s="18"/>
      <c r="D898" s="18"/>
      <c r="E898" s="18"/>
      <c r="F898" s="18"/>
    </row>
    <row r="899" customFormat="false" ht="15" hidden="false" customHeight="false" outlineLevel="0" collapsed="false">
      <c r="A899" s="25"/>
      <c r="B899" s="18"/>
      <c r="C899" s="18"/>
      <c r="D899" s="18"/>
      <c r="E899" s="18"/>
      <c r="F899" s="18"/>
    </row>
    <row r="900" customFormat="false" ht="15" hidden="false" customHeight="false" outlineLevel="0" collapsed="false">
      <c r="A900" s="25"/>
      <c r="B900" s="18"/>
      <c r="C900" s="18"/>
      <c r="D900" s="18"/>
      <c r="E900" s="18"/>
      <c r="F900" s="18"/>
    </row>
    <row r="901" customFormat="false" ht="15" hidden="false" customHeight="false" outlineLevel="0" collapsed="false">
      <c r="A901" s="25"/>
      <c r="B901" s="18"/>
      <c r="C901" s="18"/>
      <c r="D901" s="18"/>
      <c r="E901" s="18"/>
      <c r="F901" s="18"/>
    </row>
    <row r="902" customFormat="false" ht="15" hidden="false" customHeight="false" outlineLevel="0" collapsed="false">
      <c r="A902" s="25"/>
      <c r="B902" s="18"/>
      <c r="C902" s="18"/>
      <c r="D902" s="18"/>
      <c r="E902" s="18"/>
      <c r="F902" s="18"/>
    </row>
    <row r="903" customFormat="false" ht="15" hidden="false" customHeight="false" outlineLevel="0" collapsed="false">
      <c r="A903" s="25"/>
      <c r="B903" s="18"/>
      <c r="C903" s="18"/>
      <c r="D903" s="18"/>
      <c r="E903" s="18"/>
      <c r="F903" s="18"/>
    </row>
    <row r="904" customFormat="false" ht="15" hidden="false" customHeight="false" outlineLevel="0" collapsed="false">
      <c r="A904" s="25"/>
      <c r="B904" s="18"/>
      <c r="C904" s="18"/>
      <c r="D904" s="18"/>
      <c r="E904" s="18"/>
      <c r="F904" s="18"/>
    </row>
    <row r="905" customFormat="false" ht="15" hidden="false" customHeight="false" outlineLevel="0" collapsed="false">
      <c r="A905" s="25"/>
      <c r="B905" s="18"/>
      <c r="C905" s="18"/>
      <c r="D905" s="18"/>
      <c r="E905" s="18"/>
      <c r="F905" s="18"/>
    </row>
    <row r="906" customFormat="false" ht="15" hidden="false" customHeight="false" outlineLevel="0" collapsed="false">
      <c r="A906" s="25"/>
      <c r="B906" s="18"/>
      <c r="C906" s="18"/>
      <c r="D906" s="18"/>
      <c r="E906" s="18"/>
      <c r="F906" s="18"/>
    </row>
    <row r="907" customFormat="false" ht="15" hidden="false" customHeight="false" outlineLevel="0" collapsed="false">
      <c r="A907" s="25"/>
      <c r="B907" s="18"/>
      <c r="C907" s="18"/>
      <c r="D907" s="18"/>
      <c r="E907" s="18"/>
      <c r="F907" s="18"/>
    </row>
    <row r="908" customFormat="false" ht="15" hidden="false" customHeight="false" outlineLevel="0" collapsed="false">
      <c r="A908" s="25"/>
      <c r="B908" s="18"/>
      <c r="C908" s="18"/>
      <c r="D908" s="18"/>
      <c r="E908" s="18"/>
      <c r="F908" s="18"/>
    </row>
    <row r="909" customFormat="false" ht="15" hidden="false" customHeight="false" outlineLevel="0" collapsed="false">
      <c r="A909" s="25"/>
      <c r="B909" s="18"/>
      <c r="C909" s="18"/>
      <c r="D909" s="18"/>
      <c r="E909" s="18"/>
      <c r="F909" s="18"/>
    </row>
    <row r="910" customFormat="false" ht="15" hidden="false" customHeight="false" outlineLevel="0" collapsed="false">
      <c r="A910" s="25"/>
      <c r="B910" s="18"/>
      <c r="C910" s="18"/>
      <c r="D910" s="18"/>
      <c r="E910" s="18"/>
      <c r="F910" s="18"/>
    </row>
    <row r="911" customFormat="false" ht="15" hidden="false" customHeight="false" outlineLevel="0" collapsed="false">
      <c r="A911" s="25"/>
      <c r="B911" s="18"/>
      <c r="C911" s="18"/>
      <c r="D911" s="18"/>
      <c r="E911" s="18"/>
      <c r="F911" s="18"/>
    </row>
    <row r="912" customFormat="false" ht="15" hidden="false" customHeight="false" outlineLevel="0" collapsed="false">
      <c r="A912" s="25"/>
      <c r="B912" s="18"/>
      <c r="C912" s="18"/>
      <c r="D912" s="18"/>
      <c r="E912" s="18"/>
      <c r="F912" s="18"/>
    </row>
    <row r="913" customFormat="false" ht="15" hidden="false" customHeight="false" outlineLevel="0" collapsed="false">
      <c r="A913" s="25"/>
      <c r="B913" s="18"/>
      <c r="C913" s="18"/>
      <c r="D913" s="18"/>
      <c r="E913" s="18"/>
      <c r="F913" s="18"/>
    </row>
    <row r="914" customFormat="false" ht="15" hidden="false" customHeight="false" outlineLevel="0" collapsed="false">
      <c r="A914" s="25"/>
      <c r="B914" s="18"/>
      <c r="C914" s="18"/>
      <c r="D914" s="18"/>
      <c r="E914" s="18"/>
      <c r="F914" s="18"/>
    </row>
    <row r="915" customFormat="false" ht="15" hidden="false" customHeight="false" outlineLevel="0" collapsed="false">
      <c r="A915" s="25"/>
      <c r="B915" s="18"/>
      <c r="C915" s="18"/>
      <c r="D915" s="18"/>
      <c r="E915" s="18"/>
      <c r="F915" s="18"/>
    </row>
    <row r="916" customFormat="false" ht="15" hidden="false" customHeight="false" outlineLevel="0" collapsed="false">
      <c r="A916" s="25"/>
      <c r="B916" s="18"/>
      <c r="C916" s="18"/>
      <c r="D916" s="18"/>
      <c r="E916" s="18"/>
      <c r="F916" s="18"/>
    </row>
    <row r="917" customFormat="false" ht="15" hidden="false" customHeight="false" outlineLevel="0" collapsed="false">
      <c r="A917" s="25"/>
      <c r="B917" s="18"/>
      <c r="C917" s="18"/>
      <c r="D917" s="18"/>
      <c r="E917" s="18"/>
      <c r="F917" s="18"/>
    </row>
    <row r="918" customFormat="false" ht="15" hidden="false" customHeight="false" outlineLevel="0" collapsed="false">
      <c r="A918" s="25"/>
      <c r="B918" s="18"/>
      <c r="C918" s="18"/>
      <c r="D918" s="18"/>
      <c r="E918" s="18"/>
      <c r="F918" s="18"/>
    </row>
    <row r="919" customFormat="false" ht="15" hidden="false" customHeight="false" outlineLevel="0" collapsed="false">
      <c r="A919" s="25"/>
      <c r="B919" s="18"/>
      <c r="C919" s="18"/>
      <c r="D919" s="18"/>
      <c r="E919" s="18"/>
      <c r="F919" s="18"/>
    </row>
    <row r="920" customFormat="false" ht="15" hidden="false" customHeight="false" outlineLevel="0" collapsed="false">
      <c r="A920" s="25"/>
      <c r="B920" s="18"/>
      <c r="C920" s="18"/>
      <c r="D920" s="18"/>
      <c r="E920" s="18"/>
      <c r="F920" s="18"/>
    </row>
    <row r="921" customFormat="false" ht="15" hidden="false" customHeight="false" outlineLevel="0" collapsed="false">
      <c r="A921" s="25"/>
      <c r="B921" s="18"/>
      <c r="C921" s="18"/>
      <c r="D921" s="18"/>
      <c r="E921" s="18"/>
      <c r="F921" s="18"/>
    </row>
    <row r="922" customFormat="false" ht="15" hidden="false" customHeight="false" outlineLevel="0" collapsed="false">
      <c r="A922" s="25"/>
      <c r="B922" s="18"/>
      <c r="C922" s="18"/>
      <c r="D922" s="18"/>
      <c r="E922" s="18"/>
      <c r="F922" s="18"/>
    </row>
    <row r="923" customFormat="false" ht="15" hidden="false" customHeight="false" outlineLevel="0" collapsed="false">
      <c r="A923" s="25"/>
      <c r="B923" s="18"/>
      <c r="C923" s="18"/>
      <c r="D923" s="18"/>
      <c r="E923" s="18"/>
      <c r="F923" s="18"/>
    </row>
    <row r="924" customFormat="false" ht="15" hidden="false" customHeight="false" outlineLevel="0" collapsed="false">
      <c r="A924" s="25"/>
      <c r="B924" s="18"/>
      <c r="C924" s="18"/>
      <c r="D924" s="18"/>
      <c r="E924" s="18"/>
      <c r="F924" s="18"/>
    </row>
    <row r="925" customFormat="false" ht="15" hidden="false" customHeight="false" outlineLevel="0" collapsed="false">
      <c r="A925" s="25"/>
      <c r="B925" s="18"/>
      <c r="C925" s="18"/>
      <c r="D925" s="18"/>
      <c r="E925" s="18"/>
      <c r="F925" s="18"/>
    </row>
    <row r="926" customFormat="false" ht="15" hidden="false" customHeight="false" outlineLevel="0" collapsed="false">
      <c r="A926" s="25"/>
      <c r="B926" s="18"/>
      <c r="C926" s="18"/>
      <c r="D926" s="18"/>
      <c r="E926" s="18"/>
      <c r="F926" s="18"/>
    </row>
    <row r="927" customFormat="false" ht="15" hidden="false" customHeight="false" outlineLevel="0" collapsed="false">
      <c r="A927" s="25"/>
      <c r="B927" s="18"/>
      <c r="C927" s="18"/>
      <c r="D927" s="18"/>
      <c r="E927" s="18"/>
      <c r="F927" s="18"/>
    </row>
    <row r="928" customFormat="false" ht="15" hidden="false" customHeight="false" outlineLevel="0" collapsed="false">
      <c r="A928" s="25"/>
      <c r="B928" s="18"/>
      <c r="C928" s="18"/>
      <c r="D928" s="18"/>
      <c r="E928" s="18"/>
      <c r="F928" s="18"/>
    </row>
    <row r="929" customFormat="false" ht="15" hidden="false" customHeight="false" outlineLevel="0" collapsed="false">
      <c r="A929" s="25"/>
      <c r="B929" s="18"/>
      <c r="C929" s="18"/>
      <c r="D929" s="18"/>
      <c r="E929" s="18"/>
      <c r="F929" s="18"/>
    </row>
    <row r="930" customFormat="false" ht="15" hidden="false" customHeight="false" outlineLevel="0" collapsed="false">
      <c r="A930" s="25"/>
      <c r="B930" s="18"/>
      <c r="C930" s="18"/>
      <c r="D930" s="18"/>
      <c r="E930" s="18"/>
      <c r="F930" s="18"/>
    </row>
    <row r="931" customFormat="false" ht="15" hidden="false" customHeight="false" outlineLevel="0" collapsed="false">
      <c r="A931" s="25"/>
      <c r="B931" s="18"/>
      <c r="C931" s="18"/>
      <c r="D931" s="18"/>
      <c r="E931" s="18"/>
      <c r="F931" s="18"/>
    </row>
    <row r="932" customFormat="false" ht="15" hidden="false" customHeight="false" outlineLevel="0" collapsed="false">
      <c r="A932" s="25"/>
      <c r="B932" s="18"/>
      <c r="C932" s="18"/>
      <c r="D932" s="18"/>
      <c r="E932" s="18"/>
      <c r="F932" s="18"/>
    </row>
    <row r="933" customFormat="false" ht="15" hidden="false" customHeight="false" outlineLevel="0" collapsed="false">
      <c r="A933" s="25"/>
      <c r="B933" s="18"/>
      <c r="C933" s="18"/>
      <c r="D933" s="18"/>
      <c r="E933" s="18"/>
      <c r="F933" s="18"/>
    </row>
    <row r="934" customFormat="false" ht="15" hidden="false" customHeight="false" outlineLevel="0" collapsed="false">
      <c r="A934" s="25"/>
      <c r="B934" s="18"/>
      <c r="C934" s="18"/>
      <c r="D934" s="18"/>
      <c r="E934" s="18"/>
      <c r="F934" s="18"/>
    </row>
    <row r="935" customFormat="false" ht="15" hidden="false" customHeight="false" outlineLevel="0" collapsed="false">
      <c r="A935" s="25"/>
      <c r="B935" s="18"/>
      <c r="C935" s="18"/>
      <c r="D935" s="18"/>
      <c r="E935" s="18"/>
      <c r="F935" s="18"/>
    </row>
    <row r="936" customFormat="false" ht="15" hidden="false" customHeight="false" outlineLevel="0" collapsed="false">
      <c r="A936" s="25"/>
      <c r="B936" s="18"/>
      <c r="C936" s="18"/>
      <c r="D936" s="18"/>
      <c r="E936" s="18"/>
      <c r="F936" s="18"/>
    </row>
    <row r="937" customFormat="false" ht="15" hidden="false" customHeight="false" outlineLevel="0" collapsed="false">
      <c r="A937" s="25"/>
      <c r="B937" s="18"/>
      <c r="C937" s="18"/>
      <c r="D937" s="18"/>
      <c r="E937" s="18"/>
      <c r="F937" s="18"/>
    </row>
    <row r="938" customFormat="false" ht="15" hidden="false" customHeight="false" outlineLevel="0" collapsed="false">
      <c r="A938" s="25"/>
      <c r="B938" s="18"/>
      <c r="C938" s="18"/>
      <c r="D938" s="18"/>
      <c r="E938" s="18"/>
      <c r="F938" s="18"/>
    </row>
    <row r="939" customFormat="false" ht="15" hidden="false" customHeight="false" outlineLevel="0" collapsed="false">
      <c r="A939" s="25"/>
      <c r="B939" s="18"/>
      <c r="C939" s="18"/>
      <c r="D939" s="18"/>
      <c r="E939" s="18"/>
      <c r="F939" s="18"/>
    </row>
    <row r="940" customFormat="false" ht="15" hidden="false" customHeight="false" outlineLevel="0" collapsed="false">
      <c r="A940" s="25"/>
      <c r="B940" s="18"/>
      <c r="C940" s="18"/>
      <c r="D940" s="18"/>
      <c r="E940" s="18"/>
      <c r="F940" s="18"/>
    </row>
    <row r="941" customFormat="false" ht="15" hidden="false" customHeight="false" outlineLevel="0" collapsed="false">
      <c r="A941" s="25"/>
      <c r="B941" s="18"/>
      <c r="C941" s="18"/>
      <c r="D941" s="18"/>
      <c r="E941" s="18"/>
      <c r="F941" s="18"/>
    </row>
    <row r="942" customFormat="false" ht="15" hidden="false" customHeight="false" outlineLevel="0" collapsed="false">
      <c r="A942" s="25"/>
      <c r="B942" s="18"/>
      <c r="C942" s="18"/>
      <c r="D942" s="18"/>
      <c r="E942" s="18"/>
      <c r="F942" s="18"/>
    </row>
    <row r="943" customFormat="false" ht="15" hidden="false" customHeight="false" outlineLevel="0" collapsed="false">
      <c r="A943" s="25"/>
      <c r="B943" s="18"/>
      <c r="C943" s="18"/>
      <c r="D943" s="18"/>
      <c r="E943" s="18"/>
      <c r="F943" s="18"/>
    </row>
    <row r="944" customFormat="false" ht="15" hidden="false" customHeight="false" outlineLevel="0" collapsed="false">
      <c r="A944" s="25"/>
      <c r="B944" s="18"/>
      <c r="C944" s="18"/>
      <c r="D944" s="18"/>
      <c r="E944" s="18"/>
      <c r="F944" s="18"/>
    </row>
    <row r="945" customFormat="false" ht="15" hidden="false" customHeight="false" outlineLevel="0" collapsed="false">
      <c r="A945" s="25"/>
      <c r="B945" s="18"/>
      <c r="C945" s="18"/>
      <c r="D945" s="18"/>
      <c r="E945" s="18"/>
      <c r="F945" s="18"/>
    </row>
    <row r="946" customFormat="false" ht="15" hidden="false" customHeight="false" outlineLevel="0" collapsed="false">
      <c r="A946" s="25"/>
      <c r="B946" s="18"/>
      <c r="C946" s="18"/>
      <c r="D946" s="18"/>
      <c r="E946" s="18"/>
      <c r="F946" s="18"/>
    </row>
    <row r="947" customFormat="false" ht="15" hidden="false" customHeight="false" outlineLevel="0" collapsed="false">
      <c r="A947" s="25"/>
      <c r="B947" s="18"/>
      <c r="C947" s="18"/>
      <c r="D947" s="18"/>
      <c r="E947" s="18"/>
      <c r="F947" s="18"/>
    </row>
    <row r="948" customFormat="false" ht="15" hidden="false" customHeight="false" outlineLevel="0" collapsed="false">
      <c r="A948" s="25"/>
      <c r="B948" s="18"/>
      <c r="C948" s="18"/>
      <c r="D948" s="18"/>
      <c r="E948" s="18"/>
      <c r="F948" s="18"/>
    </row>
    <row r="949" customFormat="false" ht="15" hidden="false" customHeight="false" outlineLevel="0" collapsed="false">
      <c r="A949" s="25"/>
      <c r="B949" s="18"/>
      <c r="C949" s="18"/>
      <c r="D949" s="18"/>
      <c r="E949" s="18"/>
      <c r="F949" s="18"/>
    </row>
    <row r="950" customFormat="false" ht="15" hidden="false" customHeight="false" outlineLevel="0" collapsed="false">
      <c r="A950" s="25"/>
      <c r="B950" s="18"/>
      <c r="C950" s="18"/>
      <c r="D950" s="18"/>
      <c r="E950" s="18"/>
      <c r="F950" s="18"/>
    </row>
    <row r="951" customFormat="false" ht="15" hidden="false" customHeight="false" outlineLevel="0" collapsed="false">
      <c r="A951" s="25"/>
      <c r="B951" s="18"/>
      <c r="C951" s="18"/>
      <c r="D951" s="18"/>
      <c r="E951" s="18"/>
      <c r="F951" s="18"/>
    </row>
    <row r="952" customFormat="false" ht="15" hidden="false" customHeight="false" outlineLevel="0" collapsed="false">
      <c r="A952" s="25"/>
      <c r="B952" s="18"/>
      <c r="C952" s="18"/>
      <c r="D952" s="18"/>
      <c r="E952" s="18"/>
      <c r="F952" s="18"/>
    </row>
    <row r="953" customFormat="false" ht="15" hidden="false" customHeight="false" outlineLevel="0" collapsed="false">
      <c r="A953" s="25"/>
      <c r="B953" s="18"/>
      <c r="C953" s="18"/>
      <c r="D953" s="18"/>
      <c r="E953" s="18"/>
      <c r="F953" s="18"/>
    </row>
    <row r="954" customFormat="false" ht="15" hidden="false" customHeight="false" outlineLevel="0" collapsed="false">
      <c r="A954" s="25"/>
      <c r="B954" s="18"/>
      <c r="C954" s="18"/>
      <c r="D954" s="18"/>
      <c r="E954" s="18"/>
      <c r="F954" s="18"/>
    </row>
    <row r="955" customFormat="false" ht="15" hidden="false" customHeight="false" outlineLevel="0" collapsed="false">
      <c r="A955" s="25"/>
      <c r="B955" s="18"/>
      <c r="C955" s="18"/>
      <c r="D955" s="18"/>
      <c r="E955" s="18"/>
      <c r="F955" s="18"/>
    </row>
    <row r="956" customFormat="false" ht="15" hidden="false" customHeight="false" outlineLevel="0" collapsed="false">
      <c r="A956" s="25"/>
      <c r="B956" s="18"/>
      <c r="C956" s="18"/>
      <c r="D956" s="18"/>
      <c r="E956" s="18"/>
      <c r="F956" s="18"/>
    </row>
    <row r="957" customFormat="false" ht="15" hidden="false" customHeight="false" outlineLevel="0" collapsed="false">
      <c r="A957" s="25"/>
      <c r="B957" s="18"/>
      <c r="C957" s="18"/>
      <c r="D957" s="18"/>
      <c r="E957" s="18"/>
      <c r="F957" s="18"/>
    </row>
    <row r="958" customFormat="false" ht="15" hidden="false" customHeight="false" outlineLevel="0" collapsed="false">
      <c r="A958" s="25"/>
      <c r="B958" s="18"/>
      <c r="C958" s="18"/>
      <c r="D958" s="18"/>
      <c r="E958" s="18"/>
      <c r="F958" s="18"/>
    </row>
    <row r="959" customFormat="false" ht="15" hidden="false" customHeight="false" outlineLevel="0" collapsed="false">
      <c r="A959" s="25"/>
      <c r="B959" s="18"/>
      <c r="C959" s="18"/>
      <c r="D959" s="18"/>
      <c r="E959" s="18"/>
      <c r="F959" s="18"/>
    </row>
    <row r="960" customFormat="false" ht="15" hidden="false" customHeight="false" outlineLevel="0" collapsed="false">
      <c r="A960" s="25"/>
      <c r="B960" s="18"/>
      <c r="C960" s="18"/>
      <c r="D960" s="18"/>
      <c r="E960" s="18"/>
      <c r="F960" s="18"/>
    </row>
    <row r="961" customFormat="false" ht="15" hidden="false" customHeight="false" outlineLevel="0" collapsed="false">
      <c r="A961" s="25"/>
      <c r="B961" s="18"/>
      <c r="C961" s="18"/>
      <c r="D961" s="18"/>
      <c r="E961" s="18"/>
      <c r="F961" s="18"/>
    </row>
    <row r="962" customFormat="false" ht="15" hidden="false" customHeight="false" outlineLevel="0" collapsed="false">
      <c r="A962" s="25"/>
      <c r="B962" s="18"/>
      <c r="C962" s="18"/>
      <c r="D962" s="18"/>
      <c r="E962" s="18"/>
      <c r="F962" s="18"/>
    </row>
    <row r="963" customFormat="false" ht="15" hidden="false" customHeight="false" outlineLevel="0" collapsed="false">
      <c r="A963" s="25"/>
      <c r="B963" s="18"/>
      <c r="C963" s="18"/>
      <c r="D963" s="18"/>
      <c r="E963" s="18"/>
      <c r="F963" s="18"/>
    </row>
    <row r="964" customFormat="false" ht="15" hidden="false" customHeight="false" outlineLevel="0" collapsed="false">
      <c r="A964" s="25"/>
      <c r="B964" s="18"/>
      <c r="C964" s="18"/>
      <c r="D964" s="18"/>
      <c r="E964" s="18"/>
      <c r="F964" s="18"/>
    </row>
    <row r="965" customFormat="false" ht="15" hidden="false" customHeight="false" outlineLevel="0" collapsed="false">
      <c r="A965" s="25"/>
      <c r="B965" s="18"/>
      <c r="C965" s="18"/>
      <c r="D965" s="18"/>
      <c r="E965" s="18"/>
      <c r="F965" s="18"/>
    </row>
    <row r="966" customFormat="false" ht="15" hidden="false" customHeight="false" outlineLevel="0" collapsed="false">
      <c r="A966" s="25"/>
      <c r="B966" s="18"/>
      <c r="C966" s="18"/>
      <c r="D966" s="18"/>
      <c r="E966" s="18"/>
      <c r="F966" s="18"/>
    </row>
    <row r="967" customFormat="false" ht="15" hidden="false" customHeight="false" outlineLevel="0" collapsed="false">
      <c r="A967" s="25"/>
      <c r="B967" s="18"/>
      <c r="C967" s="18"/>
      <c r="D967" s="18"/>
      <c r="E967" s="18"/>
      <c r="F967" s="18"/>
    </row>
    <row r="968" customFormat="false" ht="15" hidden="false" customHeight="false" outlineLevel="0" collapsed="false">
      <c r="A968" s="25"/>
      <c r="B968" s="18"/>
      <c r="C968" s="18"/>
      <c r="D968" s="18"/>
      <c r="E968" s="18"/>
      <c r="F968" s="18"/>
    </row>
    <row r="969" customFormat="false" ht="15" hidden="false" customHeight="false" outlineLevel="0" collapsed="false">
      <c r="A969" s="25"/>
      <c r="B969" s="18"/>
      <c r="C969" s="18"/>
      <c r="D969" s="18"/>
      <c r="E969" s="18"/>
      <c r="F969" s="18"/>
    </row>
    <row r="970" customFormat="false" ht="15" hidden="false" customHeight="false" outlineLevel="0" collapsed="false">
      <c r="A970" s="25"/>
      <c r="B970" s="18"/>
      <c r="C970" s="18"/>
      <c r="D970" s="18"/>
      <c r="E970" s="18"/>
      <c r="F970" s="18"/>
    </row>
    <row r="971" customFormat="false" ht="15" hidden="false" customHeight="false" outlineLevel="0" collapsed="false">
      <c r="A971" s="25"/>
      <c r="B971" s="18"/>
      <c r="C971" s="18"/>
      <c r="D971" s="18"/>
      <c r="E971" s="18"/>
      <c r="F971" s="18"/>
    </row>
    <row r="972" customFormat="false" ht="15" hidden="false" customHeight="false" outlineLevel="0" collapsed="false">
      <c r="A972" s="25"/>
      <c r="B972" s="18"/>
      <c r="C972" s="18"/>
      <c r="D972" s="18"/>
      <c r="E972" s="18"/>
      <c r="F972" s="18"/>
    </row>
    <row r="973" customFormat="false" ht="15" hidden="false" customHeight="false" outlineLevel="0" collapsed="false">
      <c r="A973" s="25"/>
      <c r="B973" s="18"/>
      <c r="C973" s="18"/>
      <c r="D973" s="18"/>
      <c r="E973" s="18"/>
      <c r="F973" s="18"/>
    </row>
    <row r="974" customFormat="false" ht="15" hidden="false" customHeight="false" outlineLevel="0" collapsed="false">
      <c r="A974" s="25"/>
      <c r="B974" s="18"/>
      <c r="C974" s="18"/>
      <c r="D974" s="18"/>
      <c r="E974" s="18"/>
      <c r="F974" s="18"/>
    </row>
    <row r="975" customFormat="false" ht="15" hidden="false" customHeight="false" outlineLevel="0" collapsed="false">
      <c r="A975" s="25"/>
      <c r="B975" s="18"/>
      <c r="C975" s="18"/>
      <c r="D975" s="18"/>
      <c r="E975" s="18"/>
      <c r="F975" s="18"/>
    </row>
    <row r="976" customFormat="false" ht="15" hidden="false" customHeight="false" outlineLevel="0" collapsed="false">
      <c r="A976" s="25"/>
      <c r="B976" s="18"/>
      <c r="C976" s="18"/>
      <c r="D976" s="18"/>
      <c r="E976" s="18"/>
      <c r="F976" s="18"/>
    </row>
    <row r="977" customFormat="false" ht="15" hidden="false" customHeight="false" outlineLevel="0" collapsed="false">
      <c r="A977" s="25"/>
      <c r="B977" s="18"/>
      <c r="C977" s="18"/>
      <c r="D977" s="18"/>
      <c r="E977" s="18"/>
      <c r="F977" s="18"/>
    </row>
    <row r="978" customFormat="false" ht="15" hidden="false" customHeight="false" outlineLevel="0" collapsed="false">
      <c r="A978" s="25"/>
      <c r="B978" s="18"/>
      <c r="C978" s="18"/>
      <c r="D978" s="18"/>
      <c r="E978" s="18"/>
      <c r="F978" s="18"/>
    </row>
    <row r="979" customFormat="false" ht="15" hidden="false" customHeight="false" outlineLevel="0" collapsed="false">
      <c r="A979" s="25"/>
      <c r="B979" s="18"/>
      <c r="C979" s="18"/>
      <c r="D979" s="18"/>
      <c r="E979" s="18"/>
      <c r="F979" s="18"/>
    </row>
    <row r="980" customFormat="false" ht="15" hidden="false" customHeight="false" outlineLevel="0" collapsed="false">
      <c r="A980" s="25"/>
      <c r="B980" s="18"/>
      <c r="C980" s="18"/>
      <c r="D980" s="18"/>
      <c r="E980" s="18"/>
      <c r="F980" s="18"/>
    </row>
    <row r="981" customFormat="false" ht="15" hidden="false" customHeight="false" outlineLevel="0" collapsed="false">
      <c r="A981" s="25"/>
      <c r="B981" s="18"/>
      <c r="C981" s="18"/>
      <c r="D981" s="18"/>
      <c r="E981" s="18"/>
      <c r="F981" s="18"/>
    </row>
    <row r="982" customFormat="false" ht="15" hidden="false" customHeight="false" outlineLevel="0" collapsed="false">
      <c r="A982" s="25"/>
      <c r="B982" s="18"/>
      <c r="C982" s="18"/>
      <c r="D982" s="18"/>
      <c r="E982" s="18"/>
      <c r="F982" s="18"/>
    </row>
    <row r="983" customFormat="false" ht="15" hidden="false" customHeight="false" outlineLevel="0" collapsed="false">
      <c r="A983" s="25"/>
      <c r="B983" s="18"/>
      <c r="C983" s="18"/>
      <c r="D983" s="18"/>
      <c r="E983" s="18"/>
      <c r="F983" s="18"/>
    </row>
    <row r="984" customFormat="false" ht="15" hidden="false" customHeight="false" outlineLevel="0" collapsed="false">
      <c r="A984" s="25"/>
      <c r="B984" s="18"/>
      <c r="C984" s="18"/>
      <c r="D984" s="18"/>
      <c r="E984" s="18"/>
      <c r="F984" s="18"/>
    </row>
    <row r="985" customFormat="false" ht="15" hidden="false" customHeight="false" outlineLevel="0" collapsed="false">
      <c r="A985" s="25"/>
      <c r="B985" s="18"/>
      <c r="C985" s="18"/>
      <c r="D985" s="18"/>
      <c r="E985" s="18"/>
      <c r="F985" s="18"/>
    </row>
    <row r="986" customFormat="false" ht="15" hidden="false" customHeight="false" outlineLevel="0" collapsed="false">
      <c r="A986" s="25"/>
      <c r="B986" s="18"/>
      <c r="C986" s="18"/>
      <c r="D986" s="18"/>
      <c r="E986" s="18"/>
      <c r="F986" s="18"/>
    </row>
    <row r="987" customFormat="false" ht="15" hidden="false" customHeight="false" outlineLevel="0" collapsed="false">
      <c r="A987" s="25"/>
      <c r="B987" s="18"/>
      <c r="C987" s="18"/>
      <c r="D987" s="18"/>
      <c r="E987" s="18"/>
      <c r="F987" s="18"/>
    </row>
    <row r="988" customFormat="false" ht="15" hidden="false" customHeight="false" outlineLevel="0" collapsed="false">
      <c r="A988" s="25"/>
      <c r="B988" s="18"/>
      <c r="C988" s="18"/>
      <c r="D988" s="18"/>
      <c r="E988" s="18"/>
      <c r="F988" s="18"/>
    </row>
    <row r="989" customFormat="false" ht="15" hidden="false" customHeight="false" outlineLevel="0" collapsed="false">
      <c r="A989" s="25"/>
      <c r="B989" s="18"/>
      <c r="C989" s="18"/>
      <c r="D989" s="18"/>
      <c r="E989" s="18"/>
      <c r="F989" s="18"/>
    </row>
    <row r="990" customFormat="false" ht="15" hidden="false" customHeight="false" outlineLevel="0" collapsed="false">
      <c r="A990" s="25"/>
      <c r="B990" s="18"/>
      <c r="C990" s="18"/>
      <c r="D990" s="18"/>
      <c r="E990" s="18"/>
      <c r="F990" s="18"/>
    </row>
    <row r="991" customFormat="false" ht="15" hidden="false" customHeight="false" outlineLevel="0" collapsed="false">
      <c r="A991" s="25"/>
      <c r="B991" s="18"/>
      <c r="C991" s="18"/>
      <c r="D991" s="18"/>
      <c r="E991" s="18"/>
      <c r="F991" s="18"/>
    </row>
    <row r="992" customFormat="false" ht="15" hidden="false" customHeight="false" outlineLevel="0" collapsed="false">
      <c r="A992" s="25"/>
      <c r="B992" s="18"/>
      <c r="C992" s="18"/>
      <c r="D992" s="18"/>
      <c r="E992" s="18"/>
      <c r="F992" s="18"/>
    </row>
    <row r="993" customFormat="false" ht="15" hidden="false" customHeight="false" outlineLevel="0" collapsed="false">
      <c r="A993" s="25"/>
      <c r="B993" s="18"/>
      <c r="C993" s="18"/>
      <c r="D993" s="18"/>
      <c r="E993" s="18"/>
      <c r="F993" s="18"/>
    </row>
    <row r="994" customFormat="false" ht="15" hidden="false" customHeight="false" outlineLevel="0" collapsed="false">
      <c r="A994" s="25"/>
      <c r="B994" s="18"/>
      <c r="C994" s="18"/>
      <c r="D994" s="18"/>
      <c r="E994" s="18"/>
      <c r="F994" s="18"/>
    </row>
    <row r="995" customFormat="false" ht="15" hidden="false" customHeight="false" outlineLevel="0" collapsed="false">
      <c r="A995" s="25"/>
      <c r="B995" s="18"/>
      <c r="C995" s="18"/>
      <c r="D995" s="18"/>
      <c r="E995" s="18"/>
      <c r="F995" s="18"/>
    </row>
    <row r="996" customFormat="false" ht="15" hidden="false" customHeight="false" outlineLevel="0" collapsed="false">
      <c r="A996" s="25"/>
      <c r="B996" s="18"/>
      <c r="C996" s="18"/>
      <c r="D996" s="18"/>
      <c r="E996" s="18"/>
      <c r="F996" s="18"/>
    </row>
    <row r="997" customFormat="false" ht="15" hidden="false" customHeight="false" outlineLevel="0" collapsed="false">
      <c r="A997" s="25"/>
      <c r="B997" s="18"/>
      <c r="C997" s="18"/>
      <c r="D997" s="18"/>
      <c r="E997" s="18"/>
      <c r="F997" s="18"/>
    </row>
    <row r="998" customFormat="false" ht="15" hidden="false" customHeight="false" outlineLevel="0" collapsed="false">
      <c r="A998" s="25"/>
      <c r="B998" s="18"/>
      <c r="C998" s="18"/>
      <c r="D998" s="18"/>
      <c r="E998" s="18"/>
      <c r="F998" s="18"/>
    </row>
    <row r="999" customFormat="false" ht="15" hidden="false" customHeight="false" outlineLevel="0" collapsed="false">
      <c r="A999" s="25"/>
      <c r="B999" s="18"/>
      <c r="C999" s="18"/>
      <c r="D999" s="18"/>
      <c r="E999" s="18"/>
      <c r="F999" s="18"/>
    </row>
    <row r="1000" customFormat="false" ht="15" hidden="false" customHeight="false" outlineLevel="0" collapsed="false">
      <c r="A1000" s="25"/>
      <c r="B1000" s="18"/>
      <c r="C1000" s="18"/>
      <c r="D1000" s="18"/>
      <c r="E1000" s="18"/>
      <c r="F100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14" t="s">
        <v>119</v>
      </c>
      <c r="B1" s="14" t="s">
        <v>121</v>
      </c>
      <c r="C1" s="14" t="s">
        <v>122</v>
      </c>
      <c r="D1" s="14" t="s">
        <v>123</v>
      </c>
      <c r="E1" s="14" t="s">
        <v>120</v>
      </c>
      <c r="G1" s="4" t="s">
        <v>124</v>
      </c>
      <c r="H1" s="21"/>
    </row>
    <row r="2" customFormat="false" ht="15" hidden="false" customHeight="false" outlineLevel="0" collapsed="false">
      <c r="A2" s="17" t="n">
        <v>46308</v>
      </c>
      <c r="B2" s="15" t="n">
        <v>150</v>
      </c>
      <c r="C2" s="15" t="n">
        <v>400</v>
      </c>
      <c r="D2" s="15"/>
      <c r="E2" s="15" t="s">
        <v>97</v>
      </c>
      <c r="G2" s="4" t="s">
        <v>63</v>
      </c>
      <c r="H2" s="20"/>
    </row>
    <row r="3" customFormat="false" ht="15" hidden="false" customHeight="false" outlineLevel="0" collapsed="false">
      <c r="A3" s="25"/>
      <c r="B3" s="18"/>
      <c r="C3" s="18"/>
      <c r="D3" s="13" t="str">
        <f aca="false">IF(OR(B3="",B2="",3=3),"",B3-B2)</f>
        <v/>
      </c>
      <c r="E3" s="18"/>
      <c r="G3" s="4" t="s">
        <v>125</v>
      </c>
      <c r="H3" s="13" t="str">
        <f aca="false">IFERROR(LOOKUP(2,1/(B3:B1000&lt;&gt;""),B3:B1000),"")</f>
        <v/>
      </c>
    </row>
    <row r="4" customFormat="false" ht="15" hidden="false" customHeight="false" outlineLevel="0" collapsed="false">
      <c r="A4" s="25"/>
      <c r="B4" s="18"/>
      <c r="C4" s="18"/>
      <c r="D4" s="13" t="str">
        <f aca="false">IF(OR(B4="",B3="",4=3),"",B4-B3)</f>
        <v/>
      </c>
      <c r="E4" s="18"/>
      <c r="G4" s="4" t="s">
        <v>126</v>
      </c>
      <c r="H4" s="32" t="str">
        <f aca="false">IF(OR(H1="",H1=0,H3=""),"",H3/H1)</f>
        <v/>
      </c>
    </row>
    <row r="5" customFormat="false" ht="15" hidden="false" customHeight="false" outlineLevel="0" collapsed="false">
      <c r="A5" s="25"/>
      <c r="B5" s="18"/>
      <c r="C5" s="18"/>
      <c r="D5" s="13" t="str">
        <f aca="false">IF(OR(B5="",B4="",5=3),"",B5-B4)</f>
        <v/>
      </c>
      <c r="E5" s="18"/>
      <c r="G5" s="4" t="s">
        <v>127</v>
      </c>
      <c r="H5" s="13" t="str">
        <f aca="true">IF(H2="","",H2-TODAY())</f>
        <v/>
      </c>
    </row>
    <row r="6" customFormat="false" ht="15" hidden="false" customHeight="false" outlineLevel="0" collapsed="false">
      <c r="A6" s="25"/>
      <c r="B6" s="18"/>
      <c r="C6" s="18"/>
      <c r="D6" s="13" t="str">
        <f aca="false">IF(OR(B6="",B5="",6=3),"",B6-B5)</f>
        <v/>
      </c>
      <c r="E6" s="18"/>
    </row>
    <row r="7" customFormat="false" ht="15" hidden="false" customHeight="false" outlineLevel="0" collapsed="false">
      <c r="A7" s="25"/>
      <c r="B7" s="18"/>
      <c r="C7" s="18"/>
      <c r="D7" s="13" t="str">
        <f aca="false">IF(OR(B7="",B6="",7=3),"",B7-B6)</f>
        <v/>
      </c>
      <c r="E7" s="18"/>
    </row>
    <row r="8" customFormat="false" ht="15" hidden="false" customHeight="false" outlineLevel="0" collapsed="false">
      <c r="A8" s="25"/>
      <c r="B8" s="18"/>
      <c r="C8" s="18"/>
      <c r="D8" s="13" t="str">
        <f aca="false">IF(OR(B8="",B7="",8=3),"",B8-B7)</f>
        <v/>
      </c>
      <c r="E8" s="18"/>
    </row>
    <row r="9" customFormat="false" ht="15" hidden="false" customHeight="false" outlineLevel="0" collapsed="false">
      <c r="A9" s="25"/>
      <c r="B9" s="18"/>
      <c r="C9" s="18"/>
      <c r="D9" s="13" t="str">
        <f aca="false">IF(OR(B9="",B8="",9=3),"",B9-B8)</f>
        <v/>
      </c>
      <c r="E9" s="18"/>
    </row>
    <row r="10" customFormat="false" ht="15" hidden="false" customHeight="false" outlineLevel="0" collapsed="false">
      <c r="A10" s="25"/>
      <c r="B10" s="18"/>
      <c r="C10" s="18"/>
      <c r="D10" s="13" t="str">
        <f aca="false">IF(OR(B10="",B9="",10=3),"",B10-B9)</f>
        <v/>
      </c>
      <c r="E10" s="18"/>
    </row>
    <row r="11" customFormat="false" ht="15" hidden="false" customHeight="false" outlineLevel="0" collapsed="false">
      <c r="A11" s="25"/>
      <c r="B11" s="18"/>
      <c r="C11" s="18"/>
      <c r="D11" s="13" t="str">
        <f aca="false">IF(OR(B11="",B10="",11=3),"",B11-B10)</f>
        <v/>
      </c>
      <c r="E11" s="18"/>
    </row>
    <row r="12" customFormat="false" ht="15" hidden="false" customHeight="false" outlineLevel="0" collapsed="false">
      <c r="A12" s="25"/>
      <c r="B12" s="18"/>
      <c r="C12" s="18"/>
      <c r="D12" s="13" t="str">
        <f aca="false">IF(OR(B12="",B11="",12=3),"",B12-B11)</f>
        <v/>
      </c>
      <c r="E12" s="18"/>
    </row>
    <row r="13" customFormat="false" ht="15" hidden="false" customHeight="false" outlineLevel="0" collapsed="false">
      <c r="A13" s="25"/>
      <c r="B13" s="18"/>
      <c r="C13" s="18"/>
      <c r="D13" s="13" t="str">
        <f aca="false">IF(OR(B13="",B12="",13=3),"",B13-B12)</f>
        <v/>
      </c>
      <c r="E13" s="18"/>
    </row>
    <row r="14" customFormat="false" ht="15" hidden="false" customHeight="false" outlineLevel="0" collapsed="false">
      <c r="A14" s="25"/>
      <c r="B14" s="18"/>
      <c r="C14" s="18"/>
      <c r="D14" s="13" t="str">
        <f aca="false">IF(OR(B14="",B13="",14=3),"",B14-B13)</f>
        <v/>
      </c>
      <c r="E14" s="18"/>
    </row>
    <row r="15" customFormat="false" ht="15" hidden="false" customHeight="false" outlineLevel="0" collapsed="false">
      <c r="A15" s="25"/>
      <c r="B15" s="18"/>
      <c r="C15" s="18"/>
      <c r="D15" s="13" t="str">
        <f aca="false">IF(OR(B15="",B14="",15=3),"",B15-B14)</f>
        <v/>
      </c>
      <c r="E15" s="18"/>
    </row>
    <row r="16" customFormat="false" ht="15" hidden="false" customHeight="false" outlineLevel="0" collapsed="false">
      <c r="A16" s="25"/>
      <c r="B16" s="18"/>
      <c r="C16" s="18"/>
      <c r="D16" s="13" t="str">
        <f aca="false">IF(OR(B16="",B15="",16=3),"",B16-B15)</f>
        <v/>
      </c>
      <c r="E16" s="18"/>
    </row>
    <row r="17" customFormat="false" ht="15" hidden="false" customHeight="false" outlineLevel="0" collapsed="false">
      <c r="A17" s="25"/>
      <c r="B17" s="18"/>
      <c r="C17" s="18"/>
      <c r="D17" s="13" t="str">
        <f aca="false">IF(OR(B17="",B16="",17=3),"",B17-B16)</f>
        <v/>
      </c>
      <c r="E17" s="18"/>
    </row>
    <row r="18" customFormat="false" ht="15" hidden="false" customHeight="false" outlineLevel="0" collapsed="false">
      <c r="A18" s="25"/>
      <c r="B18" s="18"/>
      <c r="C18" s="18"/>
      <c r="D18" s="13" t="str">
        <f aca="false">IF(OR(B18="",B17="",18=3),"",B18-B17)</f>
        <v/>
      </c>
      <c r="E18" s="18"/>
    </row>
    <row r="19" customFormat="false" ht="15" hidden="false" customHeight="false" outlineLevel="0" collapsed="false">
      <c r="A19" s="25"/>
      <c r="B19" s="18"/>
      <c r="C19" s="18"/>
      <c r="D19" s="13" t="str">
        <f aca="false">IF(OR(B19="",B18="",19=3),"",B19-B18)</f>
        <v/>
      </c>
      <c r="E19" s="18"/>
    </row>
    <row r="20" customFormat="false" ht="15" hidden="false" customHeight="false" outlineLevel="0" collapsed="false">
      <c r="A20" s="25"/>
      <c r="B20" s="18"/>
      <c r="C20" s="18"/>
      <c r="D20" s="13" t="str">
        <f aca="false">IF(OR(B20="",B19="",20=3),"",B20-B19)</f>
        <v/>
      </c>
      <c r="E20" s="18"/>
    </row>
    <row r="21" customFormat="false" ht="15" hidden="false" customHeight="false" outlineLevel="0" collapsed="false">
      <c r="A21" s="25"/>
      <c r="B21" s="18"/>
      <c r="C21" s="18"/>
      <c r="D21" s="13" t="str">
        <f aca="false">IF(OR(B21="",B20="",21=3),"",B21-B20)</f>
        <v/>
      </c>
      <c r="E21" s="18"/>
    </row>
    <row r="22" customFormat="false" ht="15" hidden="false" customHeight="false" outlineLevel="0" collapsed="false">
      <c r="A22" s="25"/>
      <c r="B22" s="18"/>
      <c r="C22" s="18"/>
      <c r="D22" s="13" t="str">
        <f aca="false">IF(OR(B22="",B21="",22=3),"",B22-B21)</f>
        <v/>
      </c>
      <c r="E22" s="18"/>
    </row>
    <row r="23" customFormat="false" ht="15" hidden="false" customHeight="false" outlineLevel="0" collapsed="false">
      <c r="A23" s="25"/>
      <c r="B23" s="18"/>
      <c r="C23" s="18"/>
      <c r="D23" s="13" t="str">
        <f aca="false">IF(OR(B23="",B22="",23=3),"",B23-B22)</f>
        <v/>
      </c>
      <c r="E23" s="18"/>
    </row>
    <row r="24" customFormat="false" ht="15" hidden="false" customHeight="false" outlineLevel="0" collapsed="false">
      <c r="A24" s="25"/>
      <c r="B24" s="18"/>
      <c r="C24" s="18"/>
      <c r="D24" s="13" t="str">
        <f aca="false">IF(OR(B24="",B23="",24=3),"",B24-B23)</f>
        <v/>
      </c>
      <c r="E24" s="18"/>
    </row>
    <row r="25" customFormat="false" ht="15" hidden="false" customHeight="false" outlineLevel="0" collapsed="false">
      <c r="A25" s="25"/>
      <c r="B25" s="18"/>
      <c r="C25" s="18"/>
      <c r="D25" s="13" t="str">
        <f aca="false">IF(OR(B25="",B24="",25=3),"",B25-B24)</f>
        <v/>
      </c>
      <c r="E25" s="18"/>
    </row>
    <row r="26" customFormat="false" ht="15" hidden="false" customHeight="false" outlineLevel="0" collapsed="false">
      <c r="A26" s="25"/>
      <c r="B26" s="18"/>
      <c r="C26" s="18"/>
      <c r="D26" s="13" t="str">
        <f aca="false">IF(OR(B26="",B25="",26=3),"",B26-B25)</f>
        <v/>
      </c>
      <c r="E26" s="18"/>
    </row>
    <row r="27" customFormat="false" ht="15" hidden="false" customHeight="false" outlineLevel="0" collapsed="false">
      <c r="A27" s="25"/>
      <c r="B27" s="18"/>
      <c r="C27" s="18"/>
      <c r="D27" s="13" t="str">
        <f aca="false">IF(OR(B27="",B26="",27=3),"",B27-B26)</f>
        <v/>
      </c>
      <c r="E27" s="18"/>
    </row>
    <row r="28" customFormat="false" ht="15" hidden="false" customHeight="false" outlineLevel="0" collapsed="false">
      <c r="A28" s="25"/>
      <c r="B28" s="18"/>
      <c r="C28" s="18"/>
      <c r="D28" s="13" t="str">
        <f aca="false">IF(OR(B28="",B27="",28=3),"",B28-B27)</f>
        <v/>
      </c>
      <c r="E28" s="18"/>
    </row>
    <row r="29" customFormat="false" ht="15" hidden="false" customHeight="false" outlineLevel="0" collapsed="false">
      <c r="A29" s="25"/>
      <c r="B29" s="18"/>
      <c r="C29" s="18"/>
      <c r="D29" s="13" t="str">
        <f aca="false">IF(OR(B29="",B28="",29=3),"",B29-B28)</f>
        <v/>
      </c>
      <c r="E29" s="18"/>
    </row>
    <row r="30" customFormat="false" ht="15" hidden="false" customHeight="false" outlineLevel="0" collapsed="false">
      <c r="A30" s="25"/>
      <c r="B30" s="18"/>
      <c r="C30" s="18"/>
      <c r="D30" s="13" t="str">
        <f aca="false">IF(OR(B30="",B29="",30=3),"",B30-B29)</f>
        <v/>
      </c>
      <c r="E30" s="18"/>
    </row>
    <row r="31" customFormat="false" ht="15" hidden="false" customHeight="false" outlineLevel="0" collapsed="false">
      <c r="A31" s="25"/>
      <c r="B31" s="18"/>
      <c r="C31" s="18"/>
      <c r="D31" s="13" t="str">
        <f aca="false">IF(OR(B31="",B30="",31=3),"",B31-B30)</f>
        <v/>
      </c>
      <c r="E31" s="18"/>
    </row>
    <row r="32" customFormat="false" ht="15" hidden="false" customHeight="false" outlineLevel="0" collapsed="false">
      <c r="A32" s="25"/>
      <c r="B32" s="18"/>
      <c r="C32" s="18"/>
      <c r="D32" s="13" t="str">
        <f aca="false">IF(OR(B32="",B31="",32=3),"",B32-B31)</f>
        <v/>
      </c>
      <c r="E32" s="18"/>
    </row>
    <row r="33" customFormat="false" ht="15" hidden="false" customHeight="false" outlineLevel="0" collapsed="false">
      <c r="A33" s="25"/>
      <c r="B33" s="18"/>
      <c r="C33" s="18"/>
      <c r="D33" s="13" t="str">
        <f aca="false">IF(OR(B33="",B32="",33=3),"",B33-B32)</f>
        <v/>
      </c>
      <c r="E33" s="18"/>
    </row>
    <row r="34" customFormat="false" ht="15" hidden="false" customHeight="false" outlineLevel="0" collapsed="false">
      <c r="A34" s="25"/>
      <c r="B34" s="18"/>
      <c r="C34" s="18"/>
      <c r="D34" s="13" t="str">
        <f aca="false">IF(OR(B34="",B33="",34=3),"",B34-B33)</f>
        <v/>
      </c>
      <c r="E34" s="18"/>
    </row>
    <row r="35" customFormat="false" ht="15" hidden="false" customHeight="false" outlineLevel="0" collapsed="false">
      <c r="A35" s="25"/>
      <c r="B35" s="18"/>
      <c r="C35" s="18"/>
      <c r="D35" s="13" t="str">
        <f aca="false">IF(OR(B35="",B34="",35=3),"",B35-B34)</f>
        <v/>
      </c>
      <c r="E35" s="18"/>
    </row>
    <row r="36" customFormat="false" ht="15" hidden="false" customHeight="false" outlineLevel="0" collapsed="false">
      <c r="A36" s="25"/>
      <c r="B36" s="18"/>
      <c r="C36" s="18"/>
      <c r="D36" s="13" t="str">
        <f aca="false">IF(OR(B36="",B35="",36=3),"",B36-B35)</f>
        <v/>
      </c>
      <c r="E36" s="18"/>
    </row>
    <row r="37" customFormat="false" ht="15" hidden="false" customHeight="false" outlineLevel="0" collapsed="false">
      <c r="A37" s="25"/>
      <c r="B37" s="18"/>
      <c r="C37" s="18"/>
      <c r="D37" s="13" t="str">
        <f aca="false">IF(OR(B37="",B36="",37=3),"",B37-B36)</f>
        <v/>
      </c>
      <c r="E37" s="18"/>
    </row>
    <row r="38" customFormat="false" ht="15" hidden="false" customHeight="false" outlineLevel="0" collapsed="false">
      <c r="A38" s="25"/>
      <c r="B38" s="18"/>
      <c r="C38" s="18"/>
      <c r="D38" s="13" t="str">
        <f aca="false">IF(OR(B38="",B37="",38=3),"",B38-B37)</f>
        <v/>
      </c>
      <c r="E38" s="18"/>
    </row>
    <row r="39" customFormat="false" ht="15" hidden="false" customHeight="false" outlineLevel="0" collapsed="false">
      <c r="A39" s="25"/>
      <c r="B39" s="18"/>
      <c r="C39" s="18"/>
      <c r="D39" s="13" t="str">
        <f aca="false">IF(OR(B39="",B38="",39=3),"",B39-B38)</f>
        <v/>
      </c>
      <c r="E39" s="18"/>
    </row>
    <row r="40" customFormat="false" ht="15" hidden="false" customHeight="false" outlineLevel="0" collapsed="false">
      <c r="A40" s="25"/>
      <c r="B40" s="18"/>
      <c r="C40" s="18"/>
      <c r="D40" s="13" t="str">
        <f aca="false">IF(OR(B40="",B39="",40=3),"",B40-B39)</f>
        <v/>
      </c>
      <c r="E40" s="18"/>
    </row>
    <row r="41" customFormat="false" ht="15" hidden="false" customHeight="false" outlineLevel="0" collapsed="false">
      <c r="A41" s="25"/>
      <c r="B41" s="18"/>
      <c r="C41" s="18"/>
      <c r="D41" s="13" t="str">
        <f aca="false">IF(OR(B41="",B40="",41=3),"",B41-B40)</f>
        <v/>
      </c>
      <c r="E41" s="18"/>
    </row>
    <row r="42" customFormat="false" ht="15" hidden="false" customHeight="false" outlineLevel="0" collapsed="false">
      <c r="A42" s="25"/>
      <c r="B42" s="18"/>
      <c r="C42" s="18"/>
      <c r="D42" s="13" t="str">
        <f aca="false">IF(OR(B42="",B41="",42=3),"",B42-B41)</f>
        <v/>
      </c>
      <c r="E42" s="18"/>
    </row>
    <row r="43" customFormat="false" ht="15" hidden="false" customHeight="false" outlineLevel="0" collapsed="false">
      <c r="A43" s="25"/>
      <c r="B43" s="18"/>
      <c r="C43" s="18"/>
      <c r="D43" s="13" t="str">
        <f aca="false">IF(OR(B43="",B42="",43=3),"",B43-B42)</f>
        <v/>
      </c>
      <c r="E43" s="18"/>
    </row>
    <row r="44" customFormat="false" ht="15" hidden="false" customHeight="false" outlineLevel="0" collapsed="false">
      <c r="A44" s="25"/>
      <c r="B44" s="18"/>
      <c r="C44" s="18"/>
      <c r="D44" s="13" t="str">
        <f aca="false">IF(OR(B44="",B43="",44=3),"",B44-B43)</f>
        <v/>
      </c>
      <c r="E44" s="18"/>
    </row>
    <row r="45" customFormat="false" ht="15" hidden="false" customHeight="false" outlineLevel="0" collapsed="false">
      <c r="A45" s="25"/>
      <c r="B45" s="18"/>
      <c r="C45" s="18"/>
      <c r="D45" s="13" t="str">
        <f aca="false">IF(OR(B45="",B44="",45=3),"",B45-B44)</f>
        <v/>
      </c>
      <c r="E45" s="18"/>
    </row>
    <row r="46" customFormat="false" ht="15" hidden="false" customHeight="false" outlineLevel="0" collapsed="false">
      <c r="A46" s="25"/>
      <c r="B46" s="18"/>
      <c r="C46" s="18"/>
      <c r="D46" s="13" t="str">
        <f aca="false">IF(OR(B46="",B45="",46=3),"",B46-B45)</f>
        <v/>
      </c>
      <c r="E46" s="18"/>
    </row>
    <row r="47" customFormat="false" ht="15" hidden="false" customHeight="false" outlineLevel="0" collapsed="false">
      <c r="A47" s="25"/>
      <c r="B47" s="18"/>
      <c r="C47" s="18"/>
      <c r="D47" s="13" t="str">
        <f aca="false">IF(OR(B47="",B46="",47=3),"",B47-B46)</f>
        <v/>
      </c>
      <c r="E47" s="18"/>
    </row>
    <row r="48" customFormat="false" ht="15" hidden="false" customHeight="false" outlineLevel="0" collapsed="false">
      <c r="A48" s="25"/>
      <c r="B48" s="18"/>
      <c r="C48" s="18"/>
      <c r="D48" s="13" t="str">
        <f aca="false">IF(OR(B48="",B47="",48=3),"",B48-B47)</f>
        <v/>
      </c>
      <c r="E48" s="18"/>
    </row>
    <row r="49" customFormat="false" ht="15" hidden="false" customHeight="false" outlineLevel="0" collapsed="false">
      <c r="A49" s="25"/>
      <c r="B49" s="18"/>
      <c r="C49" s="18"/>
      <c r="D49" s="13" t="str">
        <f aca="false">IF(OR(B49="",B48="",49=3),"",B49-B48)</f>
        <v/>
      </c>
      <c r="E49" s="18"/>
    </row>
    <row r="50" customFormat="false" ht="15" hidden="false" customHeight="false" outlineLevel="0" collapsed="false">
      <c r="A50" s="25"/>
      <c r="B50" s="18"/>
      <c r="C50" s="18"/>
      <c r="D50" s="13" t="str">
        <f aca="false">IF(OR(B50="",B49="",50=3),"",B50-B49)</f>
        <v/>
      </c>
      <c r="E50" s="18"/>
    </row>
    <row r="51" customFormat="false" ht="15" hidden="false" customHeight="false" outlineLevel="0" collapsed="false">
      <c r="A51" s="25"/>
      <c r="B51" s="18"/>
      <c r="C51" s="18"/>
      <c r="D51" s="13" t="str">
        <f aca="false">IF(OR(B51="",B50="",51=3),"",B51-B50)</f>
        <v/>
      </c>
      <c r="E51" s="18"/>
    </row>
    <row r="52" customFormat="false" ht="15" hidden="false" customHeight="false" outlineLevel="0" collapsed="false">
      <c r="A52" s="25"/>
      <c r="B52" s="18"/>
      <c r="C52" s="18"/>
      <c r="D52" s="13" t="str">
        <f aca="false">IF(OR(B52="",B51="",52=3),"",B52-B51)</f>
        <v/>
      </c>
      <c r="E52" s="18"/>
    </row>
    <row r="53" customFormat="false" ht="15" hidden="false" customHeight="false" outlineLevel="0" collapsed="false">
      <c r="A53" s="25"/>
      <c r="B53" s="18"/>
      <c r="C53" s="18"/>
      <c r="D53" s="13" t="str">
        <f aca="false">IF(OR(B53="",B52="",53=3),"",B53-B52)</f>
        <v/>
      </c>
      <c r="E53" s="18"/>
    </row>
    <row r="54" customFormat="false" ht="15" hidden="false" customHeight="false" outlineLevel="0" collapsed="false">
      <c r="A54" s="25"/>
      <c r="B54" s="18"/>
      <c r="C54" s="18"/>
      <c r="D54" s="13" t="str">
        <f aca="false">IF(OR(B54="",B53="",54=3),"",B54-B53)</f>
        <v/>
      </c>
      <c r="E54" s="18"/>
    </row>
    <row r="55" customFormat="false" ht="15" hidden="false" customHeight="false" outlineLevel="0" collapsed="false">
      <c r="A55" s="25"/>
      <c r="B55" s="18"/>
      <c r="C55" s="18"/>
      <c r="D55" s="13" t="str">
        <f aca="false">IF(OR(B55="",B54="",55=3),"",B55-B54)</f>
        <v/>
      </c>
      <c r="E55" s="18"/>
    </row>
    <row r="56" customFormat="false" ht="15" hidden="false" customHeight="false" outlineLevel="0" collapsed="false">
      <c r="A56" s="25"/>
      <c r="B56" s="18"/>
      <c r="C56" s="18"/>
      <c r="D56" s="13" t="str">
        <f aca="false">IF(OR(B56="",B55="",56=3),"",B56-B55)</f>
        <v/>
      </c>
      <c r="E56" s="18"/>
    </row>
    <row r="57" customFormat="false" ht="15" hidden="false" customHeight="false" outlineLevel="0" collapsed="false">
      <c r="A57" s="25"/>
      <c r="B57" s="18"/>
      <c r="C57" s="18"/>
      <c r="D57" s="13" t="str">
        <f aca="false">IF(OR(B57="",B56="",57=3),"",B57-B56)</f>
        <v/>
      </c>
      <c r="E57" s="18"/>
    </row>
    <row r="58" customFormat="false" ht="15" hidden="false" customHeight="false" outlineLevel="0" collapsed="false">
      <c r="A58" s="25"/>
      <c r="B58" s="18"/>
      <c r="C58" s="18"/>
      <c r="D58" s="13" t="str">
        <f aca="false">IF(OR(B58="",B57="",58=3),"",B58-B57)</f>
        <v/>
      </c>
      <c r="E58" s="18"/>
    </row>
    <row r="59" customFormat="false" ht="15" hidden="false" customHeight="false" outlineLevel="0" collapsed="false">
      <c r="A59" s="25"/>
      <c r="B59" s="18"/>
      <c r="C59" s="18"/>
      <c r="D59" s="13" t="str">
        <f aca="false">IF(OR(B59="",B58="",59=3),"",B59-B58)</f>
        <v/>
      </c>
      <c r="E59" s="18"/>
    </row>
    <row r="60" customFormat="false" ht="15" hidden="false" customHeight="false" outlineLevel="0" collapsed="false">
      <c r="A60" s="25"/>
      <c r="B60" s="18"/>
      <c r="C60" s="18"/>
      <c r="D60" s="13" t="str">
        <f aca="false">IF(OR(B60="",B59="",60=3),"",B60-B59)</f>
        <v/>
      </c>
      <c r="E60" s="18"/>
    </row>
    <row r="61" customFormat="false" ht="15" hidden="false" customHeight="false" outlineLevel="0" collapsed="false">
      <c r="A61" s="25"/>
      <c r="B61" s="18"/>
      <c r="C61" s="18"/>
      <c r="D61" s="13" t="str">
        <f aca="false">IF(OR(B61="",B60="",61=3),"",B61-B60)</f>
        <v/>
      </c>
      <c r="E61" s="18"/>
    </row>
    <row r="62" customFormat="false" ht="15" hidden="false" customHeight="false" outlineLevel="0" collapsed="false">
      <c r="A62" s="25"/>
      <c r="B62" s="18"/>
      <c r="C62" s="18"/>
      <c r="D62" s="13" t="str">
        <f aca="false">IF(OR(B62="",B61="",62=3),"",B62-B61)</f>
        <v/>
      </c>
      <c r="E62" s="18"/>
    </row>
    <row r="63" customFormat="false" ht="15" hidden="false" customHeight="false" outlineLevel="0" collapsed="false">
      <c r="A63" s="25"/>
      <c r="B63" s="18"/>
      <c r="C63" s="18"/>
      <c r="D63" s="13" t="str">
        <f aca="false">IF(OR(B63="",B62="",63=3),"",B63-B62)</f>
        <v/>
      </c>
      <c r="E63" s="18"/>
    </row>
    <row r="64" customFormat="false" ht="15" hidden="false" customHeight="false" outlineLevel="0" collapsed="false">
      <c r="A64" s="25"/>
      <c r="B64" s="18"/>
      <c r="C64" s="18"/>
      <c r="D64" s="13" t="str">
        <f aca="false">IF(OR(B64="",B63="",64=3),"",B64-B63)</f>
        <v/>
      </c>
      <c r="E64" s="18"/>
    </row>
    <row r="65" customFormat="false" ht="15" hidden="false" customHeight="false" outlineLevel="0" collapsed="false">
      <c r="A65" s="25"/>
      <c r="B65" s="18"/>
      <c r="C65" s="18"/>
      <c r="D65" s="13" t="str">
        <f aca="false">IF(OR(B65="",B64="",65=3),"",B65-B64)</f>
        <v/>
      </c>
      <c r="E65" s="18"/>
    </row>
    <row r="66" customFormat="false" ht="15" hidden="false" customHeight="false" outlineLevel="0" collapsed="false">
      <c r="A66" s="25"/>
      <c r="B66" s="18"/>
      <c r="C66" s="18"/>
      <c r="D66" s="13" t="str">
        <f aca="false">IF(OR(B66="",B65="",66=3),"",B66-B65)</f>
        <v/>
      </c>
      <c r="E66" s="18"/>
    </row>
    <row r="67" customFormat="false" ht="15" hidden="false" customHeight="false" outlineLevel="0" collapsed="false">
      <c r="A67" s="25"/>
      <c r="B67" s="18"/>
      <c r="C67" s="18"/>
      <c r="D67" s="13" t="str">
        <f aca="false">IF(OR(B67="",B66="",67=3),"",B67-B66)</f>
        <v/>
      </c>
      <c r="E67" s="18"/>
    </row>
    <row r="68" customFormat="false" ht="15" hidden="false" customHeight="false" outlineLevel="0" collapsed="false">
      <c r="A68" s="25"/>
      <c r="B68" s="18"/>
      <c r="C68" s="18"/>
      <c r="D68" s="13" t="str">
        <f aca="false">IF(OR(B68="",B67="",68=3),"",B68-B67)</f>
        <v/>
      </c>
      <c r="E68" s="18"/>
    </row>
    <row r="69" customFormat="false" ht="15" hidden="false" customHeight="false" outlineLevel="0" collapsed="false">
      <c r="A69" s="25"/>
      <c r="B69" s="18"/>
      <c r="C69" s="18"/>
      <c r="D69" s="13" t="str">
        <f aca="false">IF(OR(B69="",B68="",69=3),"",B69-B68)</f>
        <v/>
      </c>
      <c r="E69" s="18"/>
    </row>
    <row r="70" customFormat="false" ht="15" hidden="false" customHeight="false" outlineLevel="0" collapsed="false">
      <c r="A70" s="25"/>
      <c r="B70" s="18"/>
      <c r="C70" s="18"/>
      <c r="D70" s="13" t="str">
        <f aca="false">IF(OR(B70="",B69="",70=3),"",B70-B69)</f>
        <v/>
      </c>
      <c r="E70" s="18"/>
    </row>
    <row r="71" customFormat="false" ht="15" hidden="false" customHeight="false" outlineLevel="0" collapsed="false">
      <c r="A71" s="25"/>
      <c r="B71" s="18"/>
      <c r="C71" s="18"/>
      <c r="D71" s="13" t="str">
        <f aca="false">IF(OR(B71="",B70="",71=3),"",B71-B70)</f>
        <v/>
      </c>
      <c r="E71" s="18"/>
    </row>
    <row r="72" customFormat="false" ht="15" hidden="false" customHeight="false" outlineLevel="0" collapsed="false">
      <c r="A72" s="25"/>
      <c r="B72" s="18"/>
      <c r="C72" s="18"/>
      <c r="D72" s="13" t="str">
        <f aca="false">IF(OR(B72="",B71="",72=3),"",B72-B71)</f>
        <v/>
      </c>
      <c r="E72" s="18"/>
    </row>
    <row r="73" customFormat="false" ht="15" hidden="false" customHeight="false" outlineLevel="0" collapsed="false">
      <c r="A73" s="25"/>
      <c r="B73" s="18"/>
      <c r="C73" s="18"/>
      <c r="D73" s="13" t="str">
        <f aca="false">IF(OR(B73="",B72="",73=3),"",B73-B72)</f>
        <v/>
      </c>
      <c r="E73" s="18"/>
    </row>
    <row r="74" customFormat="false" ht="15" hidden="false" customHeight="false" outlineLevel="0" collapsed="false">
      <c r="A74" s="25"/>
      <c r="B74" s="18"/>
      <c r="C74" s="18"/>
      <c r="D74" s="13" t="str">
        <f aca="false">IF(OR(B74="",B73="",74=3),"",B74-B73)</f>
        <v/>
      </c>
      <c r="E74" s="18"/>
    </row>
    <row r="75" customFormat="false" ht="15" hidden="false" customHeight="false" outlineLevel="0" collapsed="false">
      <c r="A75" s="25"/>
      <c r="B75" s="18"/>
      <c r="C75" s="18"/>
      <c r="D75" s="13" t="str">
        <f aca="false">IF(OR(B75="",B74="",75=3),"",B75-B74)</f>
        <v/>
      </c>
      <c r="E75" s="18"/>
    </row>
    <row r="76" customFormat="false" ht="15" hidden="false" customHeight="false" outlineLevel="0" collapsed="false">
      <c r="A76" s="25"/>
      <c r="B76" s="18"/>
      <c r="C76" s="18"/>
      <c r="D76" s="13" t="str">
        <f aca="false">IF(OR(B76="",B75="",76=3),"",B76-B75)</f>
        <v/>
      </c>
      <c r="E76" s="18"/>
    </row>
    <row r="77" customFormat="false" ht="15" hidden="false" customHeight="false" outlineLevel="0" collapsed="false">
      <c r="A77" s="25"/>
      <c r="B77" s="18"/>
      <c r="C77" s="18"/>
      <c r="D77" s="13" t="str">
        <f aca="false">IF(OR(B77="",B76="",77=3),"",B77-B76)</f>
        <v/>
      </c>
      <c r="E77" s="18"/>
    </row>
    <row r="78" customFormat="false" ht="15" hidden="false" customHeight="false" outlineLevel="0" collapsed="false">
      <c r="A78" s="25"/>
      <c r="B78" s="18"/>
      <c r="C78" s="18"/>
      <c r="D78" s="13" t="str">
        <f aca="false">IF(OR(B78="",B77="",78=3),"",B78-B77)</f>
        <v/>
      </c>
      <c r="E78" s="18"/>
    </row>
    <row r="79" customFormat="false" ht="15" hidden="false" customHeight="false" outlineLevel="0" collapsed="false">
      <c r="A79" s="25"/>
      <c r="B79" s="18"/>
      <c r="C79" s="18"/>
      <c r="D79" s="13" t="str">
        <f aca="false">IF(OR(B79="",B78="",79=3),"",B79-B78)</f>
        <v/>
      </c>
      <c r="E79" s="18"/>
    </row>
    <row r="80" customFormat="false" ht="15" hidden="false" customHeight="false" outlineLevel="0" collapsed="false">
      <c r="A80" s="25"/>
      <c r="B80" s="18"/>
      <c r="C80" s="18"/>
      <c r="D80" s="13" t="str">
        <f aca="false">IF(OR(B80="",B79="",80=3),"",B80-B79)</f>
        <v/>
      </c>
      <c r="E80" s="18"/>
    </row>
    <row r="81" customFormat="false" ht="15" hidden="false" customHeight="false" outlineLevel="0" collapsed="false">
      <c r="A81" s="25"/>
      <c r="B81" s="18"/>
      <c r="C81" s="18"/>
      <c r="D81" s="13" t="str">
        <f aca="false">IF(OR(B81="",B80="",81=3),"",B81-B80)</f>
        <v/>
      </c>
      <c r="E81" s="18"/>
    </row>
    <row r="82" customFormat="false" ht="15" hidden="false" customHeight="false" outlineLevel="0" collapsed="false">
      <c r="A82" s="25"/>
      <c r="B82" s="18"/>
      <c r="C82" s="18"/>
      <c r="D82" s="13" t="str">
        <f aca="false">IF(OR(B82="",B81="",82=3),"",B82-B81)</f>
        <v/>
      </c>
      <c r="E82" s="18"/>
    </row>
    <row r="83" customFormat="false" ht="15" hidden="false" customHeight="false" outlineLevel="0" collapsed="false">
      <c r="A83" s="25"/>
      <c r="B83" s="18"/>
      <c r="C83" s="18"/>
      <c r="D83" s="13" t="str">
        <f aca="false">IF(OR(B83="",B82="",83=3),"",B83-B82)</f>
        <v/>
      </c>
      <c r="E83" s="18"/>
    </row>
    <row r="84" customFormat="false" ht="15" hidden="false" customHeight="false" outlineLevel="0" collapsed="false">
      <c r="A84" s="25"/>
      <c r="B84" s="18"/>
      <c r="C84" s="18"/>
      <c r="D84" s="13" t="str">
        <f aca="false">IF(OR(B84="",B83="",84=3),"",B84-B83)</f>
        <v/>
      </c>
      <c r="E84" s="18"/>
    </row>
    <row r="85" customFormat="false" ht="15" hidden="false" customHeight="false" outlineLevel="0" collapsed="false">
      <c r="A85" s="25"/>
      <c r="B85" s="18"/>
      <c r="C85" s="18"/>
      <c r="D85" s="13" t="str">
        <f aca="false">IF(OR(B85="",B84="",85=3),"",B85-B84)</f>
        <v/>
      </c>
      <c r="E85" s="18"/>
    </row>
    <row r="86" customFormat="false" ht="15" hidden="false" customHeight="false" outlineLevel="0" collapsed="false">
      <c r="A86" s="25"/>
      <c r="B86" s="18"/>
      <c r="C86" s="18"/>
      <c r="D86" s="13" t="str">
        <f aca="false">IF(OR(B86="",B85="",86=3),"",B86-B85)</f>
        <v/>
      </c>
      <c r="E86" s="18"/>
    </row>
    <row r="87" customFormat="false" ht="15" hidden="false" customHeight="false" outlineLevel="0" collapsed="false">
      <c r="A87" s="25"/>
      <c r="B87" s="18"/>
      <c r="C87" s="18"/>
      <c r="D87" s="13" t="str">
        <f aca="false">IF(OR(B87="",B86="",87=3),"",B87-B86)</f>
        <v/>
      </c>
      <c r="E87" s="18"/>
    </row>
    <row r="88" customFormat="false" ht="15" hidden="false" customHeight="false" outlineLevel="0" collapsed="false">
      <c r="A88" s="25"/>
      <c r="B88" s="18"/>
      <c r="C88" s="18"/>
      <c r="D88" s="13" t="str">
        <f aca="false">IF(OR(B88="",B87="",88=3),"",B88-B87)</f>
        <v/>
      </c>
      <c r="E88" s="18"/>
    </row>
    <row r="89" customFormat="false" ht="15" hidden="false" customHeight="false" outlineLevel="0" collapsed="false">
      <c r="A89" s="25"/>
      <c r="B89" s="18"/>
      <c r="C89" s="18"/>
      <c r="D89" s="13" t="str">
        <f aca="false">IF(OR(B89="",B88="",89=3),"",B89-B88)</f>
        <v/>
      </c>
      <c r="E89" s="18"/>
    </row>
    <row r="90" customFormat="false" ht="15" hidden="false" customHeight="false" outlineLevel="0" collapsed="false">
      <c r="A90" s="25"/>
      <c r="B90" s="18"/>
      <c r="C90" s="18"/>
      <c r="D90" s="13" t="str">
        <f aca="false">IF(OR(B90="",B89="",90=3),"",B90-B89)</f>
        <v/>
      </c>
      <c r="E90" s="18"/>
    </row>
    <row r="91" customFormat="false" ht="15" hidden="false" customHeight="false" outlineLevel="0" collapsed="false">
      <c r="A91" s="25"/>
      <c r="B91" s="18"/>
      <c r="C91" s="18"/>
      <c r="D91" s="13" t="str">
        <f aca="false">IF(OR(B91="",B90="",91=3),"",B91-B90)</f>
        <v/>
      </c>
      <c r="E91" s="18"/>
    </row>
    <row r="92" customFormat="false" ht="15" hidden="false" customHeight="false" outlineLevel="0" collapsed="false">
      <c r="A92" s="25"/>
      <c r="B92" s="18"/>
      <c r="C92" s="18"/>
      <c r="D92" s="13" t="str">
        <f aca="false">IF(OR(B92="",B91="",92=3),"",B92-B91)</f>
        <v/>
      </c>
      <c r="E92" s="18"/>
    </row>
    <row r="93" customFormat="false" ht="15" hidden="false" customHeight="false" outlineLevel="0" collapsed="false">
      <c r="A93" s="25"/>
      <c r="B93" s="18"/>
      <c r="C93" s="18"/>
      <c r="D93" s="13" t="str">
        <f aca="false">IF(OR(B93="",B92="",93=3),"",B93-B92)</f>
        <v/>
      </c>
      <c r="E93" s="18"/>
    </row>
    <row r="94" customFormat="false" ht="15" hidden="false" customHeight="false" outlineLevel="0" collapsed="false">
      <c r="A94" s="25"/>
      <c r="B94" s="18"/>
      <c r="C94" s="18"/>
      <c r="D94" s="13" t="str">
        <f aca="false">IF(OR(B94="",B93="",94=3),"",B94-B93)</f>
        <v/>
      </c>
      <c r="E94" s="18"/>
    </row>
    <row r="95" customFormat="false" ht="15" hidden="false" customHeight="false" outlineLevel="0" collapsed="false">
      <c r="A95" s="25"/>
      <c r="B95" s="18"/>
      <c r="C95" s="18"/>
      <c r="D95" s="13" t="str">
        <f aca="false">IF(OR(B95="",B94="",95=3),"",B95-B94)</f>
        <v/>
      </c>
      <c r="E95" s="18"/>
    </row>
    <row r="96" customFormat="false" ht="15" hidden="false" customHeight="false" outlineLevel="0" collapsed="false">
      <c r="A96" s="25"/>
      <c r="B96" s="18"/>
      <c r="C96" s="18"/>
      <c r="D96" s="13" t="str">
        <f aca="false">IF(OR(B96="",B95="",96=3),"",B96-B95)</f>
        <v/>
      </c>
      <c r="E96" s="18"/>
    </row>
    <row r="97" customFormat="false" ht="15" hidden="false" customHeight="false" outlineLevel="0" collapsed="false">
      <c r="A97" s="25"/>
      <c r="B97" s="18"/>
      <c r="C97" s="18"/>
      <c r="D97" s="13" t="str">
        <f aca="false">IF(OR(B97="",B96="",97=3),"",B97-B96)</f>
        <v/>
      </c>
      <c r="E97" s="18"/>
    </row>
    <row r="98" customFormat="false" ht="15" hidden="false" customHeight="false" outlineLevel="0" collapsed="false">
      <c r="A98" s="25"/>
      <c r="B98" s="18"/>
      <c r="C98" s="18"/>
      <c r="D98" s="13" t="str">
        <f aca="false">IF(OR(B98="",B97="",98=3),"",B98-B97)</f>
        <v/>
      </c>
      <c r="E98" s="18"/>
    </row>
    <row r="99" customFormat="false" ht="15" hidden="false" customHeight="false" outlineLevel="0" collapsed="false">
      <c r="A99" s="25"/>
      <c r="B99" s="18"/>
      <c r="C99" s="18"/>
      <c r="D99" s="13" t="str">
        <f aca="false">IF(OR(B99="",B98="",99=3),"",B99-B98)</f>
        <v/>
      </c>
      <c r="E99" s="18"/>
    </row>
    <row r="100" customFormat="false" ht="15" hidden="false" customHeight="false" outlineLevel="0" collapsed="false">
      <c r="A100" s="25"/>
      <c r="B100" s="18"/>
      <c r="C100" s="18"/>
      <c r="D100" s="13" t="str">
        <f aca="false">IF(OR(B100="",B99="",100=3),"",B100-B99)</f>
        <v/>
      </c>
      <c r="E100" s="18"/>
    </row>
    <row r="101" customFormat="false" ht="15" hidden="false" customHeight="false" outlineLevel="0" collapsed="false">
      <c r="A101" s="25"/>
      <c r="B101" s="18"/>
      <c r="C101" s="18"/>
      <c r="D101" s="13" t="str">
        <f aca="false">IF(OR(B101="",B100="",101=3),"",B101-B100)</f>
        <v/>
      </c>
      <c r="E101" s="18"/>
    </row>
    <row r="102" customFormat="false" ht="15" hidden="false" customHeight="false" outlineLevel="0" collapsed="false">
      <c r="A102" s="25"/>
      <c r="B102" s="18"/>
      <c r="C102" s="18"/>
      <c r="D102" s="13" t="str">
        <f aca="false">IF(OR(B102="",B101="",102=3),"",B102-B101)</f>
        <v/>
      </c>
      <c r="E102" s="18"/>
    </row>
    <row r="103" customFormat="false" ht="15" hidden="false" customHeight="false" outlineLevel="0" collapsed="false">
      <c r="A103" s="25"/>
      <c r="B103" s="18"/>
      <c r="C103" s="18"/>
      <c r="D103" s="13" t="str">
        <f aca="false">IF(OR(B103="",B102="",103=3),"",B103-B102)</f>
        <v/>
      </c>
      <c r="E103" s="18"/>
    </row>
    <row r="104" customFormat="false" ht="15" hidden="false" customHeight="false" outlineLevel="0" collapsed="false">
      <c r="A104" s="25"/>
      <c r="B104" s="18"/>
      <c r="C104" s="18"/>
      <c r="D104" s="13" t="str">
        <f aca="false">IF(OR(B104="",B103="",104=3),"",B104-B103)</f>
        <v/>
      </c>
      <c r="E104" s="18"/>
    </row>
    <row r="105" customFormat="false" ht="15" hidden="false" customHeight="false" outlineLevel="0" collapsed="false">
      <c r="A105" s="25"/>
      <c r="B105" s="18"/>
      <c r="C105" s="18"/>
      <c r="D105" s="13" t="str">
        <f aca="false">IF(OR(B105="",B104="",105=3),"",B105-B104)</f>
        <v/>
      </c>
      <c r="E105" s="18"/>
    </row>
    <row r="106" customFormat="false" ht="15" hidden="false" customHeight="false" outlineLevel="0" collapsed="false">
      <c r="A106" s="25"/>
      <c r="B106" s="18"/>
      <c r="C106" s="18"/>
      <c r="D106" s="13" t="str">
        <f aca="false">IF(OR(B106="",B105="",106=3),"",B106-B105)</f>
        <v/>
      </c>
      <c r="E106" s="18"/>
    </row>
    <row r="107" customFormat="false" ht="15" hidden="false" customHeight="false" outlineLevel="0" collapsed="false">
      <c r="A107" s="25"/>
      <c r="B107" s="18"/>
      <c r="C107" s="18"/>
      <c r="D107" s="13" t="str">
        <f aca="false">IF(OR(B107="",B106="",107=3),"",B107-B106)</f>
        <v/>
      </c>
      <c r="E107" s="18"/>
    </row>
    <row r="108" customFormat="false" ht="15" hidden="false" customHeight="false" outlineLevel="0" collapsed="false">
      <c r="A108" s="25"/>
      <c r="B108" s="18"/>
      <c r="C108" s="18"/>
      <c r="D108" s="13" t="str">
        <f aca="false">IF(OR(B108="",B107="",108=3),"",B108-B107)</f>
        <v/>
      </c>
      <c r="E108" s="18"/>
    </row>
    <row r="109" customFormat="false" ht="15" hidden="false" customHeight="false" outlineLevel="0" collapsed="false">
      <c r="A109" s="25"/>
      <c r="B109" s="18"/>
      <c r="C109" s="18"/>
      <c r="D109" s="13" t="str">
        <f aca="false">IF(OR(B109="",B108="",109=3),"",B109-B108)</f>
        <v/>
      </c>
      <c r="E109" s="18"/>
    </row>
    <row r="110" customFormat="false" ht="15" hidden="false" customHeight="false" outlineLevel="0" collapsed="false">
      <c r="A110" s="25"/>
      <c r="B110" s="18"/>
      <c r="C110" s="18"/>
      <c r="D110" s="13" t="str">
        <f aca="false">IF(OR(B110="",B109="",110=3),"",B110-B109)</f>
        <v/>
      </c>
      <c r="E110" s="18"/>
    </row>
    <row r="111" customFormat="false" ht="15" hidden="false" customHeight="false" outlineLevel="0" collapsed="false">
      <c r="A111" s="25"/>
      <c r="B111" s="18"/>
      <c r="C111" s="18"/>
      <c r="D111" s="13" t="str">
        <f aca="false">IF(OR(B111="",B110="",111=3),"",B111-B110)</f>
        <v/>
      </c>
      <c r="E111" s="18"/>
    </row>
    <row r="112" customFormat="false" ht="15" hidden="false" customHeight="false" outlineLevel="0" collapsed="false">
      <c r="A112" s="25"/>
      <c r="B112" s="18"/>
      <c r="C112" s="18"/>
      <c r="D112" s="13" t="str">
        <f aca="false">IF(OR(B112="",B111="",112=3),"",B112-B111)</f>
        <v/>
      </c>
      <c r="E112" s="18"/>
    </row>
    <row r="113" customFormat="false" ht="15" hidden="false" customHeight="false" outlineLevel="0" collapsed="false">
      <c r="A113" s="25"/>
      <c r="B113" s="18"/>
      <c r="C113" s="18"/>
      <c r="D113" s="13" t="str">
        <f aca="false">IF(OR(B113="",B112="",113=3),"",B113-B112)</f>
        <v/>
      </c>
      <c r="E113" s="18"/>
    </row>
    <row r="114" customFormat="false" ht="15" hidden="false" customHeight="false" outlineLevel="0" collapsed="false">
      <c r="A114" s="25"/>
      <c r="B114" s="18"/>
      <c r="C114" s="18"/>
      <c r="D114" s="13" t="str">
        <f aca="false">IF(OR(B114="",B113="",114=3),"",B114-B113)</f>
        <v/>
      </c>
      <c r="E114" s="18"/>
    </row>
    <row r="115" customFormat="false" ht="15" hidden="false" customHeight="false" outlineLevel="0" collapsed="false">
      <c r="A115" s="25"/>
      <c r="B115" s="18"/>
      <c r="C115" s="18"/>
      <c r="D115" s="13" t="str">
        <f aca="false">IF(OR(B115="",B114="",115=3),"",B115-B114)</f>
        <v/>
      </c>
      <c r="E115" s="18"/>
    </row>
    <row r="116" customFormat="false" ht="15" hidden="false" customHeight="false" outlineLevel="0" collapsed="false">
      <c r="A116" s="25"/>
      <c r="B116" s="18"/>
      <c r="C116" s="18"/>
      <c r="D116" s="13" t="str">
        <f aca="false">IF(OR(B116="",B115="",116=3),"",B116-B115)</f>
        <v/>
      </c>
      <c r="E116" s="18"/>
    </row>
    <row r="117" customFormat="false" ht="15" hidden="false" customHeight="false" outlineLevel="0" collapsed="false">
      <c r="A117" s="25"/>
      <c r="B117" s="18"/>
      <c r="C117" s="18"/>
      <c r="D117" s="13" t="str">
        <f aca="false">IF(OR(B117="",B116="",117=3),"",B117-B116)</f>
        <v/>
      </c>
      <c r="E117" s="18"/>
    </row>
    <row r="118" customFormat="false" ht="15" hidden="false" customHeight="false" outlineLevel="0" collapsed="false">
      <c r="A118" s="25"/>
      <c r="B118" s="18"/>
      <c r="C118" s="18"/>
      <c r="D118" s="13" t="str">
        <f aca="false">IF(OR(B118="",B117="",118=3),"",B118-B117)</f>
        <v/>
      </c>
      <c r="E118" s="18"/>
    </row>
    <row r="119" customFormat="false" ht="15" hidden="false" customHeight="false" outlineLevel="0" collapsed="false">
      <c r="A119" s="25"/>
      <c r="B119" s="18"/>
      <c r="C119" s="18"/>
      <c r="D119" s="13" t="str">
        <f aca="false">IF(OR(B119="",B118="",119=3),"",B119-B118)</f>
        <v/>
      </c>
      <c r="E119" s="18"/>
    </row>
    <row r="120" customFormat="false" ht="15" hidden="false" customHeight="false" outlineLevel="0" collapsed="false">
      <c r="A120" s="25"/>
      <c r="B120" s="18"/>
      <c r="C120" s="18"/>
      <c r="D120" s="13" t="str">
        <f aca="false">IF(OR(B120="",B119="",120=3),"",B120-B119)</f>
        <v/>
      </c>
      <c r="E120" s="18"/>
    </row>
    <row r="121" customFormat="false" ht="15" hidden="false" customHeight="false" outlineLevel="0" collapsed="false">
      <c r="A121" s="25"/>
      <c r="B121" s="18"/>
      <c r="C121" s="18"/>
      <c r="D121" s="13" t="str">
        <f aca="false">IF(OR(B121="",B120="",121=3),"",B121-B120)</f>
        <v/>
      </c>
      <c r="E121" s="18"/>
    </row>
    <row r="122" customFormat="false" ht="15" hidden="false" customHeight="false" outlineLevel="0" collapsed="false">
      <c r="A122" s="25"/>
      <c r="B122" s="18"/>
      <c r="C122" s="18"/>
      <c r="D122" s="13" t="str">
        <f aca="false">IF(OR(B122="",B121="",122=3),"",B122-B121)</f>
        <v/>
      </c>
      <c r="E122" s="18"/>
    </row>
    <row r="123" customFormat="false" ht="15" hidden="false" customHeight="false" outlineLevel="0" collapsed="false">
      <c r="A123" s="25"/>
      <c r="B123" s="18"/>
      <c r="C123" s="18"/>
      <c r="D123" s="13" t="str">
        <f aca="false">IF(OR(B123="",B122="",123=3),"",B123-B122)</f>
        <v/>
      </c>
      <c r="E123" s="18"/>
    </row>
    <row r="124" customFormat="false" ht="15" hidden="false" customHeight="false" outlineLevel="0" collapsed="false">
      <c r="A124" s="25"/>
      <c r="B124" s="18"/>
      <c r="C124" s="18"/>
      <c r="D124" s="13" t="str">
        <f aca="false">IF(OR(B124="",B123="",124=3),"",B124-B123)</f>
        <v/>
      </c>
      <c r="E124" s="18"/>
    </row>
    <row r="125" customFormat="false" ht="15" hidden="false" customHeight="false" outlineLevel="0" collapsed="false">
      <c r="A125" s="25"/>
      <c r="B125" s="18"/>
      <c r="C125" s="18"/>
      <c r="D125" s="13" t="str">
        <f aca="false">IF(OR(B125="",B124="",125=3),"",B125-B124)</f>
        <v/>
      </c>
      <c r="E125" s="18"/>
    </row>
    <row r="126" customFormat="false" ht="15" hidden="false" customHeight="false" outlineLevel="0" collapsed="false">
      <c r="A126" s="25"/>
      <c r="B126" s="18"/>
      <c r="C126" s="18"/>
      <c r="D126" s="13" t="str">
        <f aca="false">IF(OR(B126="",B125="",126=3),"",B126-B125)</f>
        <v/>
      </c>
      <c r="E126" s="18"/>
    </row>
    <row r="127" customFormat="false" ht="15" hidden="false" customHeight="false" outlineLevel="0" collapsed="false">
      <c r="A127" s="25"/>
      <c r="B127" s="18"/>
      <c r="C127" s="18"/>
      <c r="D127" s="13" t="str">
        <f aca="false">IF(OR(B127="",B126="",127=3),"",B127-B126)</f>
        <v/>
      </c>
      <c r="E127" s="18"/>
    </row>
    <row r="128" customFormat="false" ht="15" hidden="false" customHeight="false" outlineLevel="0" collapsed="false">
      <c r="A128" s="25"/>
      <c r="B128" s="18"/>
      <c r="C128" s="18"/>
      <c r="D128" s="13" t="str">
        <f aca="false">IF(OR(B128="",B127="",128=3),"",B128-B127)</f>
        <v/>
      </c>
      <c r="E128" s="18"/>
    </row>
    <row r="129" customFormat="false" ht="15" hidden="false" customHeight="false" outlineLevel="0" collapsed="false">
      <c r="A129" s="25"/>
      <c r="B129" s="18"/>
      <c r="C129" s="18"/>
      <c r="D129" s="13" t="str">
        <f aca="false">IF(OR(B129="",B128="",129=3),"",B129-B128)</f>
        <v/>
      </c>
      <c r="E129" s="18"/>
    </row>
    <row r="130" customFormat="false" ht="15" hidden="false" customHeight="false" outlineLevel="0" collapsed="false">
      <c r="A130" s="25"/>
      <c r="B130" s="18"/>
      <c r="C130" s="18"/>
      <c r="D130" s="13" t="str">
        <f aca="false">IF(OR(B130="",B129="",130=3),"",B130-B129)</f>
        <v/>
      </c>
      <c r="E130" s="18"/>
    </row>
    <row r="131" customFormat="false" ht="15" hidden="false" customHeight="false" outlineLevel="0" collapsed="false">
      <c r="A131" s="25"/>
      <c r="B131" s="18"/>
      <c r="C131" s="18"/>
      <c r="D131" s="13" t="str">
        <f aca="false">IF(OR(B131="",B130="",131=3),"",B131-B130)</f>
        <v/>
      </c>
      <c r="E131" s="18"/>
    </row>
    <row r="132" customFormat="false" ht="15" hidden="false" customHeight="false" outlineLevel="0" collapsed="false">
      <c r="A132" s="25"/>
      <c r="B132" s="18"/>
      <c r="C132" s="18"/>
      <c r="D132" s="13" t="str">
        <f aca="false">IF(OR(B132="",B131="",132=3),"",B132-B131)</f>
        <v/>
      </c>
      <c r="E132" s="18"/>
    </row>
    <row r="133" customFormat="false" ht="15" hidden="false" customHeight="false" outlineLevel="0" collapsed="false">
      <c r="A133" s="25"/>
      <c r="B133" s="18"/>
      <c r="C133" s="18"/>
      <c r="D133" s="13" t="str">
        <f aca="false">IF(OR(B133="",B132="",133=3),"",B133-B132)</f>
        <v/>
      </c>
      <c r="E133" s="18"/>
    </row>
    <row r="134" customFormat="false" ht="15" hidden="false" customHeight="false" outlineLevel="0" collapsed="false">
      <c r="A134" s="25"/>
      <c r="B134" s="18"/>
      <c r="C134" s="18"/>
      <c r="D134" s="13" t="str">
        <f aca="false">IF(OR(B134="",B133="",134=3),"",B134-B133)</f>
        <v/>
      </c>
      <c r="E134" s="18"/>
    </row>
    <row r="135" customFormat="false" ht="15" hidden="false" customHeight="false" outlineLevel="0" collapsed="false">
      <c r="A135" s="25"/>
      <c r="B135" s="18"/>
      <c r="C135" s="18"/>
      <c r="D135" s="13" t="str">
        <f aca="false">IF(OR(B135="",B134="",135=3),"",B135-B134)</f>
        <v/>
      </c>
      <c r="E135" s="18"/>
    </row>
    <row r="136" customFormat="false" ht="15" hidden="false" customHeight="false" outlineLevel="0" collapsed="false">
      <c r="A136" s="25"/>
      <c r="B136" s="18"/>
      <c r="C136" s="18"/>
      <c r="D136" s="13" t="str">
        <f aca="false">IF(OR(B136="",B135="",136=3),"",B136-B135)</f>
        <v/>
      </c>
      <c r="E136" s="18"/>
    </row>
    <row r="137" customFormat="false" ht="15" hidden="false" customHeight="false" outlineLevel="0" collapsed="false">
      <c r="A137" s="25"/>
      <c r="B137" s="18"/>
      <c r="C137" s="18"/>
      <c r="D137" s="13" t="str">
        <f aca="false">IF(OR(B137="",B136="",137=3),"",B137-B136)</f>
        <v/>
      </c>
      <c r="E137" s="18"/>
    </row>
    <row r="138" customFormat="false" ht="15" hidden="false" customHeight="false" outlineLevel="0" collapsed="false">
      <c r="A138" s="25"/>
      <c r="B138" s="18"/>
      <c r="C138" s="18"/>
      <c r="D138" s="13" t="str">
        <f aca="false">IF(OR(B138="",B137="",138=3),"",B138-B137)</f>
        <v/>
      </c>
      <c r="E138" s="18"/>
    </row>
    <row r="139" customFormat="false" ht="15" hidden="false" customHeight="false" outlineLevel="0" collapsed="false">
      <c r="A139" s="25"/>
      <c r="B139" s="18"/>
      <c r="C139" s="18"/>
      <c r="D139" s="13" t="str">
        <f aca="false">IF(OR(B139="",B138="",139=3),"",B139-B138)</f>
        <v/>
      </c>
      <c r="E139" s="18"/>
    </row>
    <row r="140" customFormat="false" ht="15" hidden="false" customHeight="false" outlineLevel="0" collapsed="false">
      <c r="A140" s="25"/>
      <c r="B140" s="18"/>
      <c r="C140" s="18"/>
      <c r="D140" s="13" t="str">
        <f aca="false">IF(OR(B140="",B139="",140=3),"",B140-B139)</f>
        <v/>
      </c>
      <c r="E140" s="18"/>
    </row>
    <row r="141" customFormat="false" ht="15" hidden="false" customHeight="false" outlineLevel="0" collapsed="false">
      <c r="A141" s="25"/>
      <c r="B141" s="18"/>
      <c r="C141" s="18"/>
      <c r="D141" s="13" t="str">
        <f aca="false">IF(OR(B141="",B140="",141=3),"",B141-B140)</f>
        <v/>
      </c>
      <c r="E141" s="18"/>
    </row>
    <row r="142" customFormat="false" ht="15" hidden="false" customHeight="false" outlineLevel="0" collapsed="false">
      <c r="A142" s="25"/>
      <c r="B142" s="18"/>
      <c r="C142" s="18"/>
      <c r="D142" s="13" t="str">
        <f aca="false">IF(OR(B142="",B141="",142=3),"",B142-B141)</f>
        <v/>
      </c>
      <c r="E142" s="18"/>
    </row>
    <row r="143" customFormat="false" ht="15" hidden="false" customHeight="false" outlineLevel="0" collapsed="false">
      <c r="A143" s="25"/>
      <c r="B143" s="18"/>
      <c r="C143" s="18"/>
      <c r="D143" s="13" t="str">
        <f aca="false">IF(OR(B143="",B142="",143=3),"",B143-B142)</f>
        <v/>
      </c>
      <c r="E143" s="18"/>
    </row>
    <row r="144" customFormat="false" ht="15" hidden="false" customHeight="false" outlineLevel="0" collapsed="false">
      <c r="A144" s="25"/>
      <c r="B144" s="18"/>
      <c r="C144" s="18"/>
      <c r="D144" s="13" t="str">
        <f aca="false">IF(OR(B144="",B143="",144=3),"",B144-B143)</f>
        <v/>
      </c>
      <c r="E144" s="18"/>
    </row>
    <row r="145" customFormat="false" ht="15" hidden="false" customHeight="false" outlineLevel="0" collapsed="false">
      <c r="A145" s="25"/>
      <c r="B145" s="18"/>
      <c r="C145" s="18"/>
      <c r="D145" s="13" t="str">
        <f aca="false">IF(OR(B145="",B144="",145=3),"",B145-B144)</f>
        <v/>
      </c>
      <c r="E145" s="18"/>
    </row>
    <row r="146" customFormat="false" ht="15" hidden="false" customHeight="false" outlineLevel="0" collapsed="false">
      <c r="A146" s="25"/>
      <c r="B146" s="18"/>
      <c r="C146" s="18"/>
      <c r="D146" s="13" t="str">
        <f aca="false">IF(OR(B146="",B145="",146=3),"",B146-B145)</f>
        <v/>
      </c>
      <c r="E146" s="18"/>
    </row>
    <row r="147" customFormat="false" ht="15" hidden="false" customHeight="false" outlineLevel="0" collapsed="false">
      <c r="A147" s="25"/>
      <c r="B147" s="18"/>
      <c r="C147" s="18"/>
      <c r="D147" s="13" t="str">
        <f aca="false">IF(OR(B147="",B146="",147=3),"",B147-B146)</f>
        <v/>
      </c>
      <c r="E147" s="18"/>
    </row>
    <row r="148" customFormat="false" ht="15" hidden="false" customHeight="false" outlineLevel="0" collapsed="false">
      <c r="A148" s="25"/>
      <c r="B148" s="18"/>
      <c r="C148" s="18"/>
      <c r="D148" s="13" t="str">
        <f aca="false">IF(OR(B148="",B147="",148=3),"",B148-B147)</f>
        <v/>
      </c>
      <c r="E148" s="18"/>
    </row>
    <row r="149" customFormat="false" ht="15" hidden="false" customHeight="false" outlineLevel="0" collapsed="false">
      <c r="A149" s="25"/>
      <c r="B149" s="18"/>
      <c r="C149" s="18"/>
      <c r="D149" s="13" t="str">
        <f aca="false">IF(OR(B149="",B148="",149=3),"",B149-B148)</f>
        <v/>
      </c>
      <c r="E149" s="18"/>
    </row>
    <row r="150" customFormat="false" ht="15" hidden="false" customHeight="false" outlineLevel="0" collapsed="false">
      <c r="A150" s="25"/>
      <c r="B150" s="18"/>
      <c r="C150" s="18"/>
      <c r="D150" s="13" t="str">
        <f aca="false">IF(OR(B150="",B149="",150=3),"",B150-B149)</f>
        <v/>
      </c>
      <c r="E150" s="18"/>
    </row>
    <row r="151" customFormat="false" ht="15" hidden="false" customHeight="false" outlineLevel="0" collapsed="false">
      <c r="A151" s="25"/>
      <c r="B151" s="18"/>
      <c r="C151" s="18"/>
      <c r="D151" s="13" t="str">
        <f aca="false">IF(OR(B151="",B150="",151=3),"",B151-B150)</f>
        <v/>
      </c>
      <c r="E151" s="18"/>
    </row>
    <row r="152" customFormat="false" ht="15" hidden="false" customHeight="false" outlineLevel="0" collapsed="false">
      <c r="A152" s="25"/>
      <c r="B152" s="18"/>
      <c r="C152" s="18"/>
      <c r="D152" s="13" t="str">
        <f aca="false">IF(OR(B152="",B151="",152=3),"",B152-B151)</f>
        <v/>
      </c>
      <c r="E152" s="18"/>
    </row>
    <row r="153" customFormat="false" ht="15" hidden="false" customHeight="false" outlineLevel="0" collapsed="false">
      <c r="A153" s="25"/>
      <c r="B153" s="18"/>
      <c r="C153" s="18"/>
      <c r="D153" s="13" t="str">
        <f aca="false">IF(OR(B153="",B152="",153=3),"",B153-B152)</f>
        <v/>
      </c>
      <c r="E153" s="18"/>
    </row>
    <row r="154" customFormat="false" ht="15" hidden="false" customHeight="false" outlineLevel="0" collapsed="false">
      <c r="A154" s="25"/>
      <c r="B154" s="18"/>
      <c r="C154" s="18"/>
      <c r="D154" s="13" t="str">
        <f aca="false">IF(OR(B154="",B153="",154=3),"",B154-B153)</f>
        <v/>
      </c>
      <c r="E154" s="18"/>
    </row>
    <row r="155" customFormat="false" ht="15" hidden="false" customHeight="false" outlineLevel="0" collapsed="false">
      <c r="A155" s="25"/>
      <c r="B155" s="18"/>
      <c r="C155" s="18"/>
      <c r="D155" s="13" t="str">
        <f aca="false">IF(OR(B155="",B154="",155=3),"",B155-B154)</f>
        <v/>
      </c>
      <c r="E155" s="18"/>
    </row>
    <row r="156" customFormat="false" ht="15" hidden="false" customHeight="false" outlineLevel="0" collapsed="false">
      <c r="A156" s="25"/>
      <c r="B156" s="18"/>
      <c r="C156" s="18"/>
      <c r="D156" s="13" t="str">
        <f aca="false">IF(OR(B156="",B155="",156=3),"",B156-B155)</f>
        <v/>
      </c>
      <c r="E156" s="18"/>
    </row>
    <row r="157" customFormat="false" ht="15" hidden="false" customHeight="false" outlineLevel="0" collapsed="false">
      <c r="A157" s="25"/>
      <c r="B157" s="18"/>
      <c r="C157" s="18"/>
      <c r="D157" s="13" t="str">
        <f aca="false">IF(OR(B157="",B156="",157=3),"",B157-B156)</f>
        <v/>
      </c>
      <c r="E157" s="18"/>
    </row>
    <row r="158" customFormat="false" ht="15" hidden="false" customHeight="false" outlineLevel="0" collapsed="false">
      <c r="A158" s="25"/>
      <c r="B158" s="18"/>
      <c r="C158" s="18"/>
      <c r="D158" s="13" t="str">
        <f aca="false">IF(OR(B158="",B157="",158=3),"",B158-B157)</f>
        <v/>
      </c>
      <c r="E158" s="18"/>
    </row>
    <row r="159" customFormat="false" ht="15" hidden="false" customHeight="false" outlineLevel="0" collapsed="false">
      <c r="A159" s="25"/>
      <c r="B159" s="18"/>
      <c r="C159" s="18"/>
      <c r="D159" s="13" t="str">
        <f aca="false">IF(OR(B159="",B158="",159=3),"",B159-B158)</f>
        <v/>
      </c>
      <c r="E159" s="18"/>
    </row>
    <row r="160" customFormat="false" ht="15" hidden="false" customHeight="false" outlineLevel="0" collapsed="false">
      <c r="A160" s="25"/>
      <c r="B160" s="18"/>
      <c r="C160" s="18"/>
      <c r="D160" s="13" t="str">
        <f aca="false">IF(OR(B160="",B159="",160=3),"",B160-B159)</f>
        <v/>
      </c>
      <c r="E160" s="18"/>
    </row>
    <row r="161" customFormat="false" ht="15" hidden="false" customHeight="false" outlineLevel="0" collapsed="false">
      <c r="A161" s="25"/>
      <c r="B161" s="18"/>
      <c r="C161" s="18"/>
      <c r="D161" s="13" t="str">
        <f aca="false">IF(OR(B161="",B160="",161=3),"",B161-B160)</f>
        <v/>
      </c>
      <c r="E161" s="18"/>
    </row>
    <row r="162" customFormat="false" ht="15" hidden="false" customHeight="false" outlineLevel="0" collapsed="false">
      <c r="A162" s="25"/>
      <c r="B162" s="18"/>
      <c r="C162" s="18"/>
      <c r="D162" s="13" t="str">
        <f aca="false">IF(OR(B162="",B161="",162=3),"",B162-B161)</f>
        <v/>
      </c>
      <c r="E162" s="18"/>
    </row>
    <row r="163" customFormat="false" ht="15" hidden="false" customHeight="false" outlineLevel="0" collapsed="false">
      <c r="A163" s="25"/>
      <c r="B163" s="18"/>
      <c r="C163" s="18"/>
      <c r="D163" s="13" t="str">
        <f aca="false">IF(OR(B163="",B162="",163=3),"",B163-B162)</f>
        <v/>
      </c>
      <c r="E163" s="18"/>
    </row>
    <row r="164" customFormat="false" ht="15" hidden="false" customHeight="false" outlineLevel="0" collapsed="false">
      <c r="A164" s="25"/>
      <c r="B164" s="18"/>
      <c r="C164" s="18"/>
      <c r="D164" s="13" t="str">
        <f aca="false">IF(OR(B164="",B163="",164=3),"",B164-B163)</f>
        <v/>
      </c>
      <c r="E164" s="18"/>
    </row>
    <row r="165" customFormat="false" ht="15" hidden="false" customHeight="false" outlineLevel="0" collapsed="false">
      <c r="A165" s="25"/>
      <c r="B165" s="18"/>
      <c r="C165" s="18"/>
      <c r="D165" s="13" t="str">
        <f aca="false">IF(OR(B165="",B164="",165=3),"",B165-B164)</f>
        <v/>
      </c>
      <c r="E165" s="18"/>
    </row>
    <row r="166" customFormat="false" ht="15" hidden="false" customHeight="false" outlineLevel="0" collapsed="false">
      <c r="A166" s="25"/>
      <c r="B166" s="18"/>
      <c r="C166" s="18"/>
      <c r="D166" s="13" t="str">
        <f aca="false">IF(OR(B166="",B165="",166=3),"",B166-B165)</f>
        <v/>
      </c>
      <c r="E166" s="18"/>
    </row>
    <row r="167" customFormat="false" ht="15" hidden="false" customHeight="false" outlineLevel="0" collapsed="false">
      <c r="A167" s="25"/>
      <c r="B167" s="18"/>
      <c r="C167" s="18"/>
      <c r="D167" s="13" t="str">
        <f aca="false">IF(OR(B167="",B166="",167=3),"",B167-B166)</f>
        <v/>
      </c>
      <c r="E167" s="18"/>
    </row>
    <row r="168" customFormat="false" ht="15" hidden="false" customHeight="false" outlineLevel="0" collapsed="false">
      <c r="A168" s="25"/>
      <c r="B168" s="18"/>
      <c r="C168" s="18"/>
      <c r="D168" s="13" t="str">
        <f aca="false">IF(OR(B168="",B167="",168=3),"",B168-B167)</f>
        <v/>
      </c>
      <c r="E168" s="18"/>
    </row>
    <row r="169" customFormat="false" ht="15" hidden="false" customHeight="false" outlineLevel="0" collapsed="false">
      <c r="A169" s="25"/>
      <c r="B169" s="18"/>
      <c r="C169" s="18"/>
      <c r="D169" s="13" t="str">
        <f aca="false">IF(OR(B169="",B168="",169=3),"",B169-B168)</f>
        <v/>
      </c>
      <c r="E169" s="18"/>
    </row>
    <row r="170" customFormat="false" ht="15" hidden="false" customHeight="false" outlineLevel="0" collapsed="false">
      <c r="A170" s="25"/>
      <c r="B170" s="18"/>
      <c r="C170" s="18"/>
      <c r="D170" s="13" t="str">
        <f aca="false">IF(OR(B170="",B169="",170=3),"",B170-B169)</f>
        <v/>
      </c>
      <c r="E170" s="18"/>
    </row>
    <row r="171" customFormat="false" ht="15" hidden="false" customHeight="false" outlineLevel="0" collapsed="false">
      <c r="A171" s="25"/>
      <c r="B171" s="18"/>
      <c r="C171" s="18"/>
      <c r="D171" s="13" t="str">
        <f aca="false">IF(OR(B171="",B170="",171=3),"",B171-B170)</f>
        <v/>
      </c>
      <c r="E171" s="18"/>
    </row>
    <row r="172" customFormat="false" ht="15" hidden="false" customHeight="false" outlineLevel="0" collapsed="false">
      <c r="A172" s="25"/>
      <c r="B172" s="18"/>
      <c r="C172" s="18"/>
      <c r="D172" s="13" t="str">
        <f aca="false">IF(OR(B172="",B171="",172=3),"",B172-B171)</f>
        <v/>
      </c>
      <c r="E172" s="18"/>
    </row>
    <row r="173" customFormat="false" ht="15" hidden="false" customHeight="false" outlineLevel="0" collapsed="false">
      <c r="A173" s="25"/>
      <c r="B173" s="18"/>
      <c r="C173" s="18"/>
      <c r="D173" s="13" t="str">
        <f aca="false">IF(OR(B173="",B172="",173=3),"",B173-B172)</f>
        <v/>
      </c>
      <c r="E173" s="18"/>
    </row>
    <row r="174" customFormat="false" ht="15" hidden="false" customHeight="false" outlineLevel="0" collapsed="false">
      <c r="A174" s="25"/>
      <c r="B174" s="18"/>
      <c r="C174" s="18"/>
      <c r="D174" s="13" t="str">
        <f aca="false">IF(OR(B174="",B173="",174=3),"",B174-B173)</f>
        <v/>
      </c>
      <c r="E174" s="18"/>
    </row>
    <row r="175" customFormat="false" ht="15" hidden="false" customHeight="false" outlineLevel="0" collapsed="false">
      <c r="A175" s="25"/>
      <c r="B175" s="18"/>
      <c r="C175" s="18"/>
      <c r="D175" s="13" t="str">
        <f aca="false">IF(OR(B175="",B174="",175=3),"",B175-B174)</f>
        <v/>
      </c>
      <c r="E175" s="18"/>
    </row>
    <row r="176" customFormat="false" ht="15" hidden="false" customHeight="false" outlineLevel="0" collapsed="false">
      <c r="A176" s="25"/>
      <c r="B176" s="18"/>
      <c r="C176" s="18"/>
      <c r="D176" s="13" t="str">
        <f aca="false">IF(OR(B176="",B175="",176=3),"",B176-B175)</f>
        <v/>
      </c>
      <c r="E176" s="18"/>
    </row>
    <row r="177" customFormat="false" ht="15" hidden="false" customHeight="false" outlineLevel="0" collapsed="false">
      <c r="A177" s="25"/>
      <c r="B177" s="18"/>
      <c r="C177" s="18"/>
      <c r="D177" s="13" t="str">
        <f aca="false">IF(OR(B177="",B176="",177=3),"",B177-B176)</f>
        <v/>
      </c>
      <c r="E177" s="18"/>
    </row>
    <row r="178" customFormat="false" ht="15" hidden="false" customHeight="false" outlineLevel="0" collapsed="false">
      <c r="A178" s="25"/>
      <c r="B178" s="18"/>
      <c r="C178" s="18"/>
      <c r="D178" s="13" t="str">
        <f aca="false">IF(OR(B178="",B177="",178=3),"",B178-B177)</f>
        <v/>
      </c>
      <c r="E178" s="18"/>
    </row>
    <row r="179" customFormat="false" ht="15" hidden="false" customHeight="false" outlineLevel="0" collapsed="false">
      <c r="A179" s="25"/>
      <c r="B179" s="18"/>
      <c r="C179" s="18"/>
      <c r="D179" s="13" t="str">
        <f aca="false">IF(OR(B179="",B178="",179=3),"",B179-B178)</f>
        <v/>
      </c>
      <c r="E179" s="18"/>
    </row>
    <row r="180" customFormat="false" ht="15" hidden="false" customHeight="false" outlineLevel="0" collapsed="false">
      <c r="A180" s="25"/>
      <c r="B180" s="18"/>
      <c r="C180" s="18"/>
      <c r="D180" s="13" t="str">
        <f aca="false">IF(OR(B180="",B179="",180=3),"",B180-B179)</f>
        <v/>
      </c>
      <c r="E180" s="18"/>
    </row>
    <row r="181" customFormat="false" ht="15" hidden="false" customHeight="false" outlineLevel="0" collapsed="false">
      <c r="A181" s="25"/>
      <c r="B181" s="18"/>
      <c r="C181" s="18"/>
      <c r="D181" s="13" t="str">
        <f aca="false">IF(OR(B181="",B180="",181=3),"",B181-B180)</f>
        <v/>
      </c>
      <c r="E181" s="18"/>
    </row>
    <row r="182" customFormat="false" ht="15" hidden="false" customHeight="false" outlineLevel="0" collapsed="false">
      <c r="A182" s="25"/>
      <c r="B182" s="18"/>
      <c r="C182" s="18"/>
      <c r="D182" s="13" t="str">
        <f aca="false">IF(OR(B182="",B181="",182=3),"",B182-B181)</f>
        <v/>
      </c>
      <c r="E182" s="18"/>
    </row>
    <row r="183" customFormat="false" ht="15" hidden="false" customHeight="false" outlineLevel="0" collapsed="false">
      <c r="A183" s="25"/>
      <c r="B183" s="18"/>
      <c r="C183" s="18"/>
      <c r="D183" s="13" t="str">
        <f aca="false">IF(OR(B183="",B182="",183=3),"",B183-B182)</f>
        <v/>
      </c>
      <c r="E183" s="18"/>
    </row>
    <row r="184" customFormat="false" ht="15" hidden="false" customHeight="false" outlineLevel="0" collapsed="false">
      <c r="A184" s="25"/>
      <c r="B184" s="18"/>
      <c r="C184" s="18"/>
      <c r="D184" s="13" t="str">
        <f aca="false">IF(OR(B184="",B183="",184=3),"",B184-B183)</f>
        <v/>
      </c>
      <c r="E184" s="18"/>
    </row>
    <row r="185" customFormat="false" ht="15" hidden="false" customHeight="false" outlineLevel="0" collapsed="false">
      <c r="A185" s="25"/>
      <c r="B185" s="18"/>
      <c r="C185" s="18"/>
      <c r="D185" s="13" t="str">
        <f aca="false">IF(OR(B185="",B184="",185=3),"",B185-B184)</f>
        <v/>
      </c>
      <c r="E185" s="18"/>
    </row>
    <row r="186" customFormat="false" ht="15" hidden="false" customHeight="false" outlineLevel="0" collapsed="false">
      <c r="A186" s="25"/>
      <c r="B186" s="18"/>
      <c r="C186" s="18"/>
      <c r="D186" s="13" t="str">
        <f aca="false">IF(OR(B186="",B185="",186=3),"",B186-B185)</f>
        <v/>
      </c>
      <c r="E186" s="18"/>
    </row>
    <row r="187" customFormat="false" ht="15" hidden="false" customHeight="false" outlineLevel="0" collapsed="false">
      <c r="A187" s="25"/>
      <c r="B187" s="18"/>
      <c r="C187" s="18"/>
      <c r="D187" s="13" t="str">
        <f aca="false">IF(OR(B187="",B186="",187=3),"",B187-B186)</f>
        <v/>
      </c>
      <c r="E187" s="18"/>
    </row>
    <row r="188" customFormat="false" ht="15" hidden="false" customHeight="false" outlineLevel="0" collapsed="false">
      <c r="A188" s="25"/>
      <c r="B188" s="18"/>
      <c r="C188" s="18"/>
      <c r="D188" s="13" t="str">
        <f aca="false">IF(OR(B188="",B187="",188=3),"",B188-B187)</f>
        <v/>
      </c>
      <c r="E188" s="18"/>
    </row>
    <row r="189" customFormat="false" ht="15" hidden="false" customHeight="false" outlineLevel="0" collapsed="false">
      <c r="A189" s="25"/>
      <c r="B189" s="18"/>
      <c r="C189" s="18"/>
      <c r="D189" s="13" t="str">
        <f aca="false">IF(OR(B189="",B188="",189=3),"",B189-B188)</f>
        <v/>
      </c>
      <c r="E189" s="18"/>
    </row>
    <row r="190" customFormat="false" ht="15" hidden="false" customHeight="false" outlineLevel="0" collapsed="false">
      <c r="A190" s="25"/>
      <c r="B190" s="18"/>
      <c r="C190" s="18"/>
      <c r="D190" s="13" t="str">
        <f aca="false">IF(OR(B190="",B189="",190=3),"",B190-B189)</f>
        <v/>
      </c>
      <c r="E190" s="18"/>
    </row>
    <row r="191" customFormat="false" ht="15" hidden="false" customHeight="false" outlineLevel="0" collapsed="false">
      <c r="A191" s="25"/>
      <c r="B191" s="18"/>
      <c r="C191" s="18"/>
      <c r="D191" s="13" t="str">
        <f aca="false">IF(OR(B191="",B190="",191=3),"",B191-B190)</f>
        <v/>
      </c>
      <c r="E191" s="18"/>
    </row>
    <row r="192" customFormat="false" ht="15" hidden="false" customHeight="false" outlineLevel="0" collapsed="false">
      <c r="A192" s="25"/>
      <c r="B192" s="18"/>
      <c r="C192" s="18"/>
      <c r="D192" s="13" t="str">
        <f aca="false">IF(OR(B192="",B191="",192=3),"",B192-B191)</f>
        <v/>
      </c>
      <c r="E192" s="18"/>
    </row>
    <row r="193" customFormat="false" ht="15" hidden="false" customHeight="false" outlineLevel="0" collapsed="false">
      <c r="A193" s="25"/>
      <c r="B193" s="18"/>
      <c r="C193" s="18"/>
      <c r="D193" s="13" t="str">
        <f aca="false">IF(OR(B193="",B192="",193=3),"",B193-B192)</f>
        <v/>
      </c>
      <c r="E193" s="18"/>
    </row>
    <row r="194" customFormat="false" ht="15" hidden="false" customHeight="false" outlineLevel="0" collapsed="false">
      <c r="A194" s="25"/>
      <c r="B194" s="18"/>
      <c r="C194" s="18"/>
      <c r="D194" s="13" t="str">
        <f aca="false">IF(OR(B194="",B193="",194=3),"",B194-B193)</f>
        <v/>
      </c>
      <c r="E194" s="18"/>
    </row>
    <row r="195" customFormat="false" ht="15" hidden="false" customHeight="false" outlineLevel="0" collapsed="false">
      <c r="A195" s="25"/>
      <c r="B195" s="18"/>
      <c r="C195" s="18"/>
      <c r="D195" s="13" t="str">
        <f aca="false">IF(OR(B195="",B194="",195=3),"",B195-B194)</f>
        <v/>
      </c>
      <c r="E195" s="18"/>
    </row>
    <row r="196" customFormat="false" ht="15" hidden="false" customHeight="false" outlineLevel="0" collapsed="false">
      <c r="A196" s="25"/>
      <c r="B196" s="18"/>
      <c r="C196" s="18"/>
      <c r="D196" s="13" t="str">
        <f aca="false">IF(OR(B196="",B195="",196=3),"",B196-B195)</f>
        <v/>
      </c>
      <c r="E196" s="18"/>
    </row>
    <row r="197" customFormat="false" ht="15" hidden="false" customHeight="false" outlineLevel="0" collapsed="false">
      <c r="A197" s="25"/>
      <c r="B197" s="18"/>
      <c r="C197" s="18"/>
      <c r="D197" s="13" t="str">
        <f aca="false">IF(OR(B197="",B196="",197=3),"",B197-B196)</f>
        <v/>
      </c>
      <c r="E197" s="18"/>
    </row>
    <row r="198" customFormat="false" ht="15" hidden="false" customHeight="false" outlineLevel="0" collapsed="false">
      <c r="A198" s="25"/>
      <c r="B198" s="18"/>
      <c r="C198" s="18"/>
      <c r="D198" s="13" t="str">
        <f aca="false">IF(OR(B198="",B197="",198=3),"",B198-B197)</f>
        <v/>
      </c>
      <c r="E198" s="18"/>
    </row>
    <row r="199" customFormat="false" ht="15" hidden="false" customHeight="false" outlineLevel="0" collapsed="false">
      <c r="A199" s="25"/>
      <c r="B199" s="18"/>
      <c r="C199" s="18"/>
      <c r="D199" s="13" t="str">
        <f aca="false">IF(OR(B199="",B198="",199=3),"",B199-B198)</f>
        <v/>
      </c>
      <c r="E199" s="18"/>
    </row>
    <row r="200" customFormat="false" ht="15" hidden="false" customHeight="false" outlineLevel="0" collapsed="false">
      <c r="A200" s="25"/>
      <c r="B200" s="18"/>
      <c r="C200" s="18"/>
      <c r="D200" s="13" t="str">
        <f aca="false">IF(OR(B200="",B199="",200=3),"",B200-B199)</f>
        <v/>
      </c>
      <c r="E200" s="18"/>
    </row>
    <row r="201" customFormat="false" ht="15" hidden="false" customHeight="false" outlineLevel="0" collapsed="false">
      <c r="A201" s="25"/>
      <c r="B201" s="18"/>
      <c r="C201" s="18"/>
      <c r="D201" s="13" t="str">
        <f aca="false">IF(OR(B201="",B200="",201=3),"",B201-B200)</f>
        <v/>
      </c>
      <c r="E201" s="18"/>
    </row>
    <row r="202" customFormat="false" ht="15" hidden="false" customHeight="false" outlineLevel="0" collapsed="false">
      <c r="A202" s="25"/>
      <c r="B202" s="18"/>
      <c r="C202" s="18"/>
      <c r="D202" s="13" t="str">
        <f aca="false">IF(OR(B202="",B201="",202=3),"",B202-B201)</f>
        <v/>
      </c>
      <c r="E202" s="18"/>
    </row>
    <row r="203" customFormat="false" ht="15" hidden="false" customHeight="false" outlineLevel="0" collapsed="false">
      <c r="A203" s="25"/>
      <c r="B203" s="18"/>
      <c r="C203" s="18"/>
      <c r="D203" s="13" t="str">
        <f aca="false">IF(OR(B203="",B202="",203=3),"",B203-B202)</f>
        <v/>
      </c>
      <c r="E203" s="18"/>
    </row>
    <row r="204" customFormat="false" ht="15" hidden="false" customHeight="false" outlineLevel="0" collapsed="false">
      <c r="A204" s="25"/>
      <c r="B204" s="18"/>
      <c r="C204" s="18"/>
      <c r="D204" s="13" t="str">
        <f aca="false">IF(OR(B204="",B203="",204=3),"",B204-B203)</f>
        <v/>
      </c>
      <c r="E204" s="18"/>
    </row>
    <row r="205" customFormat="false" ht="15" hidden="false" customHeight="false" outlineLevel="0" collapsed="false">
      <c r="A205" s="25"/>
      <c r="B205" s="18"/>
      <c r="C205" s="18"/>
      <c r="D205" s="13" t="str">
        <f aca="false">IF(OR(B205="",B204="",205=3),"",B205-B204)</f>
        <v/>
      </c>
      <c r="E205" s="18"/>
    </row>
    <row r="206" customFormat="false" ht="15" hidden="false" customHeight="false" outlineLevel="0" collapsed="false">
      <c r="A206" s="25"/>
      <c r="B206" s="18"/>
      <c r="C206" s="18"/>
      <c r="D206" s="13" t="str">
        <f aca="false">IF(OR(B206="",B205="",206=3),"",B206-B205)</f>
        <v/>
      </c>
      <c r="E206" s="18"/>
    </row>
    <row r="207" customFormat="false" ht="15" hidden="false" customHeight="false" outlineLevel="0" collapsed="false">
      <c r="A207" s="25"/>
      <c r="B207" s="18"/>
      <c r="C207" s="18"/>
      <c r="D207" s="13" t="str">
        <f aca="false">IF(OR(B207="",B206="",207=3),"",B207-B206)</f>
        <v/>
      </c>
      <c r="E207" s="18"/>
    </row>
    <row r="208" customFormat="false" ht="15" hidden="false" customHeight="false" outlineLevel="0" collapsed="false">
      <c r="A208" s="25"/>
      <c r="B208" s="18"/>
      <c r="C208" s="18"/>
      <c r="D208" s="13" t="str">
        <f aca="false">IF(OR(B208="",B207="",208=3),"",B208-B207)</f>
        <v/>
      </c>
      <c r="E208" s="18"/>
    </row>
    <row r="209" customFormat="false" ht="15" hidden="false" customHeight="false" outlineLevel="0" collapsed="false">
      <c r="A209" s="25"/>
      <c r="B209" s="18"/>
      <c r="C209" s="18"/>
      <c r="D209" s="13" t="str">
        <f aca="false">IF(OR(B209="",B208="",209=3),"",B209-B208)</f>
        <v/>
      </c>
      <c r="E209" s="18"/>
    </row>
    <row r="210" customFormat="false" ht="15" hidden="false" customHeight="false" outlineLevel="0" collapsed="false">
      <c r="A210" s="25"/>
      <c r="B210" s="18"/>
      <c r="C210" s="18"/>
      <c r="D210" s="13" t="str">
        <f aca="false">IF(OR(B210="",B209="",210=3),"",B210-B209)</f>
        <v/>
      </c>
      <c r="E210" s="18"/>
    </row>
    <row r="211" customFormat="false" ht="15" hidden="false" customHeight="false" outlineLevel="0" collapsed="false">
      <c r="A211" s="25"/>
      <c r="B211" s="18"/>
      <c r="C211" s="18"/>
      <c r="D211" s="13" t="str">
        <f aca="false">IF(OR(B211="",B210="",211=3),"",B211-B210)</f>
        <v/>
      </c>
      <c r="E211" s="18"/>
    </row>
    <row r="212" customFormat="false" ht="15" hidden="false" customHeight="false" outlineLevel="0" collapsed="false">
      <c r="A212" s="25"/>
      <c r="B212" s="18"/>
      <c r="C212" s="18"/>
      <c r="D212" s="13" t="str">
        <f aca="false">IF(OR(B212="",B211="",212=3),"",B212-B211)</f>
        <v/>
      </c>
      <c r="E212" s="18"/>
    </row>
    <row r="213" customFormat="false" ht="15" hidden="false" customHeight="false" outlineLevel="0" collapsed="false">
      <c r="A213" s="25"/>
      <c r="B213" s="18"/>
      <c r="C213" s="18"/>
      <c r="D213" s="13" t="str">
        <f aca="false">IF(OR(B213="",B212="",213=3),"",B213-B212)</f>
        <v/>
      </c>
      <c r="E213" s="18"/>
    </row>
    <row r="214" customFormat="false" ht="15" hidden="false" customHeight="false" outlineLevel="0" collapsed="false">
      <c r="A214" s="25"/>
      <c r="B214" s="18"/>
      <c r="C214" s="18"/>
      <c r="D214" s="13" t="str">
        <f aca="false">IF(OR(B214="",B213="",214=3),"",B214-B213)</f>
        <v/>
      </c>
      <c r="E214" s="18"/>
    </row>
    <row r="215" customFormat="false" ht="15" hidden="false" customHeight="false" outlineLevel="0" collapsed="false">
      <c r="A215" s="25"/>
      <c r="B215" s="18"/>
      <c r="C215" s="18"/>
      <c r="D215" s="13" t="str">
        <f aca="false">IF(OR(B215="",B214="",215=3),"",B215-B214)</f>
        <v/>
      </c>
      <c r="E215" s="18"/>
    </row>
    <row r="216" customFormat="false" ht="15" hidden="false" customHeight="false" outlineLevel="0" collapsed="false">
      <c r="A216" s="25"/>
      <c r="B216" s="18"/>
      <c r="C216" s="18"/>
      <c r="D216" s="13" t="str">
        <f aca="false">IF(OR(B216="",B215="",216=3),"",B216-B215)</f>
        <v/>
      </c>
      <c r="E216" s="18"/>
    </row>
    <row r="217" customFormat="false" ht="15" hidden="false" customHeight="false" outlineLevel="0" collapsed="false">
      <c r="A217" s="25"/>
      <c r="B217" s="18"/>
      <c r="C217" s="18"/>
      <c r="D217" s="13" t="str">
        <f aca="false">IF(OR(B217="",B216="",217=3),"",B217-B216)</f>
        <v/>
      </c>
      <c r="E217" s="18"/>
    </row>
    <row r="218" customFormat="false" ht="15" hidden="false" customHeight="false" outlineLevel="0" collapsed="false">
      <c r="A218" s="25"/>
      <c r="B218" s="18"/>
      <c r="C218" s="18"/>
      <c r="D218" s="13" t="str">
        <f aca="false">IF(OR(B218="",B217="",218=3),"",B218-B217)</f>
        <v/>
      </c>
      <c r="E218" s="18"/>
    </row>
    <row r="219" customFormat="false" ht="15" hidden="false" customHeight="false" outlineLevel="0" collapsed="false">
      <c r="A219" s="25"/>
      <c r="B219" s="18"/>
      <c r="C219" s="18"/>
      <c r="D219" s="13" t="str">
        <f aca="false">IF(OR(B219="",B218="",219=3),"",B219-B218)</f>
        <v/>
      </c>
      <c r="E219" s="18"/>
    </row>
    <row r="220" customFormat="false" ht="15" hidden="false" customHeight="false" outlineLevel="0" collapsed="false">
      <c r="A220" s="25"/>
      <c r="B220" s="18"/>
      <c r="C220" s="18"/>
      <c r="D220" s="13" t="str">
        <f aca="false">IF(OR(B220="",B219="",220=3),"",B220-B219)</f>
        <v/>
      </c>
      <c r="E220" s="18"/>
    </row>
    <row r="221" customFormat="false" ht="15" hidden="false" customHeight="false" outlineLevel="0" collapsed="false">
      <c r="A221" s="25"/>
      <c r="B221" s="18"/>
      <c r="C221" s="18"/>
      <c r="D221" s="13" t="str">
        <f aca="false">IF(OR(B221="",B220="",221=3),"",B221-B220)</f>
        <v/>
      </c>
      <c r="E221" s="18"/>
    </row>
    <row r="222" customFormat="false" ht="15" hidden="false" customHeight="false" outlineLevel="0" collapsed="false">
      <c r="A222" s="25"/>
      <c r="B222" s="18"/>
      <c r="C222" s="18"/>
      <c r="D222" s="13" t="str">
        <f aca="false">IF(OR(B222="",B221="",222=3),"",B222-B221)</f>
        <v/>
      </c>
      <c r="E222" s="18"/>
    </row>
    <row r="223" customFormat="false" ht="15" hidden="false" customHeight="false" outlineLevel="0" collapsed="false">
      <c r="A223" s="25"/>
      <c r="B223" s="18"/>
      <c r="C223" s="18"/>
      <c r="D223" s="13" t="str">
        <f aca="false">IF(OR(B223="",B222="",223=3),"",B223-B222)</f>
        <v/>
      </c>
      <c r="E223" s="18"/>
    </row>
    <row r="224" customFormat="false" ht="15" hidden="false" customHeight="false" outlineLevel="0" collapsed="false">
      <c r="A224" s="25"/>
      <c r="B224" s="18"/>
      <c r="C224" s="18"/>
      <c r="D224" s="13" t="str">
        <f aca="false">IF(OR(B224="",B223="",224=3),"",B224-B223)</f>
        <v/>
      </c>
      <c r="E224" s="18"/>
    </row>
    <row r="225" customFormat="false" ht="15" hidden="false" customHeight="false" outlineLevel="0" collapsed="false">
      <c r="A225" s="25"/>
      <c r="B225" s="18"/>
      <c r="C225" s="18"/>
      <c r="D225" s="13" t="str">
        <f aca="false">IF(OR(B225="",B224="",225=3),"",B225-B224)</f>
        <v/>
      </c>
      <c r="E225" s="18"/>
    </row>
    <row r="226" customFormat="false" ht="15" hidden="false" customHeight="false" outlineLevel="0" collapsed="false">
      <c r="A226" s="25"/>
      <c r="B226" s="18"/>
      <c r="C226" s="18"/>
      <c r="D226" s="13" t="str">
        <f aca="false">IF(OR(B226="",B225="",226=3),"",B226-B225)</f>
        <v/>
      </c>
      <c r="E226" s="18"/>
    </row>
    <row r="227" customFormat="false" ht="15" hidden="false" customHeight="false" outlineLevel="0" collapsed="false">
      <c r="A227" s="25"/>
      <c r="B227" s="18"/>
      <c r="C227" s="18"/>
      <c r="D227" s="13" t="str">
        <f aca="false">IF(OR(B227="",B226="",227=3),"",B227-B226)</f>
        <v/>
      </c>
      <c r="E227" s="18"/>
    </row>
    <row r="228" customFormat="false" ht="15" hidden="false" customHeight="false" outlineLevel="0" collapsed="false">
      <c r="A228" s="25"/>
      <c r="B228" s="18"/>
      <c r="C228" s="18"/>
      <c r="D228" s="13" t="str">
        <f aca="false">IF(OR(B228="",B227="",228=3),"",B228-B227)</f>
        <v/>
      </c>
      <c r="E228" s="18"/>
    </row>
    <row r="229" customFormat="false" ht="15" hidden="false" customHeight="false" outlineLevel="0" collapsed="false">
      <c r="A229" s="25"/>
      <c r="B229" s="18"/>
      <c r="C229" s="18"/>
      <c r="D229" s="13" t="str">
        <f aca="false">IF(OR(B229="",B228="",229=3),"",B229-B228)</f>
        <v/>
      </c>
      <c r="E229" s="18"/>
    </row>
    <row r="230" customFormat="false" ht="15" hidden="false" customHeight="false" outlineLevel="0" collapsed="false">
      <c r="A230" s="25"/>
      <c r="B230" s="18"/>
      <c r="C230" s="18"/>
      <c r="D230" s="13" t="str">
        <f aca="false">IF(OR(B230="",B229="",230=3),"",B230-B229)</f>
        <v/>
      </c>
      <c r="E230" s="18"/>
    </row>
    <row r="231" customFormat="false" ht="15" hidden="false" customHeight="false" outlineLevel="0" collapsed="false">
      <c r="A231" s="25"/>
      <c r="B231" s="18"/>
      <c r="C231" s="18"/>
      <c r="D231" s="13" t="str">
        <f aca="false">IF(OR(B231="",B230="",231=3),"",B231-B230)</f>
        <v/>
      </c>
      <c r="E231" s="18"/>
    </row>
    <row r="232" customFormat="false" ht="15" hidden="false" customHeight="false" outlineLevel="0" collapsed="false">
      <c r="A232" s="25"/>
      <c r="B232" s="18"/>
      <c r="C232" s="18"/>
      <c r="D232" s="13" t="str">
        <f aca="false">IF(OR(B232="",B231="",232=3),"",B232-B231)</f>
        <v/>
      </c>
      <c r="E232" s="18"/>
    </row>
    <row r="233" customFormat="false" ht="15" hidden="false" customHeight="false" outlineLevel="0" collapsed="false">
      <c r="A233" s="25"/>
      <c r="B233" s="18"/>
      <c r="C233" s="18"/>
      <c r="D233" s="13" t="str">
        <f aca="false">IF(OR(B233="",B232="",233=3),"",B233-B232)</f>
        <v/>
      </c>
      <c r="E233" s="18"/>
    </row>
    <row r="234" customFormat="false" ht="15" hidden="false" customHeight="false" outlineLevel="0" collapsed="false">
      <c r="A234" s="25"/>
      <c r="B234" s="18"/>
      <c r="C234" s="18"/>
      <c r="D234" s="13" t="str">
        <f aca="false">IF(OR(B234="",B233="",234=3),"",B234-B233)</f>
        <v/>
      </c>
      <c r="E234" s="18"/>
    </row>
    <row r="235" customFormat="false" ht="15" hidden="false" customHeight="false" outlineLevel="0" collapsed="false">
      <c r="A235" s="25"/>
      <c r="B235" s="18"/>
      <c r="C235" s="18"/>
      <c r="D235" s="13" t="str">
        <f aca="false">IF(OR(B235="",B234="",235=3),"",B235-B234)</f>
        <v/>
      </c>
      <c r="E235" s="18"/>
    </row>
    <row r="236" customFormat="false" ht="15" hidden="false" customHeight="false" outlineLevel="0" collapsed="false">
      <c r="A236" s="25"/>
      <c r="B236" s="18"/>
      <c r="C236" s="18"/>
      <c r="D236" s="13" t="str">
        <f aca="false">IF(OR(B236="",B235="",236=3),"",B236-B235)</f>
        <v/>
      </c>
      <c r="E236" s="18"/>
    </row>
    <row r="237" customFormat="false" ht="15" hidden="false" customHeight="false" outlineLevel="0" collapsed="false">
      <c r="A237" s="25"/>
      <c r="B237" s="18"/>
      <c r="C237" s="18"/>
      <c r="D237" s="13" t="str">
        <f aca="false">IF(OR(B237="",B236="",237=3),"",B237-B236)</f>
        <v/>
      </c>
      <c r="E237" s="18"/>
    </row>
    <row r="238" customFormat="false" ht="15" hidden="false" customHeight="false" outlineLevel="0" collapsed="false">
      <c r="A238" s="25"/>
      <c r="B238" s="18"/>
      <c r="C238" s="18"/>
      <c r="D238" s="13" t="str">
        <f aca="false">IF(OR(B238="",B237="",238=3),"",B238-B237)</f>
        <v/>
      </c>
      <c r="E238" s="18"/>
    </row>
    <row r="239" customFormat="false" ht="15" hidden="false" customHeight="false" outlineLevel="0" collapsed="false">
      <c r="A239" s="25"/>
      <c r="B239" s="18"/>
      <c r="C239" s="18"/>
      <c r="D239" s="13" t="str">
        <f aca="false">IF(OR(B239="",B238="",239=3),"",B239-B238)</f>
        <v/>
      </c>
      <c r="E239" s="18"/>
    </row>
    <row r="240" customFormat="false" ht="15" hidden="false" customHeight="false" outlineLevel="0" collapsed="false">
      <c r="A240" s="25"/>
      <c r="B240" s="18"/>
      <c r="C240" s="18"/>
      <c r="D240" s="13" t="str">
        <f aca="false">IF(OR(B240="",B239="",240=3),"",B240-B239)</f>
        <v/>
      </c>
      <c r="E240" s="18"/>
    </row>
    <row r="241" customFormat="false" ht="15" hidden="false" customHeight="false" outlineLevel="0" collapsed="false">
      <c r="A241" s="25"/>
      <c r="B241" s="18"/>
      <c r="C241" s="18"/>
      <c r="D241" s="13" t="str">
        <f aca="false">IF(OR(B241="",B240="",241=3),"",B241-B240)</f>
        <v/>
      </c>
      <c r="E241" s="18"/>
    </row>
    <row r="242" customFormat="false" ht="15" hidden="false" customHeight="false" outlineLevel="0" collapsed="false">
      <c r="A242" s="25"/>
      <c r="B242" s="18"/>
      <c r="C242" s="18"/>
      <c r="D242" s="13" t="str">
        <f aca="false">IF(OR(B242="",B241="",242=3),"",B242-B241)</f>
        <v/>
      </c>
      <c r="E242" s="18"/>
    </row>
    <row r="243" customFormat="false" ht="15" hidden="false" customHeight="false" outlineLevel="0" collapsed="false">
      <c r="A243" s="25"/>
      <c r="B243" s="18"/>
      <c r="C243" s="18"/>
      <c r="D243" s="13" t="str">
        <f aca="false">IF(OR(B243="",B242="",243=3),"",B243-B242)</f>
        <v/>
      </c>
      <c r="E243" s="18"/>
    </row>
    <row r="244" customFormat="false" ht="15" hidden="false" customHeight="false" outlineLevel="0" collapsed="false">
      <c r="A244" s="25"/>
      <c r="B244" s="18"/>
      <c r="C244" s="18"/>
      <c r="D244" s="13" t="str">
        <f aca="false">IF(OR(B244="",B243="",244=3),"",B244-B243)</f>
        <v/>
      </c>
      <c r="E244" s="18"/>
    </row>
    <row r="245" customFormat="false" ht="15" hidden="false" customHeight="false" outlineLevel="0" collapsed="false">
      <c r="A245" s="25"/>
      <c r="B245" s="18"/>
      <c r="C245" s="18"/>
      <c r="D245" s="13" t="str">
        <f aca="false">IF(OR(B245="",B244="",245=3),"",B245-B244)</f>
        <v/>
      </c>
      <c r="E245" s="18"/>
    </row>
    <row r="246" customFormat="false" ht="15" hidden="false" customHeight="false" outlineLevel="0" collapsed="false">
      <c r="A246" s="25"/>
      <c r="B246" s="18"/>
      <c r="C246" s="18"/>
      <c r="D246" s="13" t="str">
        <f aca="false">IF(OR(B246="",B245="",246=3),"",B246-B245)</f>
        <v/>
      </c>
      <c r="E246" s="18"/>
    </row>
    <row r="247" customFormat="false" ht="15" hidden="false" customHeight="false" outlineLevel="0" collapsed="false">
      <c r="A247" s="25"/>
      <c r="B247" s="18"/>
      <c r="C247" s="18"/>
      <c r="D247" s="13" t="str">
        <f aca="false">IF(OR(B247="",B246="",247=3),"",B247-B246)</f>
        <v/>
      </c>
      <c r="E247" s="18"/>
    </row>
    <row r="248" customFormat="false" ht="15" hidden="false" customHeight="false" outlineLevel="0" collapsed="false">
      <c r="A248" s="25"/>
      <c r="B248" s="18"/>
      <c r="C248" s="18"/>
      <c r="D248" s="13" t="str">
        <f aca="false">IF(OR(B248="",B247="",248=3),"",B248-B247)</f>
        <v/>
      </c>
      <c r="E248" s="18"/>
    </row>
    <row r="249" customFormat="false" ht="15" hidden="false" customHeight="false" outlineLevel="0" collapsed="false">
      <c r="A249" s="25"/>
      <c r="B249" s="18"/>
      <c r="C249" s="18"/>
      <c r="D249" s="13" t="str">
        <f aca="false">IF(OR(B249="",B248="",249=3),"",B249-B248)</f>
        <v/>
      </c>
      <c r="E249" s="18"/>
    </row>
    <row r="250" customFormat="false" ht="15" hidden="false" customHeight="false" outlineLevel="0" collapsed="false">
      <c r="A250" s="25"/>
      <c r="B250" s="18"/>
      <c r="C250" s="18"/>
      <c r="D250" s="13" t="str">
        <f aca="false">IF(OR(B250="",B249="",250=3),"",B250-B249)</f>
        <v/>
      </c>
      <c r="E250" s="18"/>
    </row>
    <row r="251" customFormat="false" ht="15" hidden="false" customHeight="false" outlineLevel="0" collapsed="false">
      <c r="A251" s="25"/>
      <c r="B251" s="18"/>
      <c r="C251" s="18"/>
      <c r="D251" s="13" t="str">
        <f aca="false">IF(OR(B251="",B250="",251=3),"",B251-B250)</f>
        <v/>
      </c>
      <c r="E251" s="18"/>
    </row>
    <row r="252" customFormat="false" ht="15" hidden="false" customHeight="false" outlineLevel="0" collapsed="false">
      <c r="A252" s="25"/>
      <c r="B252" s="18"/>
      <c r="C252" s="18"/>
      <c r="D252" s="13" t="str">
        <f aca="false">IF(OR(B252="",B251="",252=3),"",B252-B251)</f>
        <v/>
      </c>
      <c r="E252" s="18"/>
    </row>
    <row r="253" customFormat="false" ht="15" hidden="false" customHeight="false" outlineLevel="0" collapsed="false">
      <c r="A253" s="25"/>
      <c r="B253" s="18"/>
      <c r="C253" s="18"/>
      <c r="D253" s="13" t="str">
        <f aca="false">IF(OR(B253="",B252="",253=3),"",B253-B252)</f>
        <v/>
      </c>
      <c r="E253" s="18"/>
    </row>
    <row r="254" customFormat="false" ht="15" hidden="false" customHeight="false" outlineLevel="0" collapsed="false">
      <c r="A254" s="25"/>
      <c r="B254" s="18"/>
      <c r="C254" s="18"/>
      <c r="D254" s="13" t="str">
        <f aca="false">IF(OR(B254="",B253="",254=3),"",B254-B253)</f>
        <v/>
      </c>
      <c r="E254" s="18"/>
    </row>
    <row r="255" customFormat="false" ht="15" hidden="false" customHeight="false" outlineLevel="0" collapsed="false">
      <c r="A255" s="25"/>
      <c r="B255" s="18"/>
      <c r="C255" s="18"/>
      <c r="D255" s="13" t="str">
        <f aca="false">IF(OR(B255="",B254="",255=3),"",B255-B254)</f>
        <v/>
      </c>
      <c r="E255" s="18"/>
    </row>
    <row r="256" customFormat="false" ht="15" hidden="false" customHeight="false" outlineLevel="0" collapsed="false">
      <c r="A256" s="25"/>
      <c r="B256" s="18"/>
      <c r="C256" s="18"/>
      <c r="D256" s="13" t="str">
        <f aca="false">IF(OR(B256="",B255="",256=3),"",B256-B255)</f>
        <v/>
      </c>
      <c r="E256" s="18"/>
    </row>
    <row r="257" customFormat="false" ht="15" hidden="false" customHeight="false" outlineLevel="0" collapsed="false">
      <c r="A257" s="25"/>
      <c r="B257" s="18"/>
      <c r="C257" s="18"/>
      <c r="D257" s="13" t="str">
        <f aca="false">IF(OR(B257="",B256="",257=3),"",B257-B256)</f>
        <v/>
      </c>
      <c r="E257" s="18"/>
    </row>
    <row r="258" customFormat="false" ht="15" hidden="false" customHeight="false" outlineLevel="0" collapsed="false">
      <c r="A258" s="25"/>
      <c r="B258" s="18"/>
      <c r="C258" s="18"/>
      <c r="D258" s="13" t="str">
        <f aca="false">IF(OR(B258="",B257="",258=3),"",B258-B257)</f>
        <v/>
      </c>
      <c r="E258" s="18"/>
    </row>
    <row r="259" customFormat="false" ht="15" hidden="false" customHeight="false" outlineLevel="0" collapsed="false">
      <c r="A259" s="25"/>
      <c r="B259" s="18"/>
      <c r="C259" s="18"/>
      <c r="D259" s="13" t="str">
        <f aca="false">IF(OR(B259="",B258="",259=3),"",B259-B258)</f>
        <v/>
      </c>
      <c r="E259" s="18"/>
    </row>
    <row r="260" customFormat="false" ht="15" hidden="false" customHeight="false" outlineLevel="0" collapsed="false">
      <c r="A260" s="25"/>
      <c r="B260" s="18"/>
      <c r="C260" s="18"/>
      <c r="D260" s="13" t="str">
        <f aca="false">IF(OR(B260="",B259="",260=3),"",B260-B259)</f>
        <v/>
      </c>
      <c r="E260" s="18"/>
    </row>
    <row r="261" customFormat="false" ht="15" hidden="false" customHeight="false" outlineLevel="0" collapsed="false">
      <c r="A261" s="25"/>
      <c r="B261" s="18"/>
      <c r="C261" s="18"/>
      <c r="D261" s="13" t="str">
        <f aca="false">IF(OR(B261="",B260="",261=3),"",B261-B260)</f>
        <v/>
      </c>
      <c r="E261" s="18"/>
    </row>
    <row r="262" customFormat="false" ht="15" hidden="false" customHeight="false" outlineLevel="0" collapsed="false">
      <c r="A262" s="25"/>
      <c r="B262" s="18"/>
      <c r="C262" s="18"/>
      <c r="D262" s="13" t="str">
        <f aca="false">IF(OR(B262="",B261="",262=3),"",B262-B261)</f>
        <v/>
      </c>
      <c r="E262" s="18"/>
    </row>
    <row r="263" customFormat="false" ht="15" hidden="false" customHeight="false" outlineLevel="0" collapsed="false">
      <c r="A263" s="25"/>
      <c r="B263" s="18"/>
      <c r="C263" s="18"/>
      <c r="D263" s="13" t="str">
        <f aca="false">IF(OR(B263="",B262="",263=3),"",B263-B262)</f>
        <v/>
      </c>
      <c r="E263" s="18"/>
    </row>
    <row r="264" customFormat="false" ht="15" hidden="false" customHeight="false" outlineLevel="0" collapsed="false">
      <c r="A264" s="25"/>
      <c r="B264" s="18"/>
      <c r="C264" s="18"/>
      <c r="D264" s="13" t="str">
        <f aca="false">IF(OR(B264="",B263="",264=3),"",B264-B263)</f>
        <v/>
      </c>
      <c r="E264" s="18"/>
    </row>
    <row r="265" customFormat="false" ht="15" hidden="false" customHeight="false" outlineLevel="0" collapsed="false">
      <c r="A265" s="25"/>
      <c r="B265" s="18"/>
      <c r="C265" s="18"/>
      <c r="D265" s="13" t="str">
        <f aca="false">IF(OR(B265="",B264="",265=3),"",B265-B264)</f>
        <v/>
      </c>
      <c r="E265" s="18"/>
    </row>
    <row r="266" customFormat="false" ht="15" hidden="false" customHeight="false" outlineLevel="0" collapsed="false">
      <c r="A266" s="25"/>
      <c r="B266" s="18"/>
      <c r="C266" s="18"/>
      <c r="D266" s="13" t="str">
        <f aca="false">IF(OR(B266="",B265="",266=3),"",B266-B265)</f>
        <v/>
      </c>
      <c r="E266" s="18"/>
    </row>
    <row r="267" customFormat="false" ht="15" hidden="false" customHeight="false" outlineLevel="0" collapsed="false">
      <c r="A267" s="25"/>
      <c r="B267" s="18"/>
      <c r="C267" s="18"/>
      <c r="D267" s="13" t="str">
        <f aca="false">IF(OR(B267="",B266="",267=3),"",B267-B266)</f>
        <v/>
      </c>
      <c r="E267" s="18"/>
    </row>
    <row r="268" customFormat="false" ht="15" hidden="false" customHeight="false" outlineLevel="0" collapsed="false">
      <c r="A268" s="25"/>
      <c r="B268" s="18"/>
      <c r="C268" s="18"/>
      <c r="D268" s="13" t="str">
        <f aca="false">IF(OR(B268="",B267="",268=3),"",B268-B267)</f>
        <v/>
      </c>
      <c r="E268" s="18"/>
    </row>
    <row r="269" customFormat="false" ht="15" hidden="false" customHeight="false" outlineLevel="0" collapsed="false">
      <c r="A269" s="25"/>
      <c r="B269" s="18"/>
      <c r="C269" s="18"/>
      <c r="D269" s="13" t="str">
        <f aca="false">IF(OR(B269="",B268="",269=3),"",B269-B268)</f>
        <v/>
      </c>
      <c r="E269" s="18"/>
    </row>
    <row r="270" customFormat="false" ht="15" hidden="false" customHeight="false" outlineLevel="0" collapsed="false">
      <c r="A270" s="25"/>
      <c r="B270" s="18"/>
      <c r="C270" s="18"/>
      <c r="D270" s="13" t="str">
        <f aca="false">IF(OR(B270="",B269="",270=3),"",B270-B269)</f>
        <v/>
      </c>
      <c r="E270" s="18"/>
    </row>
    <row r="271" customFormat="false" ht="15" hidden="false" customHeight="false" outlineLevel="0" collapsed="false">
      <c r="A271" s="25"/>
      <c r="B271" s="18"/>
      <c r="C271" s="18"/>
      <c r="D271" s="13" t="str">
        <f aca="false">IF(OR(B271="",B270="",271=3),"",B271-B270)</f>
        <v/>
      </c>
      <c r="E271" s="18"/>
    </row>
    <row r="272" customFormat="false" ht="15" hidden="false" customHeight="false" outlineLevel="0" collapsed="false">
      <c r="A272" s="25"/>
      <c r="B272" s="18"/>
      <c r="C272" s="18"/>
      <c r="D272" s="13" t="str">
        <f aca="false">IF(OR(B272="",B271="",272=3),"",B272-B271)</f>
        <v/>
      </c>
      <c r="E272" s="18"/>
    </row>
    <row r="273" customFormat="false" ht="15" hidden="false" customHeight="false" outlineLevel="0" collapsed="false">
      <c r="A273" s="25"/>
      <c r="B273" s="18"/>
      <c r="C273" s="18"/>
      <c r="D273" s="13" t="str">
        <f aca="false">IF(OR(B273="",B272="",273=3),"",B273-B272)</f>
        <v/>
      </c>
      <c r="E273" s="18"/>
    </row>
    <row r="274" customFormat="false" ht="15" hidden="false" customHeight="false" outlineLevel="0" collapsed="false">
      <c r="A274" s="25"/>
      <c r="B274" s="18"/>
      <c r="C274" s="18"/>
      <c r="D274" s="13" t="str">
        <f aca="false">IF(OR(B274="",B273="",274=3),"",B274-B273)</f>
        <v/>
      </c>
      <c r="E274" s="18"/>
    </row>
    <row r="275" customFormat="false" ht="15" hidden="false" customHeight="false" outlineLevel="0" collapsed="false">
      <c r="A275" s="25"/>
      <c r="B275" s="18"/>
      <c r="C275" s="18"/>
      <c r="D275" s="13" t="str">
        <f aca="false">IF(OR(B275="",B274="",275=3),"",B275-B274)</f>
        <v/>
      </c>
      <c r="E275" s="18"/>
    </row>
    <row r="276" customFormat="false" ht="15" hidden="false" customHeight="false" outlineLevel="0" collapsed="false">
      <c r="A276" s="25"/>
      <c r="B276" s="18"/>
      <c r="C276" s="18"/>
      <c r="D276" s="13" t="str">
        <f aca="false">IF(OR(B276="",B275="",276=3),"",B276-B275)</f>
        <v/>
      </c>
      <c r="E276" s="18"/>
    </row>
    <row r="277" customFormat="false" ht="15" hidden="false" customHeight="false" outlineLevel="0" collapsed="false">
      <c r="A277" s="25"/>
      <c r="B277" s="18"/>
      <c r="C277" s="18"/>
      <c r="D277" s="13" t="str">
        <f aca="false">IF(OR(B277="",B276="",277=3),"",B277-B276)</f>
        <v/>
      </c>
      <c r="E277" s="18"/>
    </row>
    <row r="278" customFormat="false" ht="15" hidden="false" customHeight="false" outlineLevel="0" collapsed="false">
      <c r="A278" s="25"/>
      <c r="B278" s="18"/>
      <c r="C278" s="18"/>
      <c r="D278" s="13" t="str">
        <f aca="false">IF(OR(B278="",B277="",278=3),"",B278-B277)</f>
        <v/>
      </c>
      <c r="E278" s="18"/>
    </row>
    <row r="279" customFormat="false" ht="15" hidden="false" customHeight="false" outlineLevel="0" collapsed="false">
      <c r="A279" s="25"/>
      <c r="B279" s="18"/>
      <c r="C279" s="18"/>
      <c r="D279" s="13" t="str">
        <f aca="false">IF(OR(B279="",B278="",279=3),"",B279-B278)</f>
        <v/>
      </c>
      <c r="E279" s="18"/>
    </row>
    <row r="280" customFormat="false" ht="15" hidden="false" customHeight="false" outlineLevel="0" collapsed="false">
      <c r="A280" s="25"/>
      <c r="B280" s="18"/>
      <c r="C280" s="18"/>
      <c r="D280" s="13" t="str">
        <f aca="false">IF(OR(B280="",B279="",280=3),"",B280-B279)</f>
        <v/>
      </c>
      <c r="E280" s="18"/>
    </row>
    <row r="281" customFormat="false" ht="15" hidden="false" customHeight="false" outlineLevel="0" collapsed="false">
      <c r="A281" s="25"/>
      <c r="B281" s="18"/>
      <c r="C281" s="18"/>
      <c r="D281" s="13" t="str">
        <f aca="false">IF(OR(B281="",B280="",281=3),"",B281-B280)</f>
        <v/>
      </c>
      <c r="E281" s="18"/>
    </row>
    <row r="282" customFormat="false" ht="15" hidden="false" customHeight="false" outlineLevel="0" collapsed="false">
      <c r="A282" s="25"/>
      <c r="B282" s="18"/>
      <c r="C282" s="18"/>
      <c r="D282" s="13" t="str">
        <f aca="false">IF(OR(B282="",B281="",282=3),"",B282-B281)</f>
        <v/>
      </c>
      <c r="E282" s="18"/>
    </row>
    <row r="283" customFormat="false" ht="15" hidden="false" customHeight="false" outlineLevel="0" collapsed="false">
      <c r="A283" s="25"/>
      <c r="B283" s="18"/>
      <c r="C283" s="18"/>
      <c r="D283" s="13" t="str">
        <f aca="false">IF(OR(B283="",B282="",283=3),"",B283-B282)</f>
        <v/>
      </c>
      <c r="E283" s="18"/>
    </row>
    <row r="284" customFormat="false" ht="15" hidden="false" customHeight="false" outlineLevel="0" collapsed="false">
      <c r="A284" s="25"/>
      <c r="B284" s="18"/>
      <c r="C284" s="18"/>
      <c r="D284" s="13" t="str">
        <f aca="false">IF(OR(B284="",B283="",284=3),"",B284-B283)</f>
        <v/>
      </c>
      <c r="E284" s="18"/>
    </row>
    <row r="285" customFormat="false" ht="15" hidden="false" customHeight="false" outlineLevel="0" collapsed="false">
      <c r="A285" s="25"/>
      <c r="B285" s="18"/>
      <c r="C285" s="18"/>
      <c r="D285" s="13" t="str">
        <f aca="false">IF(OR(B285="",B284="",285=3),"",B285-B284)</f>
        <v/>
      </c>
      <c r="E285" s="18"/>
    </row>
    <row r="286" customFormat="false" ht="15" hidden="false" customHeight="false" outlineLevel="0" collapsed="false">
      <c r="A286" s="25"/>
      <c r="B286" s="18"/>
      <c r="C286" s="18"/>
      <c r="D286" s="13" t="str">
        <f aca="false">IF(OR(B286="",B285="",286=3),"",B286-B285)</f>
        <v/>
      </c>
      <c r="E286" s="18"/>
    </row>
    <row r="287" customFormat="false" ht="15" hidden="false" customHeight="false" outlineLevel="0" collapsed="false">
      <c r="A287" s="25"/>
      <c r="B287" s="18"/>
      <c r="C287" s="18"/>
      <c r="D287" s="13" t="str">
        <f aca="false">IF(OR(B287="",B286="",287=3),"",B287-B286)</f>
        <v/>
      </c>
      <c r="E287" s="18"/>
    </row>
    <row r="288" customFormat="false" ht="15" hidden="false" customHeight="false" outlineLevel="0" collapsed="false">
      <c r="A288" s="25"/>
      <c r="B288" s="18"/>
      <c r="C288" s="18"/>
      <c r="D288" s="13" t="str">
        <f aca="false">IF(OR(B288="",B287="",288=3),"",B288-B287)</f>
        <v/>
      </c>
      <c r="E288" s="18"/>
    </row>
    <row r="289" customFormat="false" ht="15" hidden="false" customHeight="false" outlineLevel="0" collapsed="false">
      <c r="A289" s="25"/>
      <c r="B289" s="18"/>
      <c r="C289" s="18"/>
      <c r="D289" s="13" t="str">
        <f aca="false">IF(OR(B289="",B288="",289=3),"",B289-B288)</f>
        <v/>
      </c>
      <c r="E289" s="18"/>
    </row>
    <row r="290" customFormat="false" ht="15" hidden="false" customHeight="false" outlineLevel="0" collapsed="false">
      <c r="A290" s="25"/>
      <c r="B290" s="18"/>
      <c r="C290" s="18"/>
      <c r="D290" s="13" t="str">
        <f aca="false">IF(OR(B290="",B289="",290=3),"",B290-B289)</f>
        <v/>
      </c>
      <c r="E290" s="18"/>
    </row>
    <row r="291" customFormat="false" ht="15" hidden="false" customHeight="false" outlineLevel="0" collapsed="false">
      <c r="A291" s="25"/>
      <c r="B291" s="18"/>
      <c r="C291" s="18"/>
      <c r="D291" s="13" t="str">
        <f aca="false">IF(OR(B291="",B290="",291=3),"",B291-B290)</f>
        <v/>
      </c>
      <c r="E291" s="18"/>
    </row>
    <row r="292" customFormat="false" ht="15" hidden="false" customHeight="false" outlineLevel="0" collapsed="false">
      <c r="A292" s="25"/>
      <c r="B292" s="18"/>
      <c r="C292" s="18"/>
      <c r="D292" s="13" t="str">
        <f aca="false">IF(OR(B292="",B291="",292=3),"",B292-B291)</f>
        <v/>
      </c>
      <c r="E292" s="18"/>
    </row>
    <row r="293" customFormat="false" ht="15" hidden="false" customHeight="false" outlineLevel="0" collapsed="false">
      <c r="A293" s="25"/>
      <c r="B293" s="18"/>
      <c r="C293" s="18"/>
      <c r="D293" s="13" t="str">
        <f aca="false">IF(OR(B293="",B292="",293=3),"",B293-B292)</f>
        <v/>
      </c>
      <c r="E293" s="18"/>
    </row>
    <row r="294" customFormat="false" ht="15" hidden="false" customHeight="false" outlineLevel="0" collapsed="false">
      <c r="A294" s="25"/>
      <c r="B294" s="18"/>
      <c r="C294" s="18"/>
      <c r="D294" s="13" t="str">
        <f aca="false">IF(OR(B294="",B293="",294=3),"",B294-B293)</f>
        <v/>
      </c>
      <c r="E294" s="18"/>
    </row>
    <row r="295" customFormat="false" ht="15" hidden="false" customHeight="false" outlineLevel="0" collapsed="false">
      <c r="A295" s="25"/>
      <c r="B295" s="18"/>
      <c r="C295" s="18"/>
      <c r="D295" s="13" t="str">
        <f aca="false">IF(OR(B295="",B294="",295=3),"",B295-B294)</f>
        <v/>
      </c>
      <c r="E295" s="18"/>
    </row>
    <row r="296" customFormat="false" ht="15" hidden="false" customHeight="false" outlineLevel="0" collapsed="false">
      <c r="A296" s="25"/>
      <c r="B296" s="18"/>
      <c r="C296" s="18"/>
      <c r="D296" s="13" t="str">
        <f aca="false">IF(OR(B296="",B295="",296=3),"",B296-B295)</f>
        <v/>
      </c>
      <c r="E296" s="18"/>
    </row>
    <row r="297" customFormat="false" ht="15" hidden="false" customHeight="false" outlineLevel="0" collapsed="false">
      <c r="A297" s="25"/>
      <c r="B297" s="18"/>
      <c r="C297" s="18"/>
      <c r="D297" s="13" t="str">
        <f aca="false">IF(OR(B297="",B296="",297=3),"",B297-B296)</f>
        <v/>
      </c>
      <c r="E297" s="18"/>
    </row>
    <row r="298" customFormat="false" ht="15" hidden="false" customHeight="false" outlineLevel="0" collapsed="false">
      <c r="A298" s="25"/>
      <c r="B298" s="18"/>
      <c r="C298" s="18"/>
      <c r="D298" s="13" t="str">
        <f aca="false">IF(OR(B298="",B297="",298=3),"",B298-B297)</f>
        <v/>
      </c>
      <c r="E298" s="18"/>
    </row>
    <row r="299" customFormat="false" ht="15" hidden="false" customHeight="false" outlineLevel="0" collapsed="false">
      <c r="A299" s="25"/>
      <c r="B299" s="18"/>
      <c r="C299" s="18"/>
      <c r="D299" s="13" t="str">
        <f aca="false">IF(OR(B299="",B298="",299=3),"",B299-B298)</f>
        <v/>
      </c>
      <c r="E299" s="18"/>
    </row>
    <row r="300" customFormat="false" ht="15" hidden="false" customHeight="false" outlineLevel="0" collapsed="false">
      <c r="A300" s="25"/>
      <c r="B300" s="18"/>
      <c r="C300" s="18"/>
      <c r="D300" s="13" t="str">
        <f aca="false">IF(OR(B300="",B299="",300=3),"",B300-B299)</f>
        <v/>
      </c>
      <c r="E300" s="18"/>
    </row>
    <row r="301" customFormat="false" ht="15" hidden="false" customHeight="false" outlineLevel="0" collapsed="false">
      <c r="A301" s="25"/>
      <c r="B301" s="18"/>
      <c r="C301" s="18"/>
      <c r="D301" s="13" t="str">
        <f aca="false">IF(OR(B301="",B300="",301=3),"",B301-B300)</f>
        <v/>
      </c>
      <c r="E301" s="18"/>
    </row>
    <row r="302" customFormat="false" ht="15" hidden="false" customHeight="false" outlineLevel="0" collapsed="false">
      <c r="A302" s="25"/>
      <c r="B302" s="18"/>
      <c r="C302" s="18"/>
      <c r="D302" s="13" t="str">
        <f aca="false">IF(OR(B302="",B301="",302=3),"",B302-B301)</f>
        <v/>
      </c>
      <c r="E302" s="18"/>
    </row>
    <row r="303" customFormat="false" ht="15" hidden="false" customHeight="false" outlineLevel="0" collapsed="false">
      <c r="A303" s="25"/>
      <c r="B303" s="18"/>
      <c r="C303" s="18"/>
      <c r="D303" s="13" t="str">
        <f aca="false">IF(OR(B303="",B302="",303=3),"",B303-B302)</f>
        <v/>
      </c>
      <c r="E303" s="18"/>
    </row>
    <row r="304" customFormat="false" ht="15" hidden="false" customHeight="false" outlineLevel="0" collapsed="false">
      <c r="A304" s="25"/>
      <c r="B304" s="18"/>
      <c r="C304" s="18"/>
      <c r="D304" s="13" t="str">
        <f aca="false">IF(OR(B304="",B303="",304=3),"",B304-B303)</f>
        <v/>
      </c>
      <c r="E304" s="18"/>
    </row>
    <row r="305" customFormat="false" ht="15" hidden="false" customHeight="false" outlineLevel="0" collapsed="false">
      <c r="A305" s="25"/>
      <c r="B305" s="18"/>
      <c r="C305" s="18"/>
      <c r="D305" s="13" t="str">
        <f aca="false">IF(OR(B305="",B304="",305=3),"",B305-B304)</f>
        <v/>
      </c>
      <c r="E305" s="18"/>
    </row>
    <row r="306" customFormat="false" ht="15" hidden="false" customHeight="false" outlineLevel="0" collapsed="false">
      <c r="A306" s="25"/>
      <c r="B306" s="18"/>
      <c r="C306" s="18"/>
      <c r="D306" s="13" t="str">
        <f aca="false">IF(OR(B306="",B305="",306=3),"",B306-B305)</f>
        <v/>
      </c>
      <c r="E306" s="18"/>
    </row>
    <row r="307" customFormat="false" ht="15" hidden="false" customHeight="false" outlineLevel="0" collapsed="false">
      <c r="A307" s="25"/>
      <c r="B307" s="18"/>
      <c r="C307" s="18"/>
      <c r="D307" s="13" t="str">
        <f aca="false">IF(OR(B307="",B306="",307=3),"",B307-B306)</f>
        <v/>
      </c>
      <c r="E307" s="18"/>
    </row>
    <row r="308" customFormat="false" ht="15" hidden="false" customHeight="false" outlineLevel="0" collapsed="false">
      <c r="A308" s="25"/>
      <c r="B308" s="18"/>
      <c r="C308" s="18"/>
      <c r="D308" s="13" t="str">
        <f aca="false">IF(OR(B308="",B307="",308=3),"",B308-B307)</f>
        <v/>
      </c>
      <c r="E308" s="18"/>
    </row>
    <row r="309" customFormat="false" ht="15" hidden="false" customHeight="false" outlineLevel="0" collapsed="false">
      <c r="A309" s="25"/>
      <c r="B309" s="18"/>
      <c r="C309" s="18"/>
      <c r="D309" s="13" t="str">
        <f aca="false">IF(OR(B309="",B308="",309=3),"",B309-B308)</f>
        <v/>
      </c>
      <c r="E309" s="18"/>
    </row>
    <row r="310" customFormat="false" ht="15" hidden="false" customHeight="false" outlineLevel="0" collapsed="false">
      <c r="A310" s="25"/>
      <c r="B310" s="18"/>
      <c r="C310" s="18"/>
      <c r="D310" s="13" t="str">
        <f aca="false">IF(OR(B310="",B309="",310=3),"",B310-B309)</f>
        <v/>
      </c>
      <c r="E310" s="18"/>
    </row>
    <row r="311" customFormat="false" ht="15" hidden="false" customHeight="false" outlineLevel="0" collapsed="false">
      <c r="A311" s="25"/>
      <c r="B311" s="18"/>
      <c r="C311" s="18"/>
      <c r="D311" s="13" t="str">
        <f aca="false">IF(OR(B311="",B310="",311=3),"",B311-B310)</f>
        <v/>
      </c>
      <c r="E311" s="18"/>
    </row>
    <row r="312" customFormat="false" ht="15" hidden="false" customHeight="false" outlineLevel="0" collapsed="false">
      <c r="A312" s="25"/>
      <c r="B312" s="18"/>
      <c r="C312" s="18"/>
      <c r="D312" s="13" t="str">
        <f aca="false">IF(OR(B312="",B311="",312=3),"",B312-B311)</f>
        <v/>
      </c>
      <c r="E312" s="18"/>
    </row>
    <row r="313" customFormat="false" ht="15" hidden="false" customHeight="false" outlineLevel="0" collapsed="false">
      <c r="A313" s="25"/>
      <c r="B313" s="18"/>
      <c r="C313" s="18"/>
      <c r="D313" s="13" t="str">
        <f aca="false">IF(OR(B313="",B312="",313=3),"",B313-B312)</f>
        <v/>
      </c>
      <c r="E313" s="18"/>
    </row>
    <row r="314" customFormat="false" ht="15" hidden="false" customHeight="false" outlineLevel="0" collapsed="false">
      <c r="A314" s="25"/>
      <c r="B314" s="18"/>
      <c r="C314" s="18"/>
      <c r="D314" s="13" t="str">
        <f aca="false">IF(OR(B314="",B313="",314=3),"",B314-B313)</f>
        <v/>
      </c>
      <c r="E314" s="18"/>
    </row>
    <row r="315" customFormat="false" ht="15" hidden="false" customHeight="false" outlineLevel="0" collapsed="false">
      <c r="A315" s="25"/>
      <c r="B315" s="18"/>
      <c r="C315" s="18"/>
      <c r="D315" s="13" t="str">
        <f aca="false">IF(OR(B315="",B314="",315=3),"",B315-B314)</f>
        <v/>
      </c>
      <c r="E315" s="18"/>
    </row>
    <row r="316" customFormat="false" ht="15" hidden="false" customHeight="false" outlineLevel="0" collapsed="false">
      <c r="A316" s="25"/>
      <c r="B316" s="18"/>
      <c r="C316" s="18"/>
      <c r="D316" s="13" t="str">
        <f aca="false">IF(OR(B316="",B315="",316=3),"",B316-B315)</f>
        <v/>
      </c>
      <c r="E316" s="18"/>
    </row>
    <row r="317" customFormat="false" ht="15" hidden="false" customHeight="false" outlineLevel="0" collapsed="false">
      <c r="A317" s="25"/>
      <c r="B317" s="18"/>
      <c r="C317" s="18"/>
      <c r="D317" s="13" t="str">
        <f aca="false">IF(OR(B317="",B316="",317=3),"",B317-B316)</f>
        <v/>
      </c>
      <c r="E317" s="18"/>
    </row>
    <row r="318" customFormat="false" ht="15" hidden="false" customHeight="false" outlineLevel="0" collapsed="false">
      <c r="A318" s="25"/>
      <c r="B318" s="18"/>
      <c r="C318" s="18"/>
      <c r="D318" s="13" t="str">
        <f aca="false">IF(OR(B318="",B317="",318=3),"",B318-B317)</f>
        <v/>
      </c>
      <c r="E318" s="18"/>
    </row>
    <row r="319" customFormat="false" ht="15" hidden="false" customHeight="false" outlineLevel="0" collapsed="false">
      <c r="A319" s="25"/>
      <c r="B319" s="18"/>
      <c r="C319" s="18"/>
      <c r="D319" s="13" t="str">
        <f aca="false">IF(OR(B319="",B318="",319=3),"",B319-B318)</f>
        <v/>
      </c>
      <c r="E319" s="18"/>
    </row>
    <row r="320" customFormat="false" ht="15" hidden="false" customHeight="false" outlineLevel="0" collapsed="false">
      <c r="A320" s="25"/>
      <c r="B320" s="18"/>
      <c r="C320" s="18"/>
      <c r="D320" s="13" t="str">
        <f aca="false">IF(OR(B320="",B319="",320=3),"",B320-B319)</f>
        <v/>
      </c>
      <c r="E320" s="18"/>
    </row>
    <row r="321" customFormat="false" ht="15" hidden="false" customHeight="false" outlineLevel="0" collapsed="false">
      <c r="A321" s="25"/>
      <c r="B321" s="18"/>
      <c r="C321" s="18"/>
      <c r="D321" s="13" t="str">
        <f aca="false">IF(OR(B321="",B320="",321=3),"",B321-B320)</f>
        <v/>
      </c>
      <c r="E321" s="18"/>
    </row>
    <row r="322" customFormat="false" ht="15" hidden="false" customHeight="false" outlineLevel="0" collapsed="false">
      <c r="A322" s="25"/>
      <c r="B322" s="18"/>
      <c r="C322" s="18"/>
      <c r="D322" s="13" t="str">
        <f aca="false">IF(OR(B322="",B321="",322=3),"",B322-B321)</f>
        <v/>
      </c>
      <c r="E322" s="18"/>
    </row>
    <row r="323" customFormat="false" ht="15" hidden="false" customHeight="false" outlineLevel="0" collapsed="false">
      <c r="A323" s="25"/>
      <c r="B323" s="18"/>
      <c r="C323" s="18"/>
      <c r="D323" s="13" t="str">
        <f aca="false">IF(OR(B323="",B322="",323=3),"",B323-B322)</f>
        <v/>
      </c>
      <c r="E323" s="18"/>
    </row>
    <row r="324" customFormat="false" ht="15" hidden="false" customHeight="false" outlineLevel="0" collapsed="false">
      <c r="A324" s="25"/>
      <c r="B324" s="18"/>
      <c r="C324" s="18"/>
      <c r="D324" s="13" t="str">
        <f aca="false">IF(OR(B324="",B323="",324=3),"",B324-B323)</f>
        <v/>
      </c>
      <c r="E324" s="18"/>
    </row>
    <row r="325" customFormat="false" ht="15" hidden="false" customHeight="false" outlineLevel="0" collapsed="false">
      <c r="A325" s="25"/>
      <c r="B325" s="18"/>
      <c r="C325" s="18"/>
      <c r="D325" s="13" t="str">
        <f aca="false">IF(OR(B325="",B324="",325=3),"",B325-B324)</f>
        <v/>
      </c>
      <c r="E325" s="18"/>
    </row>
    <row r="326" customFormat="false" ht="15" hidden="false" customHeight="false" outlineLevel="0" collapsed="false">
      <c r="A326" s="25"/>
      <c r="B326" s="18"/>
      <c r="C326" s="18"/>
      <c r="D326" s="13" t="str">
        <f aca="false">IF(OR(B326="",B325="",326=3),"",B326-B325)</f>
        <v/>
      </c>
      <c r="E326" s="18"/>
    </row>
    <row r="327" customFormat="false" ht="15" hidden="false" customHeight="false" outlineLevel="0" collapsed="false">
      <c r="A327" s="25"/>
      <c r="B327" s="18"/>
      <c r="C327" s="18"/>
      <c r="D327" s="13" t="str">
        <f aca="false">IF(OR(B327="",B326="",327=3),"",B327-B326)</f>
        <v/>
      </c>
      <c r="E327" s="18"/>
    </row>
    <row r="328" customFormat="false" ht="15" hidden="false" customHeight="false" outlineLevel="0" collapsed="false">
      <c r="A328" s="25"/>
      <c r="B328" s="18"/>
      <c r="C328" s="18"/>
      <c r="D328" s="13" t="str">
        <f aca="false">IF(OR(B328="",B327="",328=3),"",B328-B327)</f>
        <v/>
      </c>
      <c r="E328" s="18"/>
    </row>
    <row r="329" customFormat="false" ht="15" hidden="false" customHeight="false" outlineLevel="0" collapsed="false">
      <c r="A329" s="25"/>
      <c r="B329" s="18"/>
      <c r="C329" s="18"/>
      <c r="D329" s="13" t="str">
        <f aca="false">IF(OR(B329="",B328="",329=3),"",B329-B328)</f>
        <v/>
      </c>
      <c r="E329" s="18"/>
    </row>
    <row r="330" customFormat="false" ht="15" hidden="false" customHeight="false" outlineLevel="0" collapsed="false">
      <c r="A330" s="25"/>
      <c r="B330" s="18"/>
      <c r="C330" s="18"/>
      <c r="D330" s="13" t="str">
        <f aca="false">IF(OR(B330="",B329="",330=3),"",B330-B329)</f>
        <v/>
      </c>
      <c r="E330" s="18"/>
    </row>
    <row r="331" customFormat="false" ht="15" hidden="false" customHeight="false" outlineLevel="0" collapsed="false">
      <c r="A331" s="25"/>
      <c r="B331" s="18"/>
      <c r="C331" s="18"/>
      <c r="D331" s="13" t="str">
        <f aca="false">IF(OR(B331="",B330="",331=3),"",B331-B330)</f>
        <v/>
      </c>
      <c r="E331" s="18"/>
    </row>
    <row r="332" customFormat="false" ht="15" hidden="false" customHeight="false" outlineLevel="0" collapsed="false">
      <c r="A332" s="25"/>
      <c r="B332" s="18"/>
      <c r="C332" s="18"/>
      <c r="D332" s="13" t="str">
        <f aca="false">IF(OR(B332="",B331="",332=3),"",B332-B331)</f>
        <v/>
      </c>
      <c r="E332" s="18"/>
    </row>
    <row r="333" customFormat="false" ht="15" hidden="false" customHeight="false" outlineLevel="0" collapsed="false">
      <c r="A333" s="25"/>
      <c r="B333" s="18"/>
      <c r="C333" s="18"/>
      <c r="D333" s="13" t="str">
        <f aca="false">IF(OR(B333="",B332="",333=3),"",B333-B332)</f>
        <v/>
      </c>
      <c r="E333" s="18"/>
    </row>
    <row r="334" customFormat="false" ht="15" hidden="false" customHeight="false" outlineLevel="0" collapsed="false">
      <c r="A334" s="25"/>
      <c r="B334" s="18"/>
      <c r="C334" s="18"/>
      <c r="D334" s="13" t="str">
        <f aca="false">IF(OR(B334="",B333="",334=3),"",B334-B333)</f>
        <v/>
      </c>
      <c r="E334" s="18"/>
    </row>
    <row r="335" customFormat="false" ht="15" hidden="false" customHeight="false" outlineLevel="0" collapsed="false">
      <c r="A335" s="25"/>
      <c r="B335" s="18"/>
      <c r="C335" s="18"/>
      <c r="D335" s="13" t="str">
        <f aca="false">IF(OR(B335="",B334="",335=3),"",B335-B334)</f>
        <v/>
      </c>
      <c r="E335" s="18"/>
    </row>
    <row r="336" customFormat="false" ht="15" hidden="false" customHeight="false" outlineLevel="0" collapsed="false">
      <c r="A336" s="25"/>
      <c r="B336" s="18"/>
      <c r="C336" s="18"/>
      <c r="D336" s="13" t="str">
        <f aca="false">IF(OR(B336="",B335="",336=3),"",B336-B335)</f>
        <v/>
      </c>
      <c r="E336" s="18"/>
    </row>
    <row r="337" customFormat="false" ht="15" hidden="false" customHeight="false" outlineLevel="0" collapsed="false">
      <c r="A337" s="25"/>
      <c r="B337" s="18"/>
      <c r="C337" s="18"/>
      <c r="D337" s="13" t="str">
        <f aca="false">IF(OR(B337="",B336="",337=3),"",B337-B336)</f>
        <v/>
      </c>
      <c r="E337" s="18"/>
    </row>
    <row r="338" customFormat="false" ht="15" hidden="false" customHeight="false" outlineLevel="0" collapsed="false">
      <c r="A338" s="25"/>
      <c r="B338" s="18"/>
      <c r="C338" s="18"/>
      <c r="D338" s="13" t="str">
        <f aca="false">IF(OR(B338="",B337="",338=3),"",B338-B337)</f>
        <v/>
      </c>
      <c r="E338" s="18"/>
    </row>
    <row r="339" customFormat="false" ht="15" hidden="false" customHeight="false" outlineLevel="0" collapsed="false">
      <c r="A339" s="25"/>
      <c r="B339" s="18"/>
      <c r="C339" s="18"/>
      <c r="D339" s="13" t="str">
        <f aca="false">IF(OR(B339="",B338="",339=3),"",B339-B338)</f>
        <v/>
      </c>
      <c r="E339" s="18"/>
    </row>
    <row r="340" customFormat="false" ht="15" hidden="false" customHeight="false" outlineLevel="0" collapsed="false">
      <c r="A340" s="25"/>
      <c r="B340" s="18"/>
      <c r="C340" s="18"/>
      <c r="D340" s="13" t="str">
        <f aca="false">IF(OR(B340="",B339="",340=3),"",B340-B339)</f>
        <v/>
      </c>
      <c r="E340" s="18"/>
    </row>
    <row r="341" customFormat="false" ht="15" hidden="false" customHeight="false" outlineLevel="0" collapsed="false">
      <c r="A341" s="25"/>
      <c r="B341" s="18"/>
      <c r="C341" s="18"/>
      <c r="D341" s="13" t="str">
        <f aca="false">IF(OR(B341="",B340="",341=3),"",B341-B340)</f>
        <v/>
      </c>
      <c r="E341" s="18"/>
    </row>
    <row r="342" customFormat="false" ht="15" hidden="false" customHeight="false" outlineLevel="0" collapsed="false">
      <c r="A342" s="25"/>
      <c r="B342" s="18"/>
      <c r="C342" s="18"/>
      <c r="D342" s="13" t="str">
        <f aca="false">IF(OR(B342="",B341="",342=3),"",B342-B341)</f>
        <v/>
      </c>
      <c r="E342" s="18"/>
    </row>
    <row r="343" customFormat="false" ht="15" hidden="false" customHeight="false" outlineLevel="0" collapsed="false">
      <c r="A343" s="25"/>
      <c r="B343" s="18"/>
      <c r="C343" s="18"/>
      <c r="D343" s="13" t="str">
        <f aca="false">IF(OR(B343="",B342="",343=3),"",B343-B342)</f>
        <v/>
      </c>
      <c r="E343" s="18"/>
    </row>
    <row r="344" customFormat="false" ht="15" hidden="false" customHeight="false" outlineLevel="0" collapsed="false">
      <c r="A344" s="25"/>
      <c r="B344" s="18"/>
      <c r="C344" s="18"/>
      <c r="D344" s="13" t="str">
        <f aca="false">IF(OR(B344="",B343="",344=3),"",B344-B343)</f>
        <v/>
      </c>
      <c r="E344" s="18"/>
    </row>
    <row r="345" customFormat="false" ht="15" hidden="false" customHeight="false" outlineLevel="0" collapsed="false">
      <c r="A345" s="25"/>
      <c r="B345" s="18"/>
      <c r="C345" s="18"/>
      <c r="D345" s="13" t="str">
        <f aca="false">IF(OR(B345="",B344="",345=3),"",B345-B344)</f>
        <v/>
      </c>
      <c r="E345" s="18"/>
    </row>
    <row r="346" customFormat="false" ht="15" hidden="false" customHeight="false" outlineLevel="0" collapsed="false">
      <c r="A346" s="25"/>
      <c r="B346" s="18"/>
      <c r="C346" s="18"/>
      <c r="D346" s="13" t="str">
        <f aca="false">IF(OR(B346="",B345="",346=3),"",B346-B345)</f>
        <v/>
      </c>
      <c r="E346" s="18"/>
    </row>
    <row r="347" customFormat="false" ht="15" hidden="false" customHeight="false" outlineLevel="0" collapsed="false">
      <c r="A347" s="25"/>
      <c r="B347" s="18"/>
      <c r="C347" s="18"/>
      <c r="D347" s="13" t="str">
        <f aca="false">IF(OR(B347="",B346="",347=3),"",B347-B346)</f>
        <v/>
      </c>
      <c r="E347" s="18"/>
    </row>
    <row r="348" customFormat="false" ht="15" hidden="false" customHeight="false" outlineLevel="0" collapsed="false">
      <c r="A348" s="25"/>
      <c r="B348" s="18"/>
      <c r="C348" s="18"/>
      <c r="D348" s="13" t="str">
        <f aca="false">IF(OR(B348="",B347="",348=3),"",B348-B347)</f>
        <v/>
      </c>
      <c r="E348" s="18"/>
    </row>
    <row r="349" customFormat="false" ht="15" hidden="false" customHeight="false" outlineLevel="0" collapsed="false">
      <c r="A349" s="25"/>
      <c r="B349" s="18"/>
      <c r="C349" s="18"/>
      <c r="D349" s="13" t="str">
        <f aca="false">IF(OR(B349="",B348="",349=3),"",B349-B348)</f>
        <v/>
      </c>
      <c r="E349" s="18"/>
    </row>
    <row r="350" customFormat="false" ht="15" hidden="false" customHeight="false" outlineLevel="0" collapsed="false">
      <c r="A350" s="25"/>
      <c r="B350" s="18"/>
      <c r="C350" s="18"/>
      <c r="D350" s="13" t="str">
        <f aca="false">IF(OR(B350="",B349="",350=3),"",B350-B349)</f>
        <v/>
      </c>
      <c r="E350" s="18"/>
    </row>
    <row r="351" customFormat="false" ht="15" hidden="false" customHeight="false" outlineLevel="0" collapsed="false">
      <c r="A351" s="25"/>
      <c r="B351" s="18"/>
      <c r="C351" s="18"/>
      <c r="D351" s="13" t="str">
        <f aca="false">IF(OR(B351="",B350="",351=3),"",B351-B350)</f>
        <v/>
      </c>
      <c r="E351" s="18"/>
    </row>
    <row r="352" customFormat="false" ht="15" hidden="false" customHeight="false" outlineLevel="0" collapsed="false">
      <c r="A352" s="25"/>
      <c r="B352" s="18"/>
      <c r="C352" s="18"/>
      <c r="D352" s="13" t="str">
        <f aca="false">IF(OR(B352="",B351="",352=3),"",B352-B351)</f>
        <v/>
      </c>
      <c r="E352" s="18"/>
    </row>
    <row r="353" customFormat="false" ht="15" hidden="false" customHeight="false" outlineLevel="0" collapsed="false">
      <c r="A353" s="25"/>
      <c r="B353" s="18"/>
      <c r="C353" s="18"/>
      <c r="D353" s="13" t="str">
        <f aca="false">IF(OR(B353="",B352="",353=3),"",B353-B352)</f>
        <v/>
      </c>
      <c r="E353" s="18"/>
    </row>
    <row r="354" customFormat="false" ht="15" hidden="false" customHeight="false" outlineLevel="0" collapsed="false">
      <c r="A354" s="25"/>
      <c r="B354" s="18"/>
      <c r="C354" s="18"/>
      <c r="D354" s="13" t="str">
        <f aca="false">IF(OR(B354="",B353="",354=3),"",B354-B353)</f>
        <v/>
      </c>
      <c r="E354" s="18"/>
    </row>
    <row r="355" customFormat="false" ht="15" hidden="false" customHeight="false" outlineLevel="0" collapsed="false">
      <c r="A355" s="25"/>
      <c r="B355" s="18"/>
      <c r="C355" s="18"/>
      <c r="D355" s="13" t="str">
        <f aca="false">IF(OR(B355="",B354="",355=3),"",B355-B354)</f>
        <v/>
      </c>
      <c r="E355" s="18"/>
    </row>
    <row r="356" customFormat="false" ht="15" hidden="false" customHeight="false" outlineLevel="0" collapsed="false">
      <c r="A356" s="25"/>
      <c r="B356" s="18"/>
      <c r="C356" s="18"/>
      <c r="D356" s="13" t="str">
        <f aca="false">IF(OR(B356="",B355="",356=3),"",B356-B355)</f>
        <v/>
      </c>
      <c r="E356" s="18"/>
    </row>
    <row r="357" customFormat="false" ht="15" hidden="false" customHeight="false" outlineLevel="0" collapsed="false">
      <c r="A357" s="25"/>
      <c r="B357" s="18"/>
      <c r="C357" s="18"/>
      <c r="D357" s="13" t="str">
        <f aca="false">IF(OR(B357="",B356="",357=3),"",B357-B356)</f>
        <v/>
      </c>
      <c r="E357" s="18"/>
    </row>
    <row r="358" customFormat="false" ht="15" hidden="false" customHeight="false" outlineLevel="0" collapsed="false">
      <c r="A358" s="25"/>
      <c r="B358" s="18"/>
      <c r="C358" s="18"/>
      <c r="D358" s="13" t="str">
        <f aca="false">IF(OR(B358="",B357="",358=3),"",B358-B357)</f>
        <v/>
      </c>
      <c r="E358" s="18"/>
    </row>
    <row r="359" customFormat="false" ht="15" hidden="false" customHeight="false" outlineLevel="0" collapsed="false">
      <c r="A359" s="25"/>
      <c r="B359" s="18"/>
      <c r="C359" s="18"/>
      <c r="D359" s="13" t="str">
        <f aca="false">IF(OR(B359="",B358="",359=3),"",B359-B358)</f>
        <v/>
      </c>
      <c r="E359" s="18"/>
    </row>
    <row r="360" customFormat="false" ht="15" hidden="false" customHeight="false" outlineLevel="0" collapsed="false">
      <c r="A360" s="25"/>
      <c r="B360" s="18"/>
      <c r="C360" s="18"/>
      <c r="D360" s="13" t="str">
        <f aca="false">IF(OR(B360="",B359="",360=3),"",B360-B359)</f>
        <v/>
      </c>
      <c r="E360" s="18"/>
    </row>
    <row r="361" customFormat="false" ht="15" hidden="false" customHeight="false" outlineLevel="0" collapsed="false">
      <c r="A361" s="25"/>
      <c r="B361" s="18"/>
      <c r="C361" s="18"/>
      <c r="D361" s="13" t="str">
        <f aca="false">IF(OR(B361="",B360="",361=3),"",B361-B360)</f>
        <v/>
      </c>
      <c r="E361" s="18"/>
    </row>
    <row r="362" customFormat="false" ht="15" hidden="false" customHeight="false" outlineLevel="0" collapsed="false">
      <c r="A362" s="25"/>
      <c r="B362" s="18"/>
      <c r="C362" s="18"/>
      <c r="D362" s="13" t="str">
        <f aca="false">IF(OR(B362="",B361="",362=3),"",B362-B361)</f>
        <v/>
      </c>
      <c r="E362" s="18"/>
    </row>
    <row r="363" customFormat="false" ht="15" hidden="false" customHeight="false" outlineLevel="0" collapsed="false">
      <c r="A363" s="25"/>
      <c r="B363" s="18"/>
      <c r="C363" s="18"/>
      <c r="D363" s="13" t="str">
        <f aca="false">IF(OR(B363="",B362="",363=3),"",B363-B362)</f>
        <v/>
      </c>
      <c r="E363" s="18"/>
    </row>
    <row r="364" customFormat="false" ht="15" hidden="false" customHeight="false" outlineLevel="0" collapsed="false">
      <c r="A364" s="25"/>
      <c r="B364" s="18"/>
      <c r="C364" s="18"/>
      <c r="D364" s="13" t="str">
        <f aca="false">IF(OR(B364="",B363="",364=3),"",B364-B363)</f>
        <v/>
      </c>
      <c r="E364" s="18"/>
    </row>
    <row r="365" customFormat="false" ht="15" hidden="false" customHeight="false" outlineLevel="0" collapsed="false">
      <c r="A365" s="25"/>
      <c r="B365" s="18"/>
      <c r="C365" s="18"/>
      <c r="D365" s="13" t="str">
        <f aca="false">IF(OR(B365="",B364="",365=3),"",B365-B364)</f>
        <v/>
      </c>
      <c r="E365" s="18"/>
    </row>
    <row r="366" customFormat="false" ht="15" hidden="false" customHeight="false" outlineLevel="0" collapsed="false">
      <c r="A366" s="25"/>
      <c r="B366" s="18"/>
      <c r="C366" s="18"/>
      <c r="D366" s="13" t="str">
        <f aca="false">IF(OR(B366="",B365="",366=3),"",B366-B365)</f>
        <v/>
      </c>
      <c r="E366" s="18"/>
    </row>
    <row r="367" customFormat="false" ht="15" hidden="false" customHeight="false" outlineLevel="0" collapsed="false">
      <c r="A367" s="25"/>
      <c r="B367" s="18"/>
      <c r="C367" s="18"/>
      <c r="D367" s="13" t="str">
        <f aca="false">IF(OR(B367="",B366="",367=3),"",B367-B366)</f>
        <v/>
      </c>
      <c r="E367" s="18"/>
    </row>
    <row r="368" customFormat="false" ht="15" hidden="false" customHeight="false" outlineLevel="0" collapsed="false">
      <c r="A368" s="25"/>
      <c r="B368" s="18"/>
      <c r="C368" s="18"/>
      <c r="D368" s="13" t="str">
        <f aca="false">IF(OR(B368="",B367="",368=3),"",B368-B367)</f>
        <v/>
      </c>
      <c r="E368" s="18"/>
    </row>
    <row r="369" customFormat="false" ht="15" hidden="false" customHeight="false" outlineLevel="0" collapsed="false">
      <c r="A369" s="25"/>
      <c r="B369" s="18"/>
      <c r="C369" s="18"/>
      <c r="D369" s="13" t="str">
        <f aca="false">IF(OR(B369="",B368="",369=3),"",B369-B368)</f>
        <v/>
      </c>
      <c r="E369" s="18"/>
    </row>
    <row r="370" customFormat="false" ht="15" hidden="false" customHeight="false" outlineLevel="0" collapsed="false">
      <c r="A370" s="25"/>
      <c r="B370" s="18"/>
      <c r="C370" s="18"/>
      <c r="D370" s="13" t="str">
        <f aca="false">IF(OR(B370="",B369="",370=3),"",B370-B369)</f>
        <v/>
      </c>
      <c r="E370" s="18"/>
    </row>
    <row r="371" customFormat="false" ht="15" hidden="false" customHeight="false" outlineLevel="0" collapsed="false">
      <c r="A371" s="25"/>
      <c r="B371" s="18"/>
      <c r="C371" s="18"/>
      <c r="D371" s="13" t="str">
        <f aca="false">IF(OR(B371="",B370="",371=3),"",B371-B370)</f>
        <v/>
      </c>
      <c r="E371" s="18"/>
    </row>
    <row r="372" customFormat="false" ht="15" hidden="false" customHeight="false" outlineLevel="0" collapsed="false">
      <c r="A372" s="25"/>
      <c r="B372" s="18"/>
      <c r="C372" s="18"/>
      <c r="D372" s="13" t="str">
        <f aca="false">IF(OR(B372="",B371="",372=3),"",B372-B371)</f>
        <v/>
      </c>
      <c r="E372" s="18"/>
    </row>
    <row r="373" customFormat="false" ht="15" hidden="false" customHeight="false" outlineLevel="0" collapsed="false">
      <c r="A373" s="25"/>
      <c r="B373" s="18"/>
      <c r="C373" s="18"/>
      <c r="D373" s="13" t="str">
        <f aca="false">IF(OR(B373="",B372="",373=3),"",B373-B372)</f>
        <v/>
      </c>
      <c r="E373" s="18"/>
    </row>
    <row r="374" customFormat="false" ht="15" hidden="false" customHeight="false" outlineLevel="0" collapsed="false">
      <c r="A374" s="25"/>
      <c r="B374" s="18"/>
      <c r="C374" s="18"/>
      <c r="D374" s="13" t="str">
        <f aca="false">IF(OR(B374="",B373="",374=3),"",B374-B373)</f>
        <v/>
      </c>
      <c r="E374" s="18"/>
    </row>
    <row r="375" customFormat="false" ht="15" hidden="false" customHeight="false" outlineLevel="0" collapsed="false">
      <c r="A375" s="25"/>
      <c r="B375" s="18"/>
      <c r="C375" s="18"/>
      <c r="D375" s="13" t="str">
        <f aca="false">IF(OR(B375="",B374="",375=3),"",B375-B374)</f>
        <v/>
      </c>
      <c r="E375" s="18"/>
    </row>
    <row r="376" customFormat="false" ht="15" hidden="false" customHeight="false" outlineLevel="0" collapsed="false">
      <c r="A376" s="25"/>
      <c r="B376" s="18"/>
      <c r="C376" s="18"/>
      <c r="D376" s="13" t="str">
        <f aca="false">IF(OR(B376="",B375="",376=3),"",B376-B375)</f>
        <v/>
      </c>
      <c r="E376" s="18"/>
    </row>
    <row r="377" customFormat="false" ht="15" hidden="false" customHeight="false" outlineLevel="0" collapsed="false">
      <c r="A377" s="25"/>
      <c r="B377" s="18"/>
      <c r="C377" s="18"/>
      <c r="D377" s="13" t="str">
        <f aca="false">IF(OR(B377="",B376="",377=3),"",B377-B376)</f>
        <v/>
      </c>
      <c r="E377" s="18"/>
    </row>
    <row r="378" customFormat="false" ht="15" hidden="false" customHeight="false" outlineLevel="0" collapsed="false">
      <c r="A378" s="25"/>
      <c r="B378" s="18"/>
      <c r="C378" s="18"/>
      <c r="D378" s="13" t="str">
        <f aca="false">IF(OR(B378="",B377="",378=3),"",B378-B377)</f>
        <v/>
      </c>
      <c r="E378" s="18"/>
    </row>
    <row r="379" customFormat="false" ht="15" hidden="false" customHeight="false" outlineLevel="0" collapsed="false">
      <c r="A379" s="25"/>
      <c r="B379" s="18"/>
      <c r="C379" s="18"/>
      <c r="D379" s="13" t="str">
        <f aca="false">IF(OR(B379="",B378="",379=3),"",B379-B378)</f>
        <v/>
      </c>
      <c r="E379" s="18"/>
    </row>
    <row r="380" customFormat="false" ht="15" hidden="false" customHeight="false" outlineLevel="0" collapsed="false">
      <c r="A380" s="25"/>
      <c r="B380" s="18"/>
      <c r="C380" s="18"/>
      <c r="D380" s="13" t="str">
        <f aca="false">IF(OR(B380="",B379="",380=3),"",B380-B379)</f>
        <v/>
      </c>
      <c r="E380" s="18"/>
    </row>
    <row r="381" customFormat="false" ht="15" hidden="false" customHeight="false" outlineLevel="0" collapsed="false">
      <c r="A381" s="25"/>
      <c r="B381" s="18"/>
      <c r="C381" s="18"/>
      <c r="D381" s="13" t="str">
        <f aca="false">IF(OR(B381="",B380="",381=3),"",B381-B380)</f>
        <v/>
      </c>
      <c r="E381" s="18"/>
    </row>
    <row r="382" customFormat="false" ht="15" hidden="false" customHeight="false" outlineLevel="0" collapsed="false">
      <c r="A382" s="25"/>
      <c r="B382" s="18"/>
      <c r="C382" s="18"/>
      <c r="D382" s="13" t="str">
        <f aca="false">IF(OR(B382="",B381="",382=3),"",B382-B381)</f>
        <v/>
      </c>
      <c r="E382" s="18"/>
    </row>
    <row r="383" customFormat="false" ht="15" hidden="false" customHeight="false" outlineLevel="0" collapsed="false">
      <c r="A383" s="25"/>
      <c r="B383" s="18"/>
      <c r="C383" s="18"/>
      <c r="D383" s="13" t="str">
        <f aca="false">IF(OR(B383="",B382="",383=3),"",B383-B382)</f>
        <v/>
      </c>
      <c r="E383" s="18"/>
    </row>
    <row r="384" customFormat="false" ht="15" hidden="false" customHeight="false" outlineLevel="0" collapsed="false">
      <c r="A384" s="25"/>
      <c r="B384" s="18"/>
      <c r="C384" s="18"/>
      <c r="D384" s="13" t="str">
        <f aca="false">IF(OR(B384="",B383="",384=3),"",B384-B383)</f>
        <v/>
      </c>
      <c r="E384" s="18"/>
    </row>
    <row r="385" customFormat="false" ht="15" hidden="false" customHeight="false" outlineLevel="0" collapsed="false">
      <c r="A385" s="25"/>
      <c r="B385" s="18"/>
      <c r="C385" s="18"/>
      <c r="D385" s="13" t="str">
        <f aca="false">IF(OR(B385="",B384="",385=3),"",B385-B384)</f>
        <v/>
      </c>
      <c r="E385" s="18"/>
    </row>
    <row r="386" customFormat="false" ht="15" hidden="false" customHeight="false" outlineLevel="0" collapsed="false">
      <c r="A386" s="25"/>
      <c r="B386" s="18"/>
      <c r="C386" s="18"/>
      <c r="D386" s="13" t="str">
        <f aca="false">IF(OR(B386="",B385="",386=3),"",B386-B385)</f>
        <v/>
      </c>
      <c r="E386" s="18"/>
    </row>
    <row r="387" customFormat="false" ht="15" hidden="false" customHeight="false" outlineLevel="0" collapsed="false">
      <c r="A387" s="25"/>
      <c r="B387" s="18"/>
      <c r="C387" s="18"/>
      <c r="D387" s="13" t="str">
        <f aca="false">IF(OR(B387="",B386="",387=3),"",B387-B386)</f>
        <v/>
      </c>
      <c r="E387" s="18"/>
    </row>
    <row r="388" customFormat="false" ht="15" hidden="false" customHeight="false" outlineLevel="0" collapsed="false">
      <c r="A388" s="25"/>
      <c r="B388" s="18"/>
      <c r="C388" s="18"/>
      <c r="D388" s="13" t="str">
        <f aca="false">IF(OR(B388="",B387="",388=3),"",B388-B387)</f>
        <v/>
      </c>
      <c r="E388" s="18"/>
    </row>
    <row r="389" customFormat="false" ht="15" hidden="false" customHeight="false" outlineLevel="0" collapsed="false">
      <c r="A389" s="25"/>
      <c r="B389" s="18"/>
      <c r="C389" s="18"/>
      <c r="D389" s="13" t="str">
        <f aca="false">IF(OR(B389="",B388="",389=3),"",B389-B388)</f>
        <v/>
      </c>
      <c r="E389" s="18"/>
    </row>
    <row r="390" customFormat="false" ht="15" hidden="false" customHeight="false" outlineLevel="0" collapsed="false">
      <c r="A390" s="25"/>
      <c r="B390" s="18"/>
      <c r="C390" s="18"/>
      <c r="D390" s="13" t="str">
        <f aca="false">IF(OR(B390="",B389="",390=3),"",B390-B389)</f>
        <v/>
      </c>
      <c r="E390" s="18"/>
    </row>
    <row r="391" customFormat="false" ht="15" hidden="false" customHeight="false" outlineLevel="0" collapsed="false">
      <c r="A391" s="25"/>
      <c r="B391" s="18"/>
      <c r="C391" s="18"/>
      <c r="D391" s="13" t="str">
        <f aca="false">IF(OR(B391="",B390="",391=3),"",B391-B390)</f>
        <v/>
      </c>
      <c r="E391" s="18"/>
    </row>
    <row r="392" customFormat="false" ht="15" hidden="false" customHeight="false" outlineLevel="0" collapsed="false">
      <c r="A392" s="25"/>
      <c r="B392" s="18"/>
      <c r="C392" s="18"/>
      <c r="D392" s="13" t="str">
        <f aca="false">IF(OR(B392="",B391="",392=3),"",B392-B391)</f>
        <v/>
      </c>
      <c r="E392" s="18"/>
    </row>
    <row r="393" customFormat="false" ht="15" hidden="false" customHeight="false" outlineLevel="0" collapsed="false">
      <c r="A393" s="25"/>
      <c r="B393" s="18"/>
      <c r="C393" s="18"/>
      <c r="D393" s="13" t="str">
        <f aca="false">IF(OR(B393="",B392="",393=3),"",B393-B392)</f>
        <v/>
      </c>
      <c r="E393" s="18"/>
    </row>
    <row r="394" customFormat="false" ht="15" hidden="false" customHeight="false" outlineLevel="0" collapsed="false">
      <c r="A394" s="25"/>
      <c r="B394" s="18"/>
      <c r="C394" s="18"/>
      <c r="D394" s="13" t="str">
        <f aca="false">IF(OR(B394="",B393="",394=3),"",B394-B393)</f>
        <v/>
      </c>
      <c r="E394" s="18"/>
    </row>
    <row r="395" customFormat="false" ht="15" hidden="false" customHeight="false" outlineLevel="0" collapsed="false">
      <c r="A395" s="25"/>
      <c r="B395" s="18"/>
      <c r="C395" s="18"/>
      <c r="D395" s="13" t="str">
        <f aca="false">IF(OR(B395="",B394="",395=3),"",B395-B394)</f>
        <v/>
      </c>
      <c r="E395" s="18"/>
    </row>
    <row r="396" customFormat="false" ht="15" hidden="false" customHeight="false" outlineLevel="0" collapsed="false">
      <c r="A396" s="25"/>
      <c r="B396" s="18"/>
      <c r="C396" s="18"/>
      <c r="D396" s="13" t="str">
        <f aca="false">IF(OR(B396="",B395="",396=3),"",B396-B395)</f>
        <v/>
      </c>
      <c r="E396" s="18"/>
    </row>
    <row r="397" customFormat="false" ht="15" hidden="false" customHeight="false" outlineLevel="0" collapsed="false">
      <c r="A397" s="25"/>
      <c r="B397" s="18"/>
      <c r="C397" s="18"/>
      <c r="D397" s="13" t="str">
        <f aca="false">IF(OR(B397="",B396="",397=3),"",B397-B396)</f>
        <v/>
      </c>
      <c r="E397" s="18"/>
    </row>
    <row r="398" customFormat="false" ht="15" hidden="false" customHeight="false" outlineLevel="0" collapsed="false">
      <c r="A398" s="25"/>
      <c r="B398" s="18"/>
      <c r="C398" s="18"/>
      <c r="D398" s="13" t="str">
        <f aca="false">IF(OR(B398="",B397="",398=3),"",B398-B397)</f>
        <v/>
      </c>
      <c r="E398" s="18"/>
    </row>
    <row r="399" customFormat="false" ht="15" hidden="false" customHeight="false" outlineLevel="0" collapsed="false">
      <c r="A399" s="25"/>
      <c r="B399" s="18"/>
      <c r="C399" s="18"/>
      <c r="D399" s="13" t="str">
        <f aca="false">IF(OR(B399="",B398="",399=3),"",B399-B398)</f>
        <v/>
      </c>
      <c r="E399" s="18"/>
    </row>
    <row r="400" customFormat="false" ht="15" hidden="false" customHeight="false" outlineLevel="0" collapsed="false">
      <c r="A400" s="25"/>
      <c r="B400" s="18"/>
      <c r="C400" s="18"/>
      <c r="D400" s="13" t="str">
        <f aca="false">IF(OR(B400="",B399="",400=3),"",B400-B399)</f>
        <v/>
      </c>
      <c r="E400" s="18"/>
    </row>
    <row r="401" customFormat="false" ht="15" hidden="false" customHeight="false" outlineLevel="0" collapsed="false">
      <c r="A401" s="25"/>
      <c r="B401" s="18"/>
      <c r="C401" s="18"/>
      <c r="D401" s="13" t="str">
        <f aca="false">IF(OR(B401="",B400="",401=3),"",B401-B400)</f>
        <v/>
      </c>
      <c r="E401" s="18"/>
    </row>
    <row r="402" customFormat="false" ht="15" hidden="false" customHeight="false" outlineLevel="0" collapsed="false">
      <c r="A402" s="25"/>
      <c r="B402" s="18"/>
      <c r="C402" s="18"/>
      <c r="D402" s="13" t="str">
        <f aca="false">IF(OR(B402="",B401="",402=3),"",B402-B401)</f>
        <v/>
      </c>
      <c r="E402" s="18"/>
    </row>
    <row r="403" customFormat="false" ht="15" hidden="false" customHeight="false" outlineLevel="0" collapsed="false">
      <c r="A403" s="25"/>
      <c r="B403" s="18"/>
      <c r="C403" s="18"/>
      <c r="D403" s="13" t="str">
        <f aca="false">IF(OR(B403="",B402="",403=3),"",B403-B402)</f>
        <v/>
      </c>
      <c r="E403" s="18"/>
    </row>
    <row r="404" customFormat="false" ht="15" hidden="false" customHeight="false" outlineLevel="0" collapsed="false">
      <c r="A404" s="25"/>
      <c r="B404" s="18"/>
      <c r="C404" s="18"/>
      <c r="D404" s="13" t="str">
        <f aca="false">IF(OR(B404="",B403="",404=3),"",B404-B403)</f>
        <v/>
      </c>
      <c r="E404" s="18"/>
    </row>
    <row r="405" customFormat="false" ht="15" hidden="false" customHeight="false" outlineLevel="0" collapsed="false">
      <c r="A405" s="25"/>
      <c r="B405" s="18"/>
      <c r="C405" s="18"/>
      <c r="D405" s="13" t="str">
        <f aca="false">IF(OR(B405="",B404="",405=3),"",B405-B404)</f>
        <v/>
      </c>
      <c r="E405" s="18"/>
    </row>
    <row r="406" customFormat="false" ht="15" hidden="false" customHeight="false" outlineLevel="0" collapsed="false">
      <c r="A406" s="25"/>
      <c r="B406" s="18"/>
      <c r="C406" s="18"/>
      <c r="D406" s="13" t="str">
        <f aca="false">IF(OR(B406="",B405="",406=3),"",B406-B405)</f>
        <v/>
      </c>
      <c r="E406" s="18"/>
    </row>
    <row r="407" customFormat="false" ht="15" hidden="false" customHeight="false" outlineLevel="0" collapsed="false">
      <c r="A407" s="25"/>
      <c r="B407" s="18"/>
      <c r="C407" s="18"/>
      <c r="D407" s="13" t="str">
        <f aca="false">IF(OR(B407="",B406="",407=3),"",B407-B406)</f>
        <v/>
      </c>
      <c r="E407" s="18"/>
    </row>
    <row r="408" customFormat="false" ht="15" hidden="false" customHeight="false" outlineLevel="0" collapsed="false">
      <c r="A408" s="25"/>
      <c r="B408" s="18"/>
      <c r="C408" s="18"/>
      <c r="D408" s="13" t="str">
        <f aca="false">IF(OR(B408="",B407="",408=3),"",B408-B407)</f>
        <v/>
      </c>
      <c r="E408" s="18"/>
    </row>
    <row r="409" customFormat="false" ht="15" hidden="false" customHeight="false" outlineLevel="0" collapsed="false">
      <c r="A409" s="25"/>
      <c r="B409" s="18"/>
      <c r="C409" s="18"/>
      <c r="D409" s="13" t="str">
        <f aca="false">IF(OR(B409="",B408="",409=3),"",B409-B408)</f>
        <v/>
      </c>
      <c r="E409" s="18"/>
    </row>
    <row r="410" customFormat="false" ht="15" hidden="false" customHeight="false" outlineLevel="0" collapsed="false">
      <c r="A410" s="25"/>
      <c r="B410" s="18"/>
      <c r="C410" s="18"/>
      <c r="D410" s="13" t="str">
        <f aca="false">IF(OR(B410="",B409="",410=3),"",B410-B409)</f>
        <v/>
      </c>
      <c r="E410" s="18"/>
    </row>
    <row r="411" customFormat="false" ht="15" hidden="false" customHeight="false" outlineLevel="0" collapsed="false">
      <c r="A411" s="25"/>
      <c r="B411" s="18"/>
      <c r="C411" s="18"/>
      <c r="D411" s="13" t="str">
        <f aca="false">IF(OR(B411="",B410="",411=3),"",B411-B410)</f>
        <v/>
      </c>
      <c r="E411" s="18"/>
    </row>
    <row r="412" customFormat="false" ht="15" hidden="false" customHeight="false" outlineLevel="0" collapsed="false">
      <c r="A412" s="25"/>
      <c r="B412" s="18"/>
      <c r="C412" s="18"/>
      <c r="D412" s="13" t="str">
        <f aca="false">IF(OR(B412="",B411="",412=3),"",B412-B411)</f>
        <v/>
      </c>
      <c r="E412" s="18"/>
    </row>
    <row r="413" customFormat="false" ht="15" hidden="false" customHeight="false" outlineLevel="0" collapsed="false">
      <c r="A413" s="25"/>
      <c r="B413" s="18"/>
      <c r="C413" s="18"/>
      <c r="D413" s="13" t="str">
        <f aca="false">IF(OR(B413="",B412="",413=3),"",B413-B412)</f>
        <v/>
      </c>
      <c r="E413" s="18"/>
    </row>
    <row r="414" customFormat="false" ht="15" hidden="false" customHeight="false" outlineLevel="0" collapsed="false">
      <c r="A414" s="25"/>
      <c r="B414" s="18"/>
      <c r="C414" s="18"/>
      <c r="D414" s="13" t="str">
        <f aca="false">IF(OR(B414="",B413="",414=3),"",B414-B413)</f>
        <v/>
      </c>
      <c r="E414" s="18"/>
    </row>
    <row r="415" customFormat="false" ht="15" hidden="false" customHeight="false" outlineLevel="0" collapsed="false">
      <c r="A415" s="25"/>
      <c r="B415" s="18"/>
      <c r="C415" s="18"/>
      <c r="D415" s="13" t="str">
        <f aca="false">IF(OR(B415="",B414="",415=3),"",B415-B414)</f>
        <v/>
      </c>
      <c r="E415" s="18"/>
    </row>
    <row r="416" customFormat="false" ht="15" hidden="false" customHeight="false" outlineLevel="0" collapsed="false">
      <c r="A416" s="25"/>
      <c r="B416" s="18"/>
      <c r="C416" s="18"/>
      <c r="D416" s="13" t="str">
        <f aca="false">IF(OR(B416="",B415="",416=3),"",B416-B415)</f>
        <v/>
      </c>
      <c r="E416" s="18"/>
    </row>
    <row r="417" customFormat="false" ht="15" hidden="false" customHeight="false" outlineLevel="0" collapsed="false">
      <c r="A417" s="25"/>
      <c r="B417" s="18"/>
      <c r="C417" s="18"/>
      <c r="D417" s="13" t="str">
        <f aca="false">IF(OR(B417="",B416="",417=3),"",B417-B416)</f>
        <v/>
      </c>
      <c r="E417" s="18"/>
    </row>
    <row r="418" customFormat="false" ht="15" hidden="false" customHeight="false" outlineLevel="0" collapsed="false">
      <c r="A418" s="25"/>
      <c r="B418" s="18"/>
      <c r="C418" s="18"/>
      <c r="D418" s="13" t="str">
        <f aca="false">IF(OR(B418="",B417="",418=3),"",B418-B417)</f>
        <v/>
      </c>
      <c r="E418" s="18"/>
    </row>
    <row r="419" customFormat="false" ht="15" hidden="false" customHeight="false" outlineLevel="0" collapsed="false">
      <c r="A419" s="25"/>
      <c r="B419" s="18"/>
      <c r="C419" s="18"/>
      <c r="D419" s="13" t="str">
        <f aca="false">IF(OR(B419="",B418="",419=3),"",B419-B418)</f>
        <v/>
      </c>
      <c r="E419" s="18"/>
    </row>
    <row r="420" customFormat="false" ht="15" hidden="false" customHeight="false" outlineLevel="0" collapsed="false">
      <c r="A420" s="25"/>
      <c r="B420" s="18"/>
      <c r="C420" s="18"/>
      <c r="D420" s="13" t="str">
        <f aca="false">IF(OR(B420="",B419="",420=3),"",B420-B419)</f>
        <v/>
      </c>
      <c r="E420" s="18"/>
    </row>
    <row r="421" customFormat="false" ht="15" hidden="false" customHeight="false" outlineLevel="0" collapsed="false">
      <c r="A421" s="25"/>
      <c r="B421" s="18"/>
      <c r="C421" s="18"/>
      <c r="D421" s="13" t="str">
        <f aca="false">IF(OR(B421="",B420="",421=3),"",B421-B420)</f>
        <v/>
      </c>
      <c r="E421" s="18"/>
    </row>
    <row r="422" customFormat="false" ht="15" hidden="false" customHeight="false" outlineLevel="0" collapsed="false">
      <c r="A422" s="25"/>
      <c r="B422" s="18"/>
      <c r="C422" s="18"/>
      <c r="D422" s="13" t="str">
        <f aca="false">IF(OR(B422="",B421="",422=3),"",B422-B421)</f>
        <v/>
      </c>
      <c r="E422" s="18"/>
    </row>
    <row r="423" customFormat="false" ht="15" hidden="false" customHeight="false" outlineLevel="0" collapsed="false">
      <c r="A423" s="25"/>
      <c r="B423" s="18"/>
      <c r="C423" s="18"/>
      <c r="D423" s="13" t="str">
        <f aca="false">IF(OR(B423="",B422="",423=3),"",B423-B422)</f>
        <v/>
      </c>
      <c r="E423" s="18"/>
    </row>
    <row r="424" customFormat="false" ht="15" hidden="false" customHeight="false" outlineLevel="0" collapsed="false">
      <c r="A424" s="25"/>
      <c r="B424" s="18"/>
      <c r="C424" s="18"/>
      <c r="D424" s="13" t="str">
        <f aca="false">IF(OR(B424="",B423="",424=3),"",B424-B423)</f>
        <v/>
      </c>
      <c r="E424" s="18"/>
    </row>
    <row r="425" customFormat="false" ht="15" hidden="false" customHeight="false" outlineLevel="0" collapsed="false">
      <c r="A425" s="25"/>
      <c r="B425" s="18"/>
      <c r="C425" s="18"/>
      <c r="D425" s="13" t="str">
        <f aca="false">IF(OR(B425="",B424="",425=3),"",B425-B424)</f>
        <v/>
      </c>
      <c r="E425" s="18"/>
    </row>
    <row r="426" customFormat="false" ht="15" hidden="false" customHeight="false" outlineLevel="0" collapsed="false">
      <c r="A426" s="25"/>
      <c r="B426" s="18"/>
      <c r="C426" s="18"/>
      <c r="D426" s="13" t="str">
        <f aca="false">IF(OR(B426="",B425="",426=3),"",B426-B425)</f>
        <v/>
      </c>
      <c r="E426" s="18"/>
    </row>
    <row r="427" customFormat="false" ht="15" hidden="false" customHeight="false" outlineLevel="0" collapsed="false">
      <c r="A427" s="25"/>
      <c r="B427" s="18"/>
      <c r="C427" s="18"/>
      <c r="D427" s="13" t="str">
        <f aca="false">IF(OR(B427="",B426="",427=3),"",B427-B426)</f>
        <v/>
      </c>
      <c r="E427" s="18"/>
    </row>
    <row r="428" customFormat="false" ht="15" hidden="false" customHeight="false" outlineLevel="0" collapsed="false">
      <c r="A428" s="25"/>
      <c r="B428" s="18"/>
      <c r="C428" s="18"/>
      <c r="D428" s="13" t="str">
        <f aca="false">IF(OR(B428="",B427="",428=3),"",B428-B427)</f>
        <v/>
      </c>
      <c r="E428" s="18"/>
    </row>
    <row r="429" customFormat="false" ht="15" hidden="false" customHeight="false" outlineLevel="0" collapsed="false">
      <c r="A429" s="25"/>
      <c r="B429" s="18"/>
      <c r="C429" s="18"/>
      <c r="D429" s="13" t="str">
        <f aca="false">IF(OR(B429="",B428="",429=3),"",B429-B428)</f>
        <v/>
      </c>
      <c r="E429" s="18"/>
    </row>
    <row r="430" customFormat="false" ht="15" hidden="false" customHeight="false" outlineLevel="0" collapsed="false">
      <c r="A430" s="25"/>
      <c r="B430" s="18"/>
      <c r="C430" s="18"/>
      <c r="D430" s="13" t="str">
        <f aca="false">IF(OR(B430="",B429="",430=3),"",B430-B429)</f>
        <v/>
      </c>
      <c r="E430" s="18"/>
    </row>
    <row r="431" customFormat="false" ht="15" hidden="false" customHeight="false" outlineLevel="0" collapsed="false">
      <c r="A431" s="25"/>
      <c r="B431" s="18"/>
      <c r="C431" s="18"/>
      <c r="D431" s="13" t="str">
        <f aca="false">IF(OR(B431="",B430="",431=3),"",B431-B430)</f>
        <v/>
      </c>
      <c r="E431" s="18"/>
    </row>
    <row r="432" customFormat="false" ht="15" hidden="false" customHeight="false" outlineLevel="0" collapsed="false">
      <c r="A432" s="25"/>
      <c r="B432" s="18"/>
      <c r="C432" s="18"/>
      <c r="D432" s="13" t="str">
        <f aca="false">IF(OR(B432="",B431="",432=3),"",B432-B431)</f>
        <v/>
      </c>
      <c r="E432" s="18"/>
    </row>
    <row r="433" customFormat="false" ht="15" hidden="false" customHeight="false" outlineLevel="0" collapsed="false">
      <c r="A433" s="25"/>
      <c r="B433" s="18"/>
      <c r="C433" s="18"/>
      <c r="D433" s="13" t="str">
        <f aca="false">IF(OR(B433="",B432="",433=3),"",B433-B432)</f>
        <v/>
      </c>
      <c r="E433" s="18"/>
    </row>
    <row r="434" customFormat="false" ht="15" hidden="false" customHeight="false" outlineLevel="0" collapsed="false">
      <c r="A434" s="25"/>
      <c r="B434" s="18"/>
      <c r="C434" s="18"/>
      <c r="D434" s="13" t="str">
        <f aca="false">IF(OR(B434="",B433="",434=3),"",B434-B433)</f>
        <v/>
      </c>
      <c r="E434" s="18"/>
    </row>
    <row r="435" customFormat="false" ht="15" hidden="false" customHeight="false" outlineLevel="0" collapsed="false">
      <c r="A435" s="25"/>
      <c r="B435" s="18"/>
      <c r="C435" s="18"/>
      <c r="D435" s="13" t="str">
        <f aca="false">IF(OR(B435="",B434="",435=3),"",B435-B434)</f>
        <v/>
      </c>
      <c r="E435" s="18"/>
    </row>
    <row r="436" customFormat="false" ht="15" hidden="false" customHeight="false" outlineLevel="0" collapsed="false">
      <c r="A436" s="25"/>
      <c r="B436" s="18"/>
      <c r="C436" s="18"/>
      <c r="D436" s="13" t="str">
        <f aca="false">IF(OR(B436="",B435="",436=3),"",B436-B435)</f>
        <v/>
      </c>
      <c r="E436" s="18"/>
    </row>
    <row r="437" customFormat="false" ht="15" hidden="false" customHeight="false" outlineLevel="0" collapsed="false">
      <c r="A437" s="25"/>
      <c r="B437" s="18"/>
      <c r="C437" s="18"/>
      <c r="D437" s="13" t="str">
        <f aca="false">IF(OR(B437="",B436="",437=3),"",B437-B436)</f>
        <v/>
      </c>
      <c r="E437" s="18"/>
    </row>
    <row r="438" customFormat="false" ht="15" hidden="false" customHeight="false" outlineLevel="0" collapsed="false">
      <c r="A438" s="25"/>
      <c r="B438" s="18"/>
      <c r="C438" s="18"/>
      <c r="D438" s="13" t="str">
        <f aca="false">IF(OR(B438="",B437="",438=3),"",B438-B437)</f>
        <v/>
      </c>
      <c r="E438" s="18"/>
    </row>
    <row r="439" customFormat="false" ht="15" hidden="false" customHeight="false" outlineLevel="0" collapsed="false">
      <c r="A439" s="25"/>
      <c r="B439" s="18"/>
      <c r="C439" s="18"/>
      <c r="D439" s="13" t="str">
        <f aca="false">IF(OR(B439="",B438="",439=3),"",B439-B438)</f>
        <v/>
      </c>
      <c r="E439" s="18"/>
    </row>
    <row r="440" customFormat="false" ht="15" hidden="false" customHeight="false" outlineLevel="0" collapsed="false">
      <c r="A440" s="25"/>
      <c r="B440" s="18"/>
      <c r="C440" s="18"/>
      <c r="D440" s="13" t="str">
        <f aca="false">IF(OR(B440="",B439="",440=3),"",B440-B439)</f>
        <v/>
      </c>
      <c r="E440" s="18"/>
    </row>
    <row r="441" customFormat="false" ht="15" hidden="false" customHeight="false" outlineLevel="0" collapsed="false">
      <c r="A441" s="25"/>
      <c r="B441" s="18"/>
      <c r="C441" s="18"/>
      <c r="D441" s="13" t="str">
        <f aca="false">IF(OR(B441="",B440="",441=3),"",B441-B440)</f>
        <v/>
      </c>
      <c r="E441" s="18"/>
    </row>
    <row r="442" customFormat="false" ht="15" hidden="false" customHeight="false" outlineLevel="0" collapsed="false">
      <c r="A442" s="25"/>
      <c r="B442" s="18"/>
      <c r="C442" s="18"/>
      <c r="D442" s="13" t="str">
        <f aca="false">IF(OR(B442="",B441="",442=3),"",B442-B441)</f>
        <v/>
      </c>
      <c r="E442" s="18"/>
    </row>
    <row r="443" customFormat="false" ht="15" hidden="false" customHeight="false" outlineLevel="0" collapsed="false">
      <c r="A443" s="25"/>
      <c r="B443" s="18"/>
      <c r="C443" s="18"/>
      <c r="D443" s="13" t="str">
        <f aca="false">IF(OR(B443="",B442="",443=3),"",B443-B442)</f>
        <v/>
      </c>
      <c r="E443" s="18"/>
    </row>
    <row r="444" customFormat="false" ht="15" hidden="false" customHeight="false" outlineLevel="0" collapsed="false">
      <c r="A444" s="25"/>
      <c r="B444" s="18"/>
      <c r="C444" s="18"/>
      <c r="D444" s="13" t="str">
        <f aca="false">IF(OR(B444="",B443="",444=3),"",B444-B443)</f>
        <v/>
      </c>
      <c r="E444" s="18"/>
    </row>
    <row r="445" customFormat="false" ht="15" hidden="false" customHeight="false" outlineLevel="0" collapsed="false">
      <c r="A445" s="25"/>
      <c r="B445" s="18"/>
      <c r="C445" s="18"/>
      <c r="D445" s="13" t="str">
        <f aca="false">IF(OR(B445="",B444="",445=3),"",B445-B444)</f>
        <v/>
      </c>
      <c r="E445" s="18"/>
    </row>
    <row r="446" customFormat="false" ht="15" hidden="false" customHeight="false" outlineLevel="0" collapsed="false">
      <c r="A446" s="25"/>
      <c r="B446" s="18"/>
      <c r="C446" s="18"/>
      <c r="D446" s="13" t="str">
        <f aca="false">IF(OR(B446="",B445="",446=3),"",B446-B445)</f>
        <v/>
      </c>
      <c r="E446" s="18"/>
    </row>
    <row r="447" customFormat="false" ht="15" hidden="false" customHeight="false" outlineLevel="0" collapsed="false">
      <c r="A447" s="25"/>
      <c r="B447" s="18"/>
      <c r="C447" s="18"/>
      <c r="D447" s="13" t="str">
        <f aca="false">IF(OR(B447="",B446="",447=3),"",B447-B446)</f>
        <v/>
      </c>
      <c r="E447" s="18"/>
    </row>
    <row r="448" customFormat="false" ht="15" hidden="false" customHeight="false" outlineLevel="0" collapsed="false">
      <c r="A448" s="25"/>
      <c r="B448" s="18"/>
      <c r="C448" s="18"/>
      <c r="D448" s="13" t="str">
        <f aca="false">IF(OR(B448="",B447="",448=3),"",B448-B447)</f>
        <v/>
      </c>
      <c r="E448" s="18"/>
    </row>
    <row r="449" customFormat="false" ht="15" hidden="false" customHeight="false" outlineLevel="0" collapsed="false">
      <c r="A449" s="25"/>
      <c r="B449" s="18"/>
      <c r="C449" s="18"/>
      <c r="D449" s="13" t="str">
        <f aca="false">IF(OR(B449="",B448="",449=3),"",B449-B448)</f>
        <v/>
      </c>
      <c r="E449" s="18"/>
    </row>
    <row r="450" customFormat="false" ht="15" hidden="false" customHeight="false" outlineLevel="0" collapsed="false">
      <c r="A450" s="25"/>
      <c r="B450" s="18"/>
      <c r="C450" s="18"/>
      <c r="D450" s="13" t="str">
        <f aca="false">IF(OR(B450="",B449="",450=3),"",B450-B449)</f>
        <v/>
      </c>
      <c r="E450" s="18"/>
    </row>
    <row r="451" customFormat="false" ht="15" hidden="false" customHeight="false" outlineLevel="0" collapsed="false">
      <c r="A451" s="25"/>
      <c r="B451" s="18"/>
      <c r="C451" s="18"/>
      <c r="D451" s="13" t="str">
        <f aca="false">IF(OR(B451="",B450="",451=3),"",B451-B450)</f>
        <v/>
      </c>
      <c r="E451" s="18"/>
    </row>
    <row r="452" customFormat="false" ht="15" hidden="false" customHeight="false" outlineLevel="0" collapsed="false">
      <c r="A452" s="25"/>
      <c r="B452" s="18"/>
      <c r="C452" s="18"/>
      <c r="D452" s="13" t="str">
        <f aca="false">IF(OR(B452="",B451="",452=3),"",B452-B451)</f>
        <v/>
      </c>
      <c r="E452" s="18"/>
    </row>
    <row r="453" customFormat="false" ht="15" hidden="false" customHeight="false" outlineLevel="0" collapsed="false">
      <c r="A453" s="25"/>
      <c r="B453" s="18"/>
      <c r="C453" s="18"/>
      <c r="D453" s="13" t="str">
        <f aca="false">IF(OR(B453="",B452="",453=3),"",B453-B452)</f>
        <v/>
      </c>
      <c r="E453" s="18"/>
    </row>
    <row r="454" customFormat="false" ht="15" hidden="false" customHeight="false" outlineLevel="0" collapsed="false">
      <c r="A454" s="25"/>
      <c r="B454" s="18"/>
      <c r="C454" s="18"/>
      <c r="D454" s="13" t="str">
        <f aca="false">IF(OR(B454="",B453="",454=3),"",B454-B453)</f>
        <v/>
      </c>
      <c r="E454" s="18"/>
    </row>
    <row r="455" customFormat="false" ht="15" hidden="false" customHeight="false" outlineLevel="0" collapsed="false">
      <c r="A455" s="25"/>
      <c r="B455" s="18"/>
      <c r="C455" s="18"/>
      <c r="D455" s="13" t="str">
        <f aca="false">IF(OR(B455="",B454="",455=3),"",B455-B454)</f>
        <v/>
      </c>
      <c r="E455" s="18"/>
    </row>
    <row r="456" customFormat="false" ht="15" hidden="false" customHeight="false" outlineLevel="0" collapsed="false">
      <c r="A456" s="25"/>
      <c r="B456" s="18"/>
      <c r="C456" s="18"/>
      <c r="D456" s="13" t="str">
        <f aca="false">IF(OR(B456="",B455="",456=3),"",B456-B455)</f>
        <v/>
      </c>
      <c r="E456" s="18"/>
    </row>
    <row r="457" customFormat="false" ht="15" hidden="false" customHeight="false" outlineLevel="0" collapsed="false">
      <c r="A457" s="25"/>
      <c r="B457" s="18"/>
      <c r="C457" s="18"/>
      <c r="D457" s="13" t="str">
        <f aca="false">IF(OR(B457="",B456="",457=3),"",B457-B456)</f>
        <v/>
      </c>
      <c r="E457" s="18"/>
    </row>
    <row r="458" customFormat="false" ht="15" hidden="false" customHeight="false" outlineLevel="0" collapsed="false">
      <c r="A458" s="25"/>
      <c r="B458" s="18"/>
      <c r="C458" s="18"/>
      <c r="D458" s="13" t="str">
        <f aca="false">IF(OR(B458="",B457="",458=3),"",B458-B457)</f>
        <v/>
      </c>
      <c r="E458" s="18"/>
    </row>
    <row r="459" customFormat="false" ht="15" hidden="false" customHeight="false" outlineLevel="0" collapsed="false">
      <c r="A459" s="25"/>
      <c r="B459" s="18"/>
      <c r="C459" s="18"/>
      <c r="D459" s="13" t="str">
        <f aca="false">IF(OR(B459="",B458="",459=3),"",B459-B458)</f>
        <v/>
      </c>
      <c r="E459" s="18"/>
    </row>
    <row r="460" customFormat="false" ht="15" hidden="false" customHeight="false" outlineLevel="0" collapsed="false">
      <c r="A460" s="25"/>
      <c r="B460" s="18"/>
      <c r="C460" s="18"/>
      <c r="D460" s="13" t="str">
        <f aca="false">IF(OR(B460="",B459="",460=3),"",B460-B459)</f>
        <v/>
      </c>
      <c r="E460" s="18"/>
    </row>
    <row r="461" customFormat="false" ht="15" hidden="false" customHeight="false" outlineLevel="0" collapsed="false">
      <c r="A461" s="25"/>
      <c r="B461" s="18"/>
      <c r="C461" s="18"/>
      <c r="D461" s="13" t="str">
        <f aca="false">IF(OR(B461="",B460="",461=3),"",B461-B460)</f>
        <v/>
      </c>
      <c r="E461" s="18"/>
    </row>
    <row r="462" customFormat="false" ht="15" hidden="false" customHeight="false" outlineLevel="0" collapsed="false">
      <c r="A462" s="25"/>
      <c r="B462" s="18"/>
      <c r="C462" s="18"/>
      <c r="D462" s="13" t="str">
        <f aca="false">IF(OR(B462="",B461="",462=3),"",B462-B461)</f>
        <v/>
      </c>
      <c r="E462" s="18"/>
    </row>
    <row r="463" customFormat="false" ht="15" hidden="false" customHeight="false" outlineLevel="0" collapsed="false">
      <c r="A463" s="25"/>
      <c r="B463" s="18"/>
      <c r="C463" s="18"/>
      <c r="D463" s="13" t="str">
        <f aca="false">IF(OR(B463="",B462="",463=3),"",B463-B462)</f>
        <v/>
      </c>
      <c r="E463" s="18"/>
    </row>
    <row r="464" customFormat="false" ht="15" hidden="false" customHeight="false" outlineLevel="0" collapsed="false">
      <c r="A464" s="25"/>
      <c r="B464" s="18"/>
      <c r="C464" s="18"/>
      <c r="D464" s="13" t="str">
        <f aca="false">IF(OR(B464="",B463="",464=3),"",B464-B463)</f>
        <v/>
      </c>
      <c r="E464" s="18"/>
    </row>
    <row r="465" customFormat="false" ht="15" hidden="false" customHeight="false" outlineLevel="0" collapsed="false">
      <c r="A465" s="25"/>
      <c r="B465" s="18"/>
      <c r="C465" s="18"/>
      <c r="D465" s="13" t="str">
        <f aca="false">IF(OR(B465="",B464="",465=3),"",B465-B464)</f>
        <v/>
      </c>
      <c r="E465" s="18"/>
    </row>
    <row r="466" customFormat="false" ht="15" hidden="false" customHeight="false" outlineLevel="0" collapsed="false">
      <c r="A466" s="25"/>
      <c r="B466" s="18"/>
      <c r="C466" s="18"/>
      <c r="D466" s="13" t="str">
        <f aca="false">IF(OR(B466="",B465="",466=3),"",B466-B465)</f>
        <v/>
      </c>
      <c r="E466" s="18"/>
    </row>
    <row r="467" customFormat="false" ht="15" hidden="false" customHeight="false" outlineLevel="0" collapsed="false">
      <c r="A467" s="25"/>
      <c r="B467" s="18"/>
      <c r="C467" s="18"/>
      <c r="D467" s="13" t="str">
        <f aca="false">IF(OR(B467="",B466="",467=3),"",B467-B466)</f>
        <v/>
      </c>
      <c r="E467" s="18"/>
    </row>
    <row r="468" customFormat="false" ht="15" hidden="false" customHeight="false" outlineLevel="0" collapsed="false">
      <c r="A468" s="25"/>
      <c r="B468" s="18"/>
      <c r="C468" s="18"/>
      <c r="D468" s="13" t="str">
        <f aca="false">IF(OR(B468="",B467="",468=3),"",B468-B467)</f>
        <v/>
      </c>
      <c r="E468" s="18"/>
    </row>
    <row r="469" customFormat="false" ht="15" hidden="false" customHeight="false" outlineLevel="0" collapsed="false">
      <c r="A469" s="25"/>
      <c r="B469" s="18"/>
      <c r="C469" s="18"/>
      <c r="D469" s="13" t="str">
        <f aca="false">IF(OR(B469="",B468="",469=3),"",B469-B468)</f>
        <v/>
      </c>
      <c r="E469" s="18"/>
    </row>
    <row r="470" customFormat="false" ht="15" hidden="false" customHeight="false" outlineLevel="0" collapsed="false">
      <c r="A470" s="25"/>
      <c r="B470" s="18"/>
      <c r="C470" s="18"/>
      <c r="D470" s="13" t="str">
        <f aca="false">IF(OR(B470="",B469="",470=3),"",B470-B469)</f>
        <v/>
      </c>
      <c r="E470" s="18"/>
    </row>
    <row r="471" customFormat="false" ht="15" hidden="false" customHeight="false" outlineLevel="0" collapsed="false">
      <c r="A471" s="25"/>
      <c r="B471" s="18"/>
      <c r="C471" s="18"/>
      <c r="D471" s="13" t="str">
        <f aca="false">IF(OR(B471="",B470="",471=3),"",B471-B470)</f>
        <v/>
      </c>
      <c r="E471" s="18"/>
    </row>
    <row r="472" customFormat="false" ht="15" hidden="false" customHeight="false" outlineLevel="0" collapsed="false">
      <c r="A472" s="25"/>
      <c r="B472" s="18"/>
      <c r="C472" s="18"/>
      <c r="D472" s="13" t="str">
        <f aca="false">IF(OR(B472="",B471="",472=3),"",B472-B471)</f>
        <v/>
      </c>
      <c r="E472" s="18"/>
    </row>
    <row r="473" customFormat="false" ht="15" hidden="false" customHeight="false" outlineLevel="0" collapsed="false">
      <c r="A473" s="25"/>
      <c r="B473" s="18"/>
      <c r="C473" s="18"/>
      <c r="D473" s="13" t="str">
        <f aca="false">IF(OR(B473="",B472="",473=3),"",B473-B472)</f>
        <v/>
      </c>
      <c r="E473" s="18"/>
    </row>
    <row r="474" customFormat="false" ht="15" hidden="false" customHeight="false" outlineLevel="0" collapsed="false">
      <c r="A474" s="25"/>
      <c r="B474" s="18"/>
      <c r="C474" s="18"/>
      <c r="D474" s="13" t="str">
        <f aca="false">IF(OR(B474="",B473="",474=3),"",B474-B473)</f>
        <v/>
      </c>
      <c r="E474" s="18"/>
    </row>
    <row r="475" customFormat="false" ht="15" hidden="false" customHeight="false" outlineLevel="0" collapsed="false">
      <c r="A475" s="25"/>
      <c r="B475" s="18"/>
      <c r="C475" s="18"/>
      <c r="D475" s="13" t="str">
        <f aca="false">IF(OR(B475="",B474="",475=3),"",B475-B474)</f>
        <v/>
      </c>
      <c r="E475" s="18"/>
    </row>
    <row r="476" customFormat="false" ht="15" hidden="false" customHeight="false" outlineLevel="0" collapsed="false">
      <c r="A476" s="25"/>
      <c r="B476" s="18"/>
      <c r="C476" s="18"/>
      <c r="D476" s="13" t="str">
        <f aca="false">IF(OR(B476="",B475="",476=3),"",B476-B475)</f>
        <v/>
      </c>
      <c r="E476" s="18"/>
    </row>
    <row r="477" customFormat="false" ht="15" hidden="false" customHeight="false" outlineLevel="0" collapsed="false">
      <c r="A477" s="25"/>
      <c r="B477" s="18"/>
      <c r="C477" s="18"/>
      <c r="D477" s="13" t="str">
        <f aca="false">IF(OR(B477="",B476="",477=3),"",B477-B476)</f>
        <v/>
      </c>
      <c r="E477" s="18"/>
    </row>
    <row r="478" customFormat="false" ht="15" hidden="false" customHeight="false" outlineLevel="0" collapsed="false">
      <c r="A478" s="25"/>
      <c r="B478" s="18"/>
      <c r="C478" s="18"/>
      <c r="D478" s="13" t="str">
        <f aca="false">IF(OR(B478="",B477="",478=3),"",B478-B477)</f>
        <v/>
      </c>
      <c r="E478" s="18"/>
    </row>
    <row r="479" customFormat="false" ht="15" hidden="false" customHeight="false" outlineLevel="0" collapsed="false">
      <c r="A479" s="25"/>
      <c r="B479" s="18"/>
      <c r="C479" s="18"/>
      <c r="D479" s="13" t="str">
        <f aca="false">IF(OR(B479="",B478="",479=3),"",B479-B478)</f>
        <v/>
      </c>
      <c r="E479" s="18"/>
    </row>
    <row r="480" customFormat="false" ht="15" hidden="false" customHeight="false" outlineLevel="0" collapsed="false">
      <c r="A480" s="25"/>
      <c r="B480" s="18"/>
      <c r="C480" s="18"/>
      <c r="D480" s="13" t="str">
        <f aca="false">IF(OR(B480="",B479="",480=3),"",B480-B479)</f>
        <v/>
      </c>
      <c r="E480" s="18"/>
    </row>
    <row r="481" customFormat="false" ht="15" hidden="false" customHeight="false" outlineLevel="0" collapsed="false">
      <c r="A481" s="25"/>
      <c r="B481" s="18"/>
      <c r="C481" s="18"/>
      <c r="D481" s="13" t="str">
        <f aca="false">IF(OR(B481="",B480="",481=3),"",B481-B480)</f>
        <v/>
      </c>
      <c r="E481" s="18"/>
    </row>
    <row r="482" customFormat="false" ht="15" hidden="false" customHeight="false" outlineLevel="0" collapsed="false">
      <c r="A482" s="25"/>
      <c r="B482" s="18"/>
      <c r="C482" s="18"/>
      <c r="D482" s="13" t="str">
        <f aca="false">IF(OR(B482="",B481="",482=3),"",B482-B481)</f>
        <v/>
      </c>
      <c r="E482" s="18"/>
    </row>
    <row r="483" customFormat="false" ht="15" hidden="false" customHeight="false" outlineLevel="0" collapsed="false">
      <c r="A483" s="25"/>
      <c r="B483" s="18"/>
      <c r="C483" s="18"/>
      <c r="D483" s="13" t="str">
        <f aca="false">IF(OR(B483="",B482="",483=3),"",B483-B482)</f>
        <v/>
      </c>
      <c r="E483" s="18"/>
    </row>
    <row r="484" customFormat="false" ht="15" hidden="false" customHeight="false" outlineLevel="0" collapsed="false">
      <c r="A484" s="25"/>
      <c r="B484" s="18"/>
      <c r="C484" s="18"/>
      <c r="D484" s="13" t="str">
        <f aca="false">IF(OR(B484="",B483="",484=3),"",B484-B483)</f>
        <v/>
      </c>
      <c r="E484" s="18"/>
    </row>
    <row r="485" customFormat="false" ht="15" hidden="false" customHeight="false" outlineLevel="0" collapsed="false">
      <c r="A485" s="25"/>
      <c r="B485" s="18"/>
      <c r="C485" s="18"/>
      <c r="D485" s="13" t="str">
        <f aca="false">IF(OR(B485="",B484="",485=3),"",B485-B484)</f>
        <v/>
      </c>
      <c r="E485" s="18"/>
    </row>
    <row r="486" customFormat="false" ht="15" hidden="false" customHeight="false" outlineLevel="0" collapsed="false">
      <c r="A486" s="25"/>
      <c r="B486" s="18"/>
      <c r="C486" s="18"/>
      <c r="D486" s="13" t="str">
        <f aca="false">IF(OR(B486="",B485="",486=3),"",B486-B485)</f>
        <v/>
      </c>
      <c r="E486" s="18"/>
    </row>
    <row r="487" customFormat="false" ht="15" hidden="false" customHeight="false" outlineLevel="0" collapsed="false">
      <c r="A487" s="25"/>
      <c r="B487" s="18"/>
      <c r="C487" s="18"/>
      <c r="D487" s="13" t="str">
        <f aca="false">IF(OR(B487="",B486="",487=3),"",B487-B486)</f>
        <v/>
      </c>
      <c r="E487" s="18"/>
    </row>
    <row r="488" customFormat="false" ht="15" hidden="false" customHeight="false" outlineLevel="0" collapsed="false">
      <c r="A488" s="25"/>
      <c r="B488" s="18"/>
      <c r="C488" s="18"/>
      <c r="D488" s="13" t="str">
        <f aca="false">IF(OR(B488="",B487="",488=3),"",B488-B487)</f>
        <v/>
      </c>
      <c r="E488" s="18"/>
    </row>
    <row r="489" customFormat="false" ht="15" hidden="false" customHeight="false" outlineLevel="0" collapsed="false">
      <c r="A489" s="25"/>
      <c r="B489" s="18"/>
      <c r="C489" s="18"/>
      <c r="D489" s="13" t="str">
        <f aca="false">IF(OR(B489="",B488="",489=3),"",B489-B488)</f>
        <v/>
      </c>
      <c r="E489" s="18"/>
    </row>
    <row r="490" customFormat="false" ht="15" hidden="false" customHeight="false" outlineLevel="0" collapsed="false">
      <c r="A490" s="25"/>
      <c r="B490" s="18"/>
      <c r="C490" s="18"/>
      <c r="D490" s="13" t="str">
        <f aca="false">IF(OR(B490="",B489="",490=3),"",B490-B489)</f>
        <v/>
      </c>
      <c r="E490" s="18"/>
    </row>
    <row r="491" customFormat="false" ht="15" hidden="false" customHeight="false" outlineLevel="0" collapsed="false">
      <c r="A491" s="25"/>
      <c r="B491" s="18"/>
      <c r="C491" s="18"/>
      <c r="D491" s="13" t="str">
        <f aca="false">IF(OR(B491="",B490="",491=3),"",B491-B490)</f>
        <v/>
      </c>
      <c r="E491" s="18"/>
    </row>
    <row r="492" customFormat="false" ht="15" hidden="false" customHeight="false" outlineLevel="0" collapsed="false">
      <c r="A492" s="25"/>
      <c r="B492" s="18"/>
      <c r="C492" s="18"/>
      <c r="D492" s="13" t="str">
        <f aca="false">IF(OR(B492="",B491="",492=3),"",B492-B491)</f>
        <v/>
      </c>
      <c r="E492" s="18"/>
    </row>
    <row r="493" customFormat="false" ht="15" hidden="false" customHeight="false" outlineLevel="0" collapsed="false">
      <c r="A493" s="25"/>
      <c r="B493" s="18"/>
      <c r="C493" s="18"/>
      <c r="D493" s="13" t="str">
        <f aca="false">IF(OR(B493="",B492="",493=3),"",B493-B492)</f>
        <v/>
      </c>
      <c r="E493" s="18"/>
    </row>
    <row r="494" customFormat="false" ht="15" hidden="false" customHeight="false" outlineLevel="0" collapsed="false">
      <c r="A494" s="25"/>
      <c r="B494" s="18"/>
      <c r="C494" s="18"/>
      <c r="D494" s="13" t="str">
        <f aca="false">IF(OR(B494="",B493="",494=3),"",B494-B493)</f>
        <v/>
      </c>
      <c r="E494" s="18"/>
    </row>
    <row r="495" customFormat="false" ht="15" hidden="false" customHeight="false" outlineLevel="0" collapsed="false">
      <c r="A495" s="25"/>
      <c r="B495" s="18"/>
      <c r="C495" s="18"/>
      <c r="D495" s="13" t="str">
        <f aca="false">IF(OR(B495="",B494="",495=3),"",B495-B494)</f>
        <v/>
      </c>
      <c r="E495" s="18"/>
    </row>
    <row r="496" customFormat="false" ht="15" hidden="false" customHeight="false" outlineLevel="0" collapsed="false">
      <c r="A496" s="25"/>
      <c r="B496" s="18"/>
      <c r="C496" s="18"/>
      <c r="D496" s="13" t="str">
        <f aca="false">IF(OR(B496="",B495="",496=3),"",B496-B495)</f>
        <v/>
      </c>
      <c r="E496" s="18"/>
    </row>
    <row r="497" customFormat="false" ht="15" hidden="false" customHeight="false" outlineLevel="0" collapsed="false">
      <c r="A497" s="25"/>
      <c r="B497" s="18"/>
      <c r="C497" s="18"/>
      <c r="D497" s="13" t="str">
        <f aca="false">IF(OR(B497="",B496="",497=3),"",B497-B496)</f>
        <v/>
      </c>
      <c r="E497" s="18"/>
    </row>
    <row r="498" customFormat="false" ht="15" hidden="false" customHeight="false" outlineLevel="0" collapsed="false">
      <c r="A498" s="25"/>
      <c r="B498" s="18"/>
      <c r="C498" s="18"/>
      <c r="D498" s="13" t="str">
        <f aca="false">IF(OR(B498="",B497="",498=3),"",B498-B497)</f>
        <v/>
      </c>
      <c r="E498" s="18"/>
    </row>
    <row r="499" customFormat="false" ht="15" hidden="false" customHeight="false" outlineLevel="0" collapsed="false">
      <c r="A499" s="25"/>
      <c r="B499" s="18"/>
      <c r="C499" s="18"/>
      <c r="D499" s="13" t="str">
        <f aca="false">IF(OR(B499="",B498="",499=3),"",B499-B498)</f>
        <v/>
      </c>
      <c r="E499" s="18"/>
    </row>
    <row r="500" customFormat="false" ht="15" hidden="false" customHeight="false" outlineLevel="0" collapsed="false">
      <c r="A500" s="25"/>
      <c r="B500" s="18"/>
      <c r="C500" s="18"/>
      <c r="D500" s="13" t="str">
        <f aca="false">IF(OR(B500="",B499="",500=3),"",B500-B499)</f>
        <v/>
      </c>
      <c r="E500" s="18"/>
    </row>
    <row r="501" customFormat="false" ht="15" hidden="false" customHeight="false" outlineLevel="0" collapsed="false">
      <c r="A501" s="25"/>
      <c r="B501" s="18"/>
      <c r="C501" s="18"/>
      <c r="D501" s="13" t="str">
        <f aca="false">IF(OR(B501="",B500="",501=3),"",B501-B500)</f>
        <v/>
      </c>
      <c r="E501" s="18"/>
    </row>
    <row r="502" customFormat="false" ht="15" hidden="false" customHeight="false" outlineLevel="0" collapsed="false">
      <c r="A502" s="25"/>
      <c r="B502" s="18"/>
      <c r="C502" s="18"/>
      <c r="D502" s="13" t="str">
        <f aca="false">IF(OR(B502="",B501="",502=3),"",B502-B501)</f>
        <v/>
      </c>
      <c r="E502" s="18"/>
    </row>
    <row r="503" customFormat="false" ht="15" hidden="false" customHeight="false" outlineLevel="0" collapsed="false">
      <c r="A503" s="25"/>
      <c r="B503" s="18"/>
      <c r="C503" s="18"/>
      <c r="D503" s="13" t="str">
        <f aca="false">IF(OR(B503="",B502="",503=3),"",B503-B502)</f>
        <v/>
      </c>
      <c r="E503" s="18"/>
    </row>
    <row r="504" customFormat="false" ht="15" hidden="false" customHeight="false" outlineLevel="0" collapsed="false">
      <c r="A504" s="25"/>
      <c r="B504" s="18"/>
      <c r="C504" s="18"/>
      <c r="D504" s="13" t="str">
        <f aca="false">IF(OR(B504="",B503="",504=3),"",B504-B503)</f>
        <v/>
      </c>
      <c r="E504" s="18"/>
    </row>
    <row r="505" customFormat="false" ht="15" hidden="false" customHeight="false" outlineLevel="0" collapsed="false">
      <c r="A505" s="25"/>
      <c r="B505" s="18"/>
      <c r="C505" s="18"/>
      <c r="D505" s="13" t="str">
        <f aca="false">IF(OR(B505="",B504="",505=3),"",B505-B504)</f>
        <v/>
      </c>
      <c r="E505" s="18"/>
    </row>
    <row r="506" customFormat="false" ht="15" hidden="false" customHeight="false" outlineLevel="0" collapsed="false">
      <c r="A506" s="25"/>
      <c r="B506" s="18"/>
      <c r="C506" s="18"/>
      <c r="D506" s="13" t="str">
        <f aca="false">IF(OR(B506="",B505="",506=3),"",B506-B505)</f>
        <v/>
      </c>
      <c r="E506" s="18"/>
    </row>
    <row r="507" customFormat="false" ht="15" hidden="false" customHeight="false" outlineLevel="0" collapsed="false">
      <c r="A507" s="25"/>
      <c r="B507" s="18"/>
      <c r="C507" s="18"/>
      <c r="D507" s="13" t="str">
        <f aca="false">IF(OR(B507="",B506="",507=3),"",B507-B506)</f>
        <v/>
      </c>
      <c r="E507" s="18"/>
    </row>
    <row r="508" customFormat="false" ht="15" hidden="false" customHeight="false" outlineLevel="0" collapsed="false">
      <c r="A508" s="25"/>
      <c r="B508" s="18"/>
      <c r="C508" s="18"/>
      <c r="D508" s="13" t="str">
        <f aca="false">IF(OR(B508="",B507="",508=3),"",B508-B507)</f>
        <v/>
      </c>
      <c r="E508" s="18"/>
    </row>
    <row r="509" customFormat="false" ht="15" hidden="false" customHeight="false" outlineLevel="0" collapsed="false">
      <c r="A509" s="25"/>
      <c r="B509" s="18"/>
      <c r="C509" s="18"/>
      <c r="D509" s="13" t="str">
        <f aca="false">IF(OR(B509="",B508="",509=3),"",B509-B508)</f>
        <v/>
      </c>
      <c r="E509" s="18"/>
    </row>
    <row r="510" customFormat="false" ht="15" hidden="false" customHeight="false" outlineLevel="0" collapsed="false">
      <c r="A510" s="25"/>
      <c r="B510" s="18"/>
      <c r="C510" s="18"/>
      <c r="D510" s="13" t="str">
        <f aca="false">IF(OR(B510="",B509="",510=3),"",B510-B509)</f>
        <v/>
      </c>
      <c r="E510" s="18"/>
    </row>
    <row r="511" customFormat="false" ht="15" hidden="false" customHeight="false" outlineLevel="0" collapsed="false">
      <c r="A511" s="25"/>
      <c r="B511" s="18"/>
      <c r="C511" s="18"/>
      <c r="D511" s="13" t="str">
        <f aca="false">IF(OR(B511="",B510="",511=3),"",B511-B510)</f>
        <v/>
      </c>
      <c r="E511" s="18"/>
    </row>
    <row r="512" customFormat="false" ht="15" hidden="false" customHeight="false" outlineLevel="0" collapsed="false">
      <c r="A512" s="25"/>
      <c r="B512" s="18"/>
      <c r="C512" s="18"/>
      <c r="D512" s="13" t="str">
        <f aca="false">IF(OR(B512="",B511="",512=3),"",B512-B511)</f>
        <v/>
      </c>
      <c r="E512" s="18"/>
    </row>
    <row r="513" customFormat="false" ht="15" hidden="false" customHeight="false" outlineLevel="0" collapsed="false">
      <c r="A513" s="25"/>
      <c r="B513" s="18"/>
      <c r="C513" s="18"/>
      <c r="D513" s="13" t="str">
        <f aca="false">IF(OR(B513="",B512="",513=3),"",B513-B512)</f>
        <v/>
      </c>
      <c r="E513" s="18"/>
    </row>
    <row r="514" customFormat="false" ht="15" hidden="false" customHeight="false" outlineLevel="0" collapsed="false">
      <c r="A514" s="25"/>
      <c r="B514" s="18"/>
      <c r="C514" s="18"/>
      <c r="D514" s="13" t="str">
        <f aca="false">IF(OR(B514="",B513="",514=3),"",B514-B513)</f>
        <v/>
      </c>
      <c r="E514" s="18"/>
    </row>
    <row r="515" customFormat="false" ht="15" hidden="false" customHeight="false" outlineLevel="0" collapsed="false">
      <c r="A515" s="25"/>
      <c r="B515" s="18"/>
      <c r="C515" s="18"/>
      <c r="D515" s="13" t="str">
        <f aca="false">IF(OR(B515="",B514="",515=3),"",B515-B514)</f>
        <v/>
      </c>
      <c r="E515" s="18"/>
    </row>
    <row r="516" customFormat="false" ht="15" hidden="false" customHeight="false" outlineLevel="0" collapsed="false">
      <c r="A516" s="25"/>
      <c r="B516" s="18"/>
      <c r="C516" s="18"/>
      <c r="D516" s="13" t="str">
        <f aca="false">IF(OR(B516="",B515="",516=3),"",B516-B515)</f>
        <v/>
      </c>
      <c r="E516" s="18"/>
    </row>
    <row r="517" customFormat="false" ht="15" hidden="false" customHeight="false" outlineLevel="0" collapsed="false">
      <c r="A517" s="25"/>
      <c r="B517" s="18"/>
      <c r="C517" s="18"/>
      <c r="D517" s="13" t="str">
        <f aca="false">IF(OR(B517="",B516="",517=3),"",B517-B516)</f>
        <v/>
      </c>
      <c r="E517" s="18"/>
    </row>
    <row r="518" customFormat="false" ht="15" hidden="false" customHeight="false" outlineLevel="0" collapsed="false">
      <c r="A518" s="25"/>
      <c r="B518" s="18"/>
      <c r="C518" s="18"/>
      <c r="D518" s="13" t="str">
        <f aca="false">IF(OR(B518="",B517="",518=3),"",B518-B517)</f>
        <v/>
      </c>
      <c r="E518" s="18"/>
    </row>
    <row r="519" customFormat="false" ht="15" hidden="false" customHeight="false" outlineLevel="0" collapsed="false">
      <c r="A519" s="25"/>
      <c r="B519" s="18"/>
      <c r="C519" s="18"/>
      <c r="D519" s="13" t="str">
        <f aca="false">IF(OR(B519="",B518="",519=3),"",B519-B518)</f>
        <v/>
      </c>
      <c r="E519" s="18"/>
    </row>
    <row r="520" customFormat="false" ht="15" hidden="false" customHeight="false" outlineLevel="0" collapsed="false">
      <c r="A520" s="25"/>
      <c r="B520" s="18"/>
      <c r="C520" s="18"/>
      <c r="D520" s="13" t="str">
        <f aca="false">IF(OR(B520="",B519="",520=3),"",B520-B519)</f>
        <v/>
      </c>
      <c r="E520" s="18"/>
    </row>
    <row r="521" customFormat="false" ht="15" hidden="false" customHeight="false" outlineLevel="0" collapsed="false">
      <c r="A521" s="25"/>
      <c r="B521" s="18"/>
      <c r="C521" s="18"/>
      <c r="D521" s="13" t="str">
        <f aca="false">IF(OR(B521="",B520="",521=3),"",B521-B520)</f>
        <v/>
      </c>
      <c r="E521" s="18"/>
    </row>
    <row r="522" customFormat="false" ht="15" hidden="false" customHeight="false" outlineLevel="0" collapsed="false">
      <c r="A522" s="25"/>
      <c r="B522" s="18"/>
      <c r="C522" s="18"/>
      <c r="D522" s="13" t="str">
        <f aca="false">IF(OR(B522="",B521="",522=3),"",B522-B521)</f>
        <v/>
      </c>
      <c r="E522" s="18"/>
    </row>
    <row r="523" customFormat="false" ht="15" hidden="false" customHeight="false" outlineLevel="0" collapsed="false">
      <c r="A523" s="25"/>
      <c r="B523" s="18"/>
      <c r="C523" s="18"/>
      <c r="D523" s="13" t="str">
        <f aca="false">IF(OR(B523="",B522="",523=3),"",B523-B522)</f>
        <v/>
      </c>
      <c r="E523" s="18"/>
    </row>
    <row r="524" customFormat="false" ht="15" hidden="false" customHeight="false" outlineLevel="0" collapsed="false">
      <c r="A524" s="25"/>
      <c r="B524" s="18"/>
      <c r="C524" s="18"/>
      <c r="D524" s="13" t="str">
        <f aca="false">IF(OR(B524="",B523="",524=3),"",B524-B523)</f>
        <v/>
      </c>
      <c r="E524" s="18"/>
    </row>
    <row r="525" customFormat="false" ht="15" hidden="false" customHeight="false" outlineLevel="0" collapsed="false">
      <c r="A525" s="25"/>
      <c r="B525" s="18"/>
      <c r="C525" s="18"/>
      <c r="D525" s="13" t="str">
        <f aca="false">IF(OR(B525="",B524="",525=3),"",B525-B524)</f>
        <v/>
      </c>
      <c r="E525" s="18"/>
    </row>
    <row r="526" customFormat="false" ht="15" hidden="false" customHeight="false" outlineLevel="0" collapsed="false">
      <c r="A526" s="25"/>
      <c r="B526" s="18"/>
      <c r="C526" s="18"/>
      <c r="D526" s="13" t="str">
        <f aca="false">IF(OR(B526="",B525="",526=3),"",B526-B525)</f>
        <v/>
      </c>
      <c r="E526" s="18"/>
    </row>
    <row r="527" customFormat="false" ht="15" hidden="false" customHeight="false" outlineLevel="0" collapsed="false">
      <c r="A527" s="25"/>
      <c r="B527" s="18"/>
      <c r="C527" s="18"/>
      <c r="D527" s="13" t="str">
        <f aca="false">IF(OR(B527="",B526="",527=3),"",B527-B526)</f>
        <v/>
      </c>
      <c r="E527" s="18"/>
    </row>
    <row r="528" customFormat="false" ht="15" hidden="false" customHeight="false" outlineLevel="0" collapsed="false">
      <c r="A528" s="25"/>
      <c r="B528" s="18"/>
      <c r="C528" s="18"/>
      <c r="D528" s="13" t="str">
        <f aca="false">IF(OR(B528="",B527="",528=3),"",B528-B527)</f>
        <v/>
      </c>
      <c r="E528" s="18"/>
    </row>
    <row r="529" customFormat="false" ht="15" hidden="false" customHeight="false" outlineLevel="0" collapsed="false">
      <c r="A529" s="25"/>
      <c r="B529" s="18"/>
      <c r="C529" s="18"/>
      <c r="D529" s="13" t="str">
        <f aca="false">IF(OR(B529="",B528="",529=3),"",B529-B528)</f>
        <v/>
      </c>
      <c r="E529" s="18"/>
    </row>
    <row r="530" customFormat="false" ht="15" hidden="false" customHeight="false" outlineLevel="0" collapsed="false">
      <c r="A530" s="25"/>
      <c r="B530" s="18"/>
      <c r="C530" s="18"/>
      <c r="D530" s="13" t="str">
        <f aca="false">IF(OR(B530="",B529="",530=3),"",B530-B529)</f>
        <v/>
      </c>
      <c r="E530" s="18"/>
    </row>
    <row r="531" customFormat="false" ht="15" hidden="false" customHeight="false" outlineLevel="0" collapsed="false">
      <c r="A531" s="25"/>
      <c r="B531" s="18"/>
      <c r="C531" s="18"/>
      <c r="D531" s="13" t="str">
        <f aca="false">IF(OR(B531="",B530="",531=3),"",B531-B530)</f>
        <v/>
      </c>
      <c r="E531" s="18"/>
    </row>
    <row r="532" customFormat="false" ht="15" hidden="false" customHeight="false" outlineLevel="0" collapsed="false">
      <c r="A532" s="25"/>
      <c r="B532" s="18"/>
      <c r="C532" s="18"/>
      <c r="D532" s="13" t="str">
        <f aca="false">IF(OR(B532="",B531="",532=3),"",B532-B531)</f>
        <v/>
      </c>
      <c r="E532" s="18"/>
    </row>
    <row r="533" customFormat="false" ht="15" hidden="false" customHeight="false" outlineLevel="0" collapsed="false">
      <c r="A533" s="25"/>
      <c r="B533" s="18"/>
      <c r="C533" s="18"/>
      <c r="D533" s="13" t="str">
        <f aca="false">IF(OR(B533="",B532="",533=3),"",B533-B532)</f>
        <v/>
      </c>
      <c r="E533" s="18"/>
    </row>
    <row r="534" customFormat="false" ht="15" hidden="false" customHeight="false" outlineLevel="0" collapsed="false">
      <c r="A534" s="25"/>
      <c r="B534" s="18"/>
      <c r="C534" s="18"/>
      <c r="D534" s="13" t="str">
        <f aca="false">IF(OR(B534="",B533="",534=3),"",B534-B533)</f>
        <v/>
      </c>
      <c r="E534" s="18"/>
    </row>
    <row r="535" customFormat="false" ht="15" hidden="false" customHeight="false" outlineLevel="0" collapsed="false">
      <c r="A535" s="25"/>
      <c r="B535" s="18"/>
      <c r="C535" s="18"/>
      <c r="D535" s="13" t="str">
        <f aca="false">IF(OR(B535="",B534="",535=3),"",B535-B534)</f>
        <v/>
      </c>
      <c r="E535" s="18"/>
    </row>
    <row r="536" customFormat="false" ht="15" hidden="false" customHeight="false" outlineLevel="0" collapsed="false">
      <c r="A536" s="25"/>
      <c r="B536" s="18"/>
      <c r="C536" s="18"/>
      <c r="D536" s="13" t="str">
        <f aca="false">IF(OR(B536="",B535="",536=3),"",B536-B535)</f>
        <v/>
      </c>
      <c r="E536" s="18"/>
    </row>
    <row r="537" customFormat="false" ht="15" hidden="false" customHeight="false" outlineLevel="0" collapsed="false">
      <c r="A537" s="25"/>
      <c r="B537" s="18"/>
      <c r="C537" s="18"/>
      <c r="D537" s="13" t="str">
        <f aca="false">IF(OR(B537="",B536="",537=3),"",B537-B536)</f>
        <v/>
      </c>
      <c r="E537" s="18"/>
    </row>
    <row r="538" customFormat="false" ht="15" hidden="false" customHeight="false" outlineLevel="0" collapsed="false">
      <c r="A538" s="25"/>
      <c r="B538" s="18"/>
      <c r="C538" s="18"/>
      <c r="D538" s="13" t="str">
        <f aca="false">IF(OR(B538="",B537="",538=3),"",B538-B537)</f>
        <v/>
      </c>
      <c r="E538" s="18"/>
    </row>
    <row r="539" customFormat="false" ht="15" hidden="false" customHeight="false" outlineLevel="0" collapsed="false">
      <c r="A539" s="25"/>
      <c r="B539" s="18"/>
      <c r="C539" s="18"/>
      <c r="D539" s="13" t="str">
        <f aca="false">IF(OR(B539="",B538="",539=3),"",B539-B538)</f>
        <v/>
      </c>
      <c r="E539" s="18"/>
    </row>
    <row r="540" customFormat="false" ht="15" hidden="false" customHeight="false" outlineLevel="0" collapsed="false">
      <c r="A540" s="25"/>
      <c r="B540" s="18"/>
      <c r="C540" s="18"/>
      <c r="D540" s="13" t="str">
        <f aca="false">IF(OR(B540="",B539="",540=3),"",B540-B539)</f>
        <v/>
      </c>
      <c r="E540" s="18"/>
    </row>
    <row r="541" customFormat="false" ht="15" hidden="false" customHeight="false" outlineLevel="0" collapsed="false">
      <c r="A541" s="25"/>
      <c r="B541" s="18"/>
      <c r="C541" s="18"/>
      <c r="D541" s="13" t="str">
        <f aca="false">IF(OR(B541="",B540="",541=3),"",B541-B540)</f>
        <v/>
      </c>
      <c r="E541" s="18"/>
    </row>
    <row r="542" customFormat="false" ht="15" hidden="false" customHeight="false" outlineLevel="0" collapsed="false">
      <c r="A542" s="25"/>
      <c r="B542" s="18"/>
      <c r="C542" s="18"/>
      <c r="D542" s="13" t="str">
        <f aca="false">IF(OR(B542="",B541="",542=3),"",B542-B541)</f>
        <v/>
      </c>
      <c r="E542" s="18"/>
    </row>
    <row r="543" customFormat="false" ht="15" hidden="false" customHeight="false" outlineLevel="0" collapsed="false">
      <c r="A543" s="25"/>
      <c r="B543" s="18"/>
      <c r="C543" s="18"/>
      <c r="D543" s="13" t="str">
        <f aca="false">IF(OR(B543="",B542="",543=3),"",B543-B542)</f>
        <v/>
      </c>
      <c r="E543" s="18"/>
    </row>
    <row r="544" customFormat="false" ht="15" hidden="false" customHeight="false" outlineLevel="0" collapsed="false">
      <c r="A544" s="25"/>
      <c r="B544" s="18"/>
      <c r="C544" s="18"/>
      <c r="D544" s="13" t="str">
        <f aca="false">IF(OR(B544="",B543="",544=3),"",B544-B543)</f>
        <v/>
      </c>
      <c r="E544" s="18"/>
    </row>
    <row r="545" customFormat="false" ht="15" hidden="false" customHeight="false" outlineLevel="0" collapsed="false">
      <c r="A545" s="25"/>
      <c r="B545" s="18"/>
      <c r="C545" s="18"/>
      <c r="D545" s="13" t="str">
        <f aca="false">IF(OR(B545="",B544="",545=3),"",B545-B544)</f>
        <v/>
      </c>
      <c r="E545" s="18"/>
    </row>
    <row r="546" customFormat="false" ht="15" hidden="false" customHeight="false" outlineLevel="0" collapsed="false">
      <c r="A546" s="25"/>
      <c r="B546" s="18"/>
      <c r="C546" s="18"/>
      <c r="D546" s="13" t="str">
        <f aca="false">IF(OR(B546="",B545="",546=3),"",B546-B545)</f>
        <v/>
      </c>
      <c r="E546" s="18"/>
    </row>
    <row r="547" customFormat="false" ht="15" hidden="false" customHeight="false" outlineLevel="0" collapsed="false">
      <c r="A547" s="25"/>
      <c r="B547" s="18"/>
      <c r="C547" s="18"/>
      <c r="D547" s="13" t="str">
        <f aca="false">IF(OR(B547="",B546="",547=3),"",B547-B546)</f>
        <v/>
      </c>
      <c r="E547" s="18"/>
    </row>
    <row r="548" customFormat="false" ht="15" hidden="false" customHeight="false" outlineLevel="0" collapsed="false">
      <c r="A548" s="25"/>
      <c r="B548" s="18"/>
      <c r="C548" s="18"/>
      <c r="D548" s="13" t="str">
        <f aca="false">IF(OR(B548="",B547="",548=3),"",B548-B547)</f>
        <v/>
      </c>
      <c r="E548" s="18"/>
    </row>
    <row r="549" customFormat="false" ht="15" hidden="false" customHeight="false" outlineLevel="0" collapsed="false">
      <c r="A549" s="25"/>
      <c r="B549" s="18"/>
      <c r="C549" s="18"/>
      <c r="D549" s="13" t="str">
        <f aca="false">IF(OR(B549="",B548="",549=3),"",B549-B548)</f>
        <v/>
      </c>
      <c r="E549" s="18"/>
    </row>
    <row r="550" customFormat="false" ht="15" hidden="false" customHeight="false" outlineLevel="0" collapsed="false">
      <c r="A550" s="25"/>
      <c r="B550" s="18"/>
      <c r="C550" s="18"/>
      <c r="D550" s="13" t="str">
        <f aca="false">IF(OR(B550="",B549="",550=3),"",B550-B549)</f>
        <v/>
      </c>
      <c r="E550" s="18"/>
    </row>
    <row r="551" customFormat="false" ht="15" hidden="false" customHeight="false" outlineLevel="0" collapsed="false">
      <c r="A551" s="25"/>
      <c r="B551" s="18"/>
      <c r="C551" s="18"/>
      <c r="D551" s="13" t="str">
        <f aca="false">IF(OR(B551="",B550="",551=3),"",B551-B550)</f>
        <v/>
      </c>
      <c r="E551" s="18"/>
    </row>
    <row r="552" customFormat="false" ht="15" hidden="false" customHeight="false" outlineLevel="0" collapsed="false">
      <c r="A552" s="25"/>
      <c r="B552" s="18"/>
      <c r="C552" s="18"/>
      <c r="D552" s="13" t="str">
        <f aca="false">IF(OR(B552="",B551="",552=3),"",B552-B551)</f>
        <v/>
      </c>
      <c r="E552" s="18"/>
    </row>
    <row r="553" customFormat="false" ht="15" hidden="false" customHeight="false" outlineLevel="0" collapsed="false">
      <c r="A553" s="25"/>
      <c r="B553" s="18"/>
      <c r="C553" s="18"/>
      <c r="D553" s="13" t="str">
        <f aca="false">IF(OR(B553="",B552="",553=3),"",B553-B552)</f>
        <v/>
      </c>
      <c r="E553" s="18"/>
    </row>
    <row r="554" customFormat="false" ht="15" hidden="false" customHeight="false" outlineLevel="0" collapsed="false">
      <c r="A554" s="25"/>
      <c r="B554" s="18"/>
      <c r="C554" s="18"/>
      <c r="D554" s="13" t="str">
        <f aca="false">IF(OR(B554="",B553="",554=3),"",B554-B553)</f>
        <v/>
      </c>
      <c r="E554" s="18"/>
    </row>
    <row r="555" customFormat="false" ht="15" hidden="false" customHeight="false" outlineLevel="0" collapsed="false">
      <c r="A555" s="25"/>
      <c r="B555" s="18"/>
      <c r="C555" s="18"/>
      <c r="D555" s="13" t="str">
        <f aca="false">IF(OR(B555="",B554="",555=3),"",B555-B554)</f>
        <v/>
      </c>
      <c r="E555" s="18"/>
    </row>
    <row r="556" customFormat="false" ht="15" hidden="false" customHeight="false" outlineLevel="0" collapsed="false">
      <c r="A556" s="25"/>
      <c r="B556" s="18"/>
      <c r="C556" s="18"/>
      <c r="D556" s="13" t="str">
        <f aca="false">IF(OR(B556="",B555="",556=3),"",B556-B555)</f>
        <v/>
      </c>
      <c r="E556" s="18"/>
    </row>
    <row r="557" customFormat="false" ht="15" hidden="false" customHeight="false" outlineLevel="0" collapsed="false">
      <c r="A557" s="25"/>
      <c r="B557" s="18"/>
      <c r="C557" s="18"/>
      <c r="D557" s="13" t="str">
        <f aca="false">IF(OR(B557="",B556="",557=3),"",B557-B556)</f>
        <v/>
      </c>
      <c r="E557" s="18"/>
    </row>
    <row r="558" customFormat="false" ht="15" hidden="false" customHeight="false" outlineLevel="0" collapsed="false">
      <c r="A558" s="25"/>
      <c r="B558" s="18"/>
      <c r="C558" s="18"/>
      <c r="D558" s="13" t="str">
        <f aca="false">IF(OR(B558="",B557="",558=3),"",B558-B557)</f>
        <v/>
      </c>
      <c r="E558" s="18"/>
    </row>
    <row r="559" customFormat="false" ht="15" hidden="false" customHeight="false" outlineLevel="0" collapsed="false">
      <c r="A559" s="25"/>
      <c r="B559" s="18"/>
      <c r="C559" s="18"/>
      <c r="D559" s="13" t="str">
        <f aca="false">IF(OR(B559="",B558="",559=3),"",B559-B558)</f>
        <v/>
      </c>
      <c r="E559" s="18"/>
    </row>
    <row r="560" customFormat="false" ht="15" hidden="false" customHeight="false" outlineLevel="0" collapsed="false">
      <c r="A560" s="25"/>
      <c r="B560" s="18"/>
      <c r="C560" s="18"/>
      <c r="D560" s="13" t="str">
        <f aca="false">IF(OR(B560="",B559="",560=3),"",B560-B559)</f>
        <v/>
      </c>
      <c r="E560" s="18"/>
    </row>
    <row r="561" customFormat="false" ht="15" hidden="false" customHeight="false" outlineLevel="0" collapsed="false">
      <c r="A561" s="25"/>
      <c r="B561" s="18"/>
      <c r="C561" s="18"/>
      <c r="D561" s="13" t="str">
        <f aca="false">IF(OR(B561="",B560="",561=3),"",B561-B560)</f>
        <v/>
      </c>
      <c r="E561" s="18"/>
    </row>
    <row r="562" customFormat="false" ht="15" hidden="false" customHeight="false" outlineLevel="0" collapsed="false">
      <c r="A562" s="25"/>
      <c r="B562" s="18"/>
      <c r="C562" s="18"/>
      <c r="D562" s="13" t="str">
        <f aca="false">IF(OR(B562="",B561="",562=3),"",B562-B561)</f>
        <v/>
      </c>
      <c r="E562" s="18"/>
    </row>
    <row r="563" customFormat="false" ht="15" hidden="false" customHeight="false" outlineLevel="0" collapsed="false">
      <c r="A563" s="25"/>
      <c r="B563" s="18"/>
      <c r="C563" s="18"/>
      <c r="D563" s="13" t="str">
        <f aca="false">IF(OR(B563="",B562="",563=3),"",B563-B562)</f>
        <v/>
      </c>
      <c r="E563" s="18"/>
    </row>
    <row r="564" customFormat="false" ht="15" hidden="false" customHeight="false" outlineLevel="0" collapsed="false">
      <c r="A564" s="25"/>
      <c r="B564" s="18"/>
      <c r="C564" s="18"/>
      <c r="D564" s="13" t="str">
        <f aca="false">IF(OR(B564="",B563="",564=3),"",B564-B563)</f>
        <v/>
      </c>
      <c r="E564" s="18"/>
    </row>
    <row r="565" customFormat="false" ht="15" hidden="false" customHeight="false" outlineLevel="0" collapsed="false">
      <c r="A565" s="25"/>
      <c r="B565" s="18"/>
      <c r="C565" s="18"/>
      <c r="D565" s="13" t="str">
        <f aca="false">IF(OR(B565="",B564="",565=3),"",B565-B564)</f>
        <v/>
      </c>
      <c r="E565" s="18"/>
    </row>
    <row r="566" customFormat="false" ht="15" hidden="false" customHeight="false" outlineLevel="0" collapsed="false">
      <c r="A566" s="25"/>
      <c r="B566" s="18"/>
      <c r="C566" s="18"/>
      <c r="D566" s="13" t="str">
        <f aca="false">IF(OR(B566="",B565="",566=3),"",B566-B565)</f>
        <v/>
      </c>
      <c r="E566" s="18"/>
    </row>
    <row r="567" customFormat="false" ht="15" hidden="false" customHeight="false" outlineLevel="0" collapsed="false">
      <c r="A567" s="25"/>
      <c r="B567" s="18"/>
      <c r="C567" s="18"/>
      <c r="D567" s="13" t="str">
        <f aca="false">IF(OR(B567="",B566="",567=3),"",B567-B566)</f>
        <v/>
      </c>
      <c r="E567" s="18"/>
    </row>
    <row r="568" customFormat="false" ht="15" hidden="false" customHeight="false" outlineLevel="0" collapsed="false">
      <c r="A568" s="25"/>
      <c r="B568" s="18"/>
      <c r="C568" s="18"/>
      <c r="D568" s="13" t="str">
        <f aca="false">IF(OR(B568="",B567="",568=3),"",B568-B567)</f>
        <v/>
      </c>
      <c r="E568" s="18"/>
    </row>
    <row r="569" customFormat="false" ht="15" hidden="false" customHeight="false" outlineLevel="0" collapsed="false">
      <c r="A569" s="25"/>
      <c r="B569" s="18"/>
      <c r="C569" s="18"/>
      <c r="D569" s="13" t="str">
        <f aca="false">IF(OR(B569="",B568="",569=3),"",B569-B568)</f>
        <v/>
      </c>
      <c r="E569" s="18"/>
    </row>
    <row r="570" customFormat="false" ht="15" hidden="false" customHeight="false" outlineLevel="0" collapsed="false">
      <c r="A570" s="25"/>
      <c r="B570" s="18"/>
      <c r="C570" s="18"/>
      <c r="D570" s="13" t="str">
        <f aca="false">IF(OR(B570="",B569="",570=3),"",B570-B569)</f>
        <v/>
      </c>
      <c r="E570" s="18"/>
    </row>
    <row r="571" customFormat="false" ht="15" hidden="false" customHeight="false" outlineLevel="0" collapsed="false">
      <c r="A571" s="25"/>
      <c r="B571" s="18"/>
      <c r="C571" s="18"/>
      <c r="D571" s="13" t="str">
        <f aca="false">IF(OR(B571="",B570="",571=3),"",B571-B570)</f>
        <v/>
      </c>
      <c r="E571" s="18"/>
    </row>
    <row r="572" customFormat="false" ht="15" hidden="false" customHeight="false" outlineLevel="0" collapsed="false">
      <c r="A572" s="25"/>
      <c r="B572" s="18"/>
      <c r="C572" s="18"/>
      <c r="D572" s="13" t="str">
        <f aca="false">IF(OR(B572="",B571="",572=3),"",B572-B571)</f>
        <v/>
      </c>
      <c r="E572" s="18"/>
    </row>
    <row r="573" customFormat="false" ht="15" hidden="false" customHeight="false" outlineLevel="0" collapsed="false">
      <c r="A573" s="25"/>
      <c r="B573" s="18"/>
      <c r="C573" s="18"/>
      <c r="D573" s="13" t="str">
        <f aca="false">IF(OR(B573="",B572="",573=3),"",B573-B572)</f>
        <v/>
      </c>
      <c r="E573" s="18"/>
    </row>
    <row r="574" customFormat="false" ht="15" hidden="false" customHeight="false" outlineLevel="0" collapsed="false">
      <c r="A574" s="25"/>
      <c r="B574" s="18"/>
      <c r="C574" s="18"/>
      <c r="D574" s="13" t="str">
        <f aca="false">IF(OR(B574="",B573="",574=3),"",B574-B573)</f>
        <v/>
      </c>
      <c r="E574" s="18"/>
    </row>
    <row r="575" customFormat="false" ht="15" hidden="false" customHeight="false" outlineLevel="0" collapsed="false">
      <c r="A575" s="25"/>
      <c r="B575" s="18"/>
      <c r="C575" s="18"/>
      <c r="D575" s="13" t="str">
        <f aca="false">IF(OR(B575="",B574="",575=3),"",B575-B574)</f>
        <v/>
      </c>
      <c r="E575" s="18"/>
    </row>
    <row r="576" customFormat="false" ht="15" hidden="false" customHeight="false" outlineLevel="0" collapsed="false">
      <c r="A576" s="25"/>
      <c r="B576" s="18"/>
      <c r="C576" s="18"/>
      <c r="D576" s="13" t="str">
        <f aca="false">IF(OR(B576="",B575="",576=3),"",B576-B575)</f>
        <v/>
      </c>
      <c r="E576" s="18"/>
    </row>
    <row r="577" customFormat="false" ht="15" hidden="false" customHeight="false" outlineLevel="0" collapsed="false">
      <c r="A577" s="25"/>
      <c r="B577" s="18"/>
      <c r="C577" s="18"/>
      <c r="D577" s="13" t="str">
        <f aca="false">IF(OR(B577="",B576="",577=3),"",B577-B576)</f>
        <v/>
      </c>
      <c r="E577" s="18"/>
    </row>
    <row r="578" customFormat="false" ht="15" hidden="false" customHeight="false" outlineLevel="0" collapsed="false">
      <c r="A578" s="25"/>
      <c r="B578" s="18"/>
      <c r="C578" s="18"/>
      <c r="D578" s="13" t="str">
        <f aca="false">IF(OR(B578="",B577="",578=3),"",B578-B577)</f>
        <v/>
      </c>
      <c r="E578" s="18"/>
    </row>
    <row r="579" customFormat="false" ht="15" hidden="false" customHeight="false" outlineLevel="0" collapsed="false">
      <c r="A579" s="25"/>
      <c r="B579" s="18"/>
      <c r="C579" s="18"/>
      <c r="D579" s="13" t="str">
        <f aca="false">IF(OR(B579="",B578="",579=3),"",B579-B578)</f>
        <v/>
      </c>
      <c r="E579" s="18"/>
    </row>
    <row r="580" customFormat="false" ht="15" hidden="false" customHeight="false" outlineLevel="0" collapsed="false">
      <c r="A580" s="25"/>
      <c r="B580" s="18"/>
      <c r="C580" s="18"/>
      <c r="D580" s="13" t="str">
        <f aca="false">IF(OR(B580="",B579="",580=3),"",B580-B579)</f>
        <v/>
      </c>
      <c r="E580" s="18"/>
    </row>
    <row r="581" customFormat="false" ht="15" hidden="false" customHeight="false" outlineLevel="0" collapsed="false">
      <c r="A581" s="25"/>
      <c r="B581" s="18"/>
      <c r="C581" s="18"/>
      <c r="D581" s="13" t="str">
        <f aca="false">IF(OR(B581="",B580="",581=3),"",B581-B580)</f>
        <v/>
      </c>
      <c r="E581" s="18"/>
    </row>
    <row r="582" customFormat="false" ht="15" hidden="false" customHeight="false" outlineLevel="0" collapsed="false">
      <c r="A582" s="25"/>
      <c r="B582" s="18"/>
      <c r="C582" s="18"/>
      <c r="D582" s="13" t="str">
        <f aca="false">IF(OR(B582="",B581="",582=3),"",B582-B581)</f>
        <v/>
      </c>
      <c r="E582" s="18"/>
    </row>
    <row r="583" customFormat="false" ht="15" hidden="false" customHeight="false" outlineLevel="0" collapsed="false">
      <c r="A583" s="25"/>
      <c r="B583" s="18"/>
      <c r="C583" s="18"/>
      <c r="D583" s="13" t="str">
        <f aca="false">IF(OR(B583="",B582="",583=3),"",B583-B582)</f>
        <v/>
      </c>
      <c r="E583" s="18"/>
    </row>
    <row r="584" customFormat="false" ht="15" hidden="false" customHeight="false" outlineLevel="0" collapsed="false">
      <c r="A584" s="25"/>
      <c r="B584" s="18"/>
      <c r="C584" s="18"/>
      <c r="D584" s="13" t="str">
        <f aca="false">IF(OR(B584="",B583="",584=3),"",B584-B583)</f>
        <v/>
      </c>
      <c r="E584" s="18"/>
    </row>
    <row r="585" customFormat="false" ht="15" hidden="false" customHeight="false" outlineLevel="0" collapsed="false">
      <c r="A585" s="25"/>
      <c r="B585" s="18"/>
      <c r="C585" s="18"/>
      <c r="D585" s="13" t="str">
        <f aca="false">IF(OR(B585="",B584="",585=3),"",B585-B584)</f>
        <v/>
      </c>
      <c r="E585" s="18"/>
    </row>
    <row r="586" customFormat="false" ht="15" hidden="false" customHeight="false" outlineLevel="0" collapsed="false">
      <c r="A586" s="25"/>
      <c r="B586" s="18"/>
      <c r="C586" s="18"/>
      <c r="D586" s="13" t="str">
        <f aca="false">IF(OR(B586="",B585="",586=3),"",B586-B585)</f>
        <v/>
      </c>
      <c r="E586" s="18"/>
    </row>
    <row r="587" customFormat="false" ht="15" hidden="false" customHeight="false" outlineLevel="0" collapsed="false">
      <c r="A587" s="25"/>
      <c r="B587" s="18"/>
      <c r="C587" s="18"/>
      <c r="D587" s="13" t="str">
        <f aca="false">IF(OR(B587="",B586="",587=3),"",B587-B586)</f>
        <v/>
      </c>
      <c r="E587" s="18"/>
    </row>
    <row r="588" customFormat="false" ht="15" hidden="false" customHeight="false" outlineLevel="0" collapsed="false">
      <c r="A588" s="25"/>
      <c r="B588" s="18"/>
      <c r="C588" s="18"/>
      <c r="D588" s="13" t="str">
        <f aca="false">IF(OR(B588="",B587="",588=3),"",B588-B587)</f>
        <v/>
      </c>
      <c r="E588" s="18"/>
    </row>
    <row r="589" customFormat="false" ht="15" hidden="false" customHeight="false" outlineLevel="0" collapsed="false">
      <c r="A589" s="25"/>
      <c r="B589" s="18"/>
      <c r="C589" s="18"/>
      <c r="D589" s="13" t="str">
        <f aca="false">IF(OR(B589="",B588="",589=3),"",B589-B588)</f>
        <v/>
      </c>
      <c r="E589" s="18"/>
    </row>
    <row r="590" customFormat="false" ht="15" hidden="false" customHeight="false" outlineLevel="0" collapsed="false">
      <c r="A590" s="25"/>
      <c r="B590" s="18"/>
      <c r="C590" s="18"/>
      <c r="D590" s="13" t="str">
        <f aca="false">IF(OR(B590="",B589="",590=3),"",B590-B589)</f>
        <v/>
      </c>
      <c r="E590" s="18"/>
    </row>
    <row r="591" customFormat="false" ht="15" hidden="false" customHeight="false" outlineLevel="0" collapsed="false">
      <c r="A591" s="25"/>
      <c r="B591" s="18"/>
      <c r="C591" s="18"/>
      <c r="D591" s="13" t="str">
        <f aca="false">IF(OR(B591="",B590="",591=3),"",B591-B590)</f>
        <v/>
      </c>
      <c r="E591" s="18"/>
    </row>
    <row r="592" customFormat="false" ht="15" hidden="false" customHeight="false" outlineLevel="0" collapsed="false">
      <c r="A592" s="25"/>
      <c r="B592" s="18"/>
      <c r="C592" s="18"/>
      <c r="D592" s="13" t="str">
        <f aca="false">IF(OR(B592="",B591="",592=3),"",B592-B591)</f>
        <v/>
      </c>
      <c r="E592" s="18"/>
    </row>
    <row r="593" customFormat="false" ht="15" hidden="false" customHeight="false" outlineLevel="0" collapsed="false">
      <c r="A593" s="25"/>
      <c r="B593" s="18"/>
      <c r="C593" s="18"/>
      <c r="D593" s="13" t="str">
        <f aca="false">IF(OR(B593="",B592="",593=3),"",B593-B592)</f>
        <v/>
      </c>
      <c r="E593" s="18"/>
    </row>
    <row r="594" customFormat="false" ht="15" hidden="false" customHeight="false" outlineLevel="0" collapsed="false">
      <c r="A594" s="25"/>
      <c r="B594" s="18"/>
      <c r="C594" s="18"/>
      <c r="D594" s="13" t="str">
        <f aca="false">IF(OR(B594="",B593="",594=3),"",B594-B593)</f>
        <v/>
      </c>
      <c r="E594" s="18"/>
    </row>
    <row r="595" customFormat="false" ht="15" hidden="false" customHeight="false" outlineLevel="0" collapsed="false">
      <c r="A595" s="25"/>
      <c r="B595" s="18"/>
      <c r="C595" s="18"/>
      <c r="D595" s="13" t="str">
        <f aca="false">IF(OR(B595="",B594="",595=3),"",B595-B594)</f>
        <v/>
      </c>
      <c r="E595" s="18"/>
    </row>
    <row r="596" customFormat="false" ht="15" hidden="false" customHeight="false" outlineLevel="0" collapsed="false">
      <c r="A596" s="25"/>
      <c r="B596" s="18"/>
      <c r="C596" s="18"/>
      <c r="D596" s="13" t="str">
        <f aca="false">IF(OR(B596="",B595="",596=3),"",B596-B595)</f>
        <v/>
      </c>
      <c r="E596" s="18"/>
    </row>
    <row r="597" customFormat="false" ht="15" hidden="false" customHeight="false" outlineLevel="0" collapsed="false">
      <c r="A597" s="25"/>
      <c r="B597" s="18"/>
      <c r="C597" s="18"/>
      <c r="D597" s="13" t="str">
        <f aca="false">IF(OR(B597="",B596="",597=3),"",B597-B596)</f>
        <v/>
      </c>
      <c r="E597" s="18"/>
    </row>
    <row r="598" customFormat="false" ht="15" hidden="false" customHeight="false" outlineLevel="0" collapsed="false">
      <c r="A598" s="25"/>
      <c r="B598" s="18"/>
      <c r="C598" s="18"/>
      <c r="D598" s="13" t="str">
        <f aca="false">IF(OR(B598="",B597="",598=3),"",B598-B597)</f>
        <v/>
      </c>
      <c r="E598" s="18"/>
    </row>
    <row r="599" customFormat="false" ht="15" hidden="false" customHeight="false" outlineLevel="0" collapsed="false">
      <c r="A599" s="25"/>
      <c r="B599" s="18"/>
      <c r="C599" s="18"/>
      <c r="D599" s="13" t="str">
        <f aca="false">IF(OR(B599="",B598="",599=3),"",B599-B598)</f>
        <v/>
      </c>
      <c r="E599" s="18"/>
    </row>
    <row r="600" customFormat="false" ht="15" hidden="false" customHeight="false" outlineLevel="0" collapsed="false">
      <c r="A600" s="25"/>
      <c r="B600" s="18"/>
      <c r="C600" s="18"/>
      <c r="D600" s="13" t="str">
        <f aca="false">IF(OR(B600="",B599="",600=3),"",B600-B599)</f>
        <v/>
      </c>
      <c r="E600" s="18"/>
    </row>
    <row r="601" customFormat="false" ht="15" hidden="false" customHeight="false" outlineLevel="0" collapsed="false">
      <c r="A601" s="25"/>
      <c r="B601" s="18"/>
      <c r="C601" s="18"/>
      <c r="D601" s="13" t="str">
        <f aca="false">IF(OR(B601="",B600="",601=3),"",B601-B600)</f>
        <v/>
      </c>
      <c r="E601" s="18"/>
    </row>
    <row r="602" customFormat="false" ht="15" hidden="false" customHeight="false" outlineLevel="0" collapsed="false">
      <c r="A602" s="25"/>
      <c r="B602" s="18"/>
      <c r="C602" s="18"/>
      <c r="D602" s="13" t="str">
        <f aca="false">IF(OR(B602="",B601="",602=3),"",B602-B601)</f>
        <v/>
      </c>
      <c r="E602" s="18"/>
    </row>
    <row r="603" customFormat="false" ht="15" hidden="false" customHeight="false" outlineLevel="0" collapsed="false">
      <c r="A603" s="25"/>
      <c r="B603" s="18"/>
      <c r="C603" s="18"/>
      <c r="D603" s="13" t="str">
        <f aca="false">IF(OR(B603="",B602="",603=3),"",B603-B602)</f>
        <v/>
      </c>
      <c r="E603" s="18"/>
    </row>
    <row r="604" customFormat="false" ht="15" hidden="false" customHeight="false" outlineLevel="0" collapsed="false">
      <c r="A604" s="25"/>
      <c r="B604" s="18"/>
      <c r="C604" s="18"/>
      <c r="D604" s="13" t="str">
        <f aca="false">IF(OR(B604="",B603="",604=3),"",B604-B603)</f>
        <v/>
      </c>
      <c r="E604" s="18"/>
    </row>
    <row r="605" customFormat="false" ht="15" hidden="false" customHeight="false" outlineLevel="0" collapsed="false">
      <c r="A605" s="25"/>
      <c r="B605" s="18"/>
      <c r="C605" s="18"/>
      <c r="D605" s="13" t="str">
        <f aca="false">IF(OR(B605="",B604="",605=3),"",B605-B604)</f>
        <v/>
      </c>
      <c r="E605" s="18"/>
    </row>
    <row r="606" customFormat="false" ht="15" hidden="false" customHeight="false" outlineLevel="0" collapsed="false">
      <c r="A606" s="25"/>
      <c r="B606" s="18"/>
      <c r="C606" s="18"/>
      <c r="D606" s="13" t="str">
        <f aca="false">IF(OR(B606="",B605="",606=3),"",B606-B605)</f>
        <v/>
      </c>
      <c r="E606" s="18"/>
    </row>
    <row r="607" customFormat="false" ht="15" hidden="false" customHeight="false" outlineLevel="0" collapsed="false">
      <c r="A607" s="25"/>
      <c r="B607" s="18"/>
      <c r="C607" s="18"/>
      <c r="D607" s="13" t="str">
        <f aca="false">IF(OR(B607="",B606="",607=3),"",B607-B606)</f>
        <v/>
      </c>
      <c r="E607" s="18"/>
    </row>
    <row r="608" customFormat="false" ht="15" hidden="false" customHeight="false" outlineLevel="0" collapsed="false">
      <c r="A608" s="25"/>
      <c r="B608" s="18"/>
      <c r="C608" s="18"/>
      <c r="D608" s="13" t="str">
        <f aca="false">IF(OR(B608="",B607="",608=3),"",B608-B607)</f>
        <v/>
      </c>
      <c r="E608" s="18"/>
    </row>
    <row r="609" customFormat="false" ht="15" hidden="false" customHeight="false" outlineLevel="0" collapsed="false">
      <c r="A609" s="25"/>
      <c r="B609" s="18"/>
      <c r="C609" s="18"/>
      <c r="D609" s="13" t="str">
        <f aca="false">IF(OR(B609="",B608="",609=3),"",B609-B608)</f>
        <v/>
      </c>
      <c r="E609" s="18"/>
    </row>
    <row r="610" customFormat="false" ht="15" hidden="false" customHeight="false" outlineLevel="0" collapsed="false">
      <c r="A610" s="25"/>
      <c r="B610" s="18"/>
      <c r="C610" s="18"/>
      <c r="D610" s="13" t="str">
        <f aca="false">IF(OR(B610="",B609="",610=3),"",B610-B609)</f>
        <v/>
      </c>
      <c r="E610" s="18"/>
    </row>
    <row r="611" customFormat="false" ht="15" hidden="false" customHeight="false" outlineLevel="0" collapsed="false">
      <c r="A611" s="25"/>
      <c r="B611" s="18"/>
      <c r="C611" s="18"/>
      <c r="D611" s="13" t="str">
        <f aca="false">IF(OR(B611="",B610="",611=3),"",B611-B610)</f>
        <v/>
      </c>
      <c r="E611" s="18"/>
    </row>
    <row r="612" customFormat="false" ht="15" hidden="false" customHeight="false" outlineLevel="0" collapsed="false">
      <c r="A612" s="25"/>
      <c r="B612" s="18"/>
      <c r="C612" s="18"/>
      <c r="D612" s="13" t="str">
        <f aca="false">IF(OR(B612="",B611="",612=3),"",B612-B611)</f>
        <v/>
      </c>
      <c r="E612" s="18"/>
    </row>
    <row r="613" customFormat="false" ht="15" hidden="false" customHeight="false" outlineLevel="0" collapsed="false">
      <c r="A613" s="25"/>
      <c r="B613" s="18"/>
      <c r="C613" s="18"/>
      <c r="D613" s="13" t="str">
        <f aca="false">IF(OR(B613="",B612="",613=3),"",B613-B612)</f>
        <v/>
      </c>
      <c r="E613" s="18"/>
    </row>
    <row r="614" customFormat="false" ht="15" hidden="false" customHeight="false" outlineLevel="0" collapsed="false">
      <c r="A614" s="25"/>
      <c r="B614" s="18"/>
      <c r="C614" s="18"/>
      <c r="D614" s="13" t="str">
        <f aca="false">IF(OR(B614="",B613="",614=3),"",B614-B613)</f>
        <v/>
      </c>
      <c r="E614" s="18"/>
    </row>
    <row r="615" customFormat="false" ht="15" hidden="false" customHeight="false" outlineLevel="0" collapsed="false">
      <c r="A615" s="25"/>
      <c r="B615" s="18"/>
      <c r="C615" s="18"/>
      <c r="D615" s="13" t="str">
        <f aca="false">IF(OR(B615="",B614="",615=3),"",B615-B614)</f>
        <v/>
      </c>
      <c r="E615" s="18"/>
    </row>
    <row r="616" customFormat="false" ht="15" hidden="false" customHeight="false" outlineLevel="0" collapsed="false">
      <c r="A616" s="25"/>
      <c r="B616" s="18"/>
      <c r="C616" s="18"/>
      <c r="D616" s="13" t="str">
        <f aca="false">IF(OR(B616="",B615="",616=3),"",B616-B615)</f>
        <v/>
      </c>
      <c r="E616" s="18"/>
    </row>
    <row r="617" customFormat="false" ht="15" hidden="false" customHeight="false" outlineLevel="0" collapsed="false">
      <c r="A617" s="25"/>
      <c r="B617" s="18"/>
      <c r="C617" s="18"/>
      <c r="D617" s="13" t="str">
        <f aca="false">IF(OR(B617="",B616="",617=3),"",B617-B616)</f>
        <v/>
      </c>
      <c r="E617" s="18"/>
    </row>
    <row r="618" customFormat="false" ht="15" hidden="false" customHeight="false" outlineLevel="0" collapsed="false">
      <c r="A618" s="25"/>
      <c r="B618" s="18"/>
      <c r="C618" s="18"/>
      <c r="D618" s="13" t="str">
        <f aca="false">IF(OR(B618="",B617="",618=3),"",B618-B617)</f>
        <v/>
      </c>
      <c r="E618" s="18"/>
    </row>
    <row r="619" customFormat="false" ht="15" hidden="false" customHeight="false" outlineLevel="0" collapsed="false">
      <c r="A619" s="25"/>
      <c r="B619" s="18"/>
      <c r="C619" s="18"/>
      <c r="D619" s="13" t="str">
        <f aca="false">IF(OR(B619="",B618="",619=3),"",B619-B618)</f>
        <v/>
      </c>
      <c r="E619" s="18"/>
    </row>
    <row r="620" customFormat="false" ht="15" hidden="false" customHeight="false" outlineLevel="0" collapsed="false">
      <c r="A620" s="25"/>
      <c r="B620" s="18"/>
      <c r="C620" s="18"/>
      <c r="D620" s="13" t="str">
        <f aca="false">IF(OR(B620="",B619="",620=3),"",B620-B619)</f>
        <v/>
      </c>
      <c r="E620" s="18"/>
    </row>
    <row r="621" customFormat="false" ht="15" hidden="false" customHeight="false" outlineLevel="0" collapsed="false">
      <c r="A621" s="25"/>
      <c r="B621" s="18"/>
      <c r="C621" s="18"/>
      <c r="D621" s="13" t="str">
        <f aca="false">IF(OR(B621="",B620="",621=3),"",B621-B620)</f>
        <v/>
      </c>
      <c r="E621" s="18"/>
    </row>
    <row r="622" customFormat="false" ht="15" hidden="false" customHeight="false" outlineLevel="0" collapsed="false">
      <c r="A622" s="25"/>
      <c r="B622" s="18"/>
      <c r="C622" s="18"/>
      <c r="D622" s="13" t="str">
        <f aca="false">IF(OR(B622="",B621="",622=3),"",B622-B621)</f>
        <v/>
      </c>
      <c r="E622" s="18"/>
    </row>
    <row r="623" customFormat="false" ht="15" hidden="false" customHeight="false" outlineLevel="0" collapsed="false">
      <c r="A623" s="25"/>
      <c r="B623" s="18"/>
      <c r="C623" s="18"/>
      <c r="D623" s="13" t="str">
        <f aca="false">IF(OR(B623="",B622="",623=3),"",B623-B622)</f>
        <v/>
      </c>
      <c r="E623" s="18"/>
    </row>
    <row r="624" customFormat="false" ht="15" hidden="false" customHeight="false" outlineLevel="0" collapsed="false">
      <c r="A624" s="25"/>
      <c r="B624" s="18"/>
      <c r="C624" s="18"/>
      <c r="D624" s="13" t="str">
        <f aca="false">IF(OR(B624="",B623="",624=3),"",B624-B623)</f>
        <v/>
      </c>
      <c r="E624" s="18"/>
    </row>
    <row r="625" customFormat="false" ht="15" hidden="false" customHeight="false" outlineLevel="0" collapsed="false">
      <c r="A625" s="25"/>
      <c r="B625" s="18"/>
      <c r="C625" s="18"/>
      <c r="D625" s="13" t="str">
        <f aca="false">IF(OR(B625="",B624="",625=3),"",B625-B624)</f>
        <v/>
      </c>
      <c r="E625" s="18"/>
    </row>
    <row r="626" customFormat="false" ht="15" hidden="false" customHeight="false" outlineLevel="0" collapsed="false">
      <c r="A626" s="25"/>
      <c r="B626" s="18"/>
      <c r="C626" s="18"/>
      <c r="D626" s="13" t="str">
        <f aca="false">IF(OR(B626="",B625="",626=3),"",B626-B625)</f>
        <v/>
      </c>
      <c r="E626" s="18"/>
    </row>
    <row r="627" customFormat="false" ht="15" hidden="false" customHeight="false" outlineLevel="0" collapsed="false">
      <c r="A627" s="25"/>
      <c r="B627" s="18"/>
      <c r="C627" s="18"/>
      <c r="D627" s="13" t="str">
        <f aca="false">IF(OR(B627="",B626="",627=3),"",B627-B626)</f>
        <v/>
      </c>
      <c r="E627" s="18"/>
    </row>
    <row r="628" customFormat="false" ht="15" hidden="false" customHeight="false" outlineLevel="0" collapsed="false">
      <c r="A628" s="25"/>
      <c r="B628" s="18"/>
      <c r="C628" s="18"/>
      <c r="D628" s="13" t="str">
        <f aca="false">IF(OR(B628="",B627="",628=3),"",B628-B627)</f>
        <v/>
      </c>
      <c r="E628" s="18"/>
    </row>
    <row r="629" customFormat="false" ht="15" hidden="false" customHeight="false" outlineLevel="0" collapsed="false">
      <c r="A629" s="25"/>
      <c r="B629" s="18"/>
      <c r="C629" s="18"/>
      <c r="D629" s="13" t="str">
        <f aca="false">IF(OR(B629="",B628="",629=3),"",B629-B628)</f>
        <v/>
      </c>
      <c r="E629" s="18"/>
    </row>
    <row r="630" customFormat="false" ht="15" hidden="false" customHeight="false" outlineLevel="0" collapsed="false">
      <c r="A630" s="25"/>
      <c r="B630" s="18"/>
      <c r="C630" s="18"/>
      <c r="D630" s="13" t="str">
        <f aca="false">IF(OR(B630="",B629="",630=3),"",B630-B629)</f>
        <v/>
      </c>
      <c r="E630" s="18"/>
    </row>
    <row r="631" customFormat="false" ht="15" hidden="false" customHeight="false" outlineLevel="0" collapsed="false">
      <c r="A631" s="25"/>
      <c r="B631" s="18"/>
      <c r="C631" s="18"/>
      <c r="D631" s="13" t="str">
        <f aca="false">IF(OR(B631="",B630="",631=3),"",B631-B630)</f>
        <v/>
      </c>
      <c r="E631" s="18"/>
    </row>
    <row r="632" customFormat="false" ht="15" hidden="false" customHeight="false" outlineLevel="0" collapsed="false">
      <c r="A632" s="25"/>
      <c r="B632" s="18"/>
      <c r="C632" s="18"/>
      <c r="D632" s="13" t="str">
        <f aca="false">IF(OR(B632="",B631="",632=3),"",B632-B631)</f>
        <v/>
      </c>
      <c r="E632" s="18"/>
    </row>
    <row r="633" customFormat="false" ht="15" hidden="false" customHeight="false" outlineLevel="0" collapsed="false">
      <c r="A633" s="25"/>
      <c r="B633" s="18"/>
      <c r="C633" s="18"/>
      <c r="D633" s="13" t="str">
        <f aca="false">IF(OR(B633="",B632="",633=3),"",B633-B632)</f>
        <v/>
      </c>
      <c r="E633" s="18"/>
    </row>
    <row r="634" customFormat="false" ht="15" hidden="false" customHeight="false" outlineLevel="0" collapsed="false">
      <c r="A634" s="25"/>
      <c r="B634" s="18"/>
      <c r="C634" s="18"/>
      <c r="D634" s="13" t="str">
        <f aca="false">IF(OR(B634="",B633="",634=3),"",B634-B633)</f>
        <v/>
      </c>
      <c r="E634" s="18"/>
    </row>
    <row r="635" customFormat="false" ht="15" hidden="false" customHeight="false" outlineLevel="0" collapsed="false">
      <c r="A635" s="25"/>
      <c r="B635" s="18"/>
      <c r="C635" s="18"/>
      <c r="D635" s="13" t="str">
        <f aca="false">IF(OR(B635="",B634="",635=3),"",B635-B634)</f>
        <v/>
      </c>
      <c r="E635" s="18"/>
    </row>
    <row r="636" customFormat="false" ht="15" hidden="false" customHeight="false" outlineLevel="0" collapsed="false">
      <c r="A636" s="25"/>
      <c r="B636" s="18"/>
      <c r="C636" s="18"/>
      <c r="D636" s="13" t="str">
        <f aca="false">IF(OR(B636="",B635="",636=3),"",B636-B635)</f>
        <v/>
      </c>
      <c r="E636" s="18"/>
    </row>
    <row r="637" customFormat="false" ht="15" hidden="false" customHeight="false" outlineLevel="0" collapsed="false">
      <c r="A637" s="25"/>
      <c r="B637" s="18"/>
      <c r="C637" s="18"/>
      <c r="D637" s="13" t="str">
        <f aca="false">IF(OR(B637="",B636="",637=3),"",B637-B636)</f>
        <v/>
      </c>
      <c r="E637" s="18"/>
    </row>
    <row r="638" customFormat="false" ht="15" hidden="false" customHeight="false" outlineLevel="0" collapsed="false">
      <c r="A638" s="25"/>
      <c r="B638" s="18"/>
      <c r="C638" s="18"/>
      <c r="D638" s="13" t="str">
        <f aca="false">IF(OR(B638="",B637="",638=3),"",B638-B637)</f>
        <v/>
      </c>
      <c r="E638" s="18"/>
    </row>
    <row r="639" customFormat="false" ht="15" hidden="false" customHeight="false" outlineLevel="0" collapsed="false">
      <c r="A639" s="25"/>
      <c r="B639" s="18"/>
      <c r="C639" s="18"/>
      <c r="D639" s="13" t="str">
        <f aca="false">IF(OR(B639="",B638="",639=3),"",B639-B638)</f>
        <v/>
      </c>
      <c r="E639" s="18"/>
    </row>
    <row r="640" customFormat="false" ht="15" hidden="false" customHeight="false" outlineLevel="0" collapsed="false">
      <c r="A640" s="25"/>
      <c r="B640" s="18"/>
      <c r="C640" s="18"/>
      <c r="D640" s="13" t="str">
        <f aca="false">IF(OR(B640="",B639="",640=3),"",B640-B639)</f>
        <v/>
      </c>
      <c r="E640" s="18"/>
    </row>
    <row r="641" customFormat="false" ht="15" hidden="false" customHeight="false" outlineLevel="0" collapsed="false">
      <c r="A641" s="25"/>
      <c r="B641" s="18"/>
      <c r="C641" s="18"/>
      <c r="D641" s="13" t="str">
        <f aca="false">IF(OR(B641="",B640="",641=3),"",B641-B640)</f>
        <v/>
      </c>
      <c r="E641" s="18"/>
    </row>
    <row r="642" customFormat="false" ht="15" hidden="false" customHeight="false" outlineLevel="0" collapsed="false">
      <c r="A642" s="25"/>
      <c r="B642" s="18"/>
      <c r="C642" s="18"/>
      <c r="D642" s="13" t="str">
        <f aca="false">IF(OR(B642="",B641="",642=3),"",B642-B641)</f>
        <v/>
      </c>
      <c r="E642" s="18"/>
    </row>
    <row r="643" customFormat="false" ht="15" hidden="false" customHeight="false" outlineLevel="0" collapsed="false">
      <c r="A643" s="25"/>
      <c r="B643" s="18"/>
      <c r="C643" s="18"/>
      <c r="D643" s="13" t="str">
        <f aca="false">IF(OR(B643="",B642="",643=3),"",B643-B642)</f>
        <v/>
      </c>
      <c r="E643" s="18"/>
    </row>
    <row r="644" customFormat="false" ht="15" hidden="false" customHeight="false" outlineLevel="0" collapsed="false">
      <c r="A644" s="25"/>
      <c r="B644" s="18"/>
      <c r="C644" s="18"/>
      <c r="D644" s="13" t="str">
        <f aca="false">IF(OR(B644="",B643="",644=3),"",B644-B643)</f>
        <v/>
      </c>
      <c r="E644" s="18"/>
    </row>
    <row r="645" customFormat="false" ht="15" hidden="false" customHeight="false" outlineLevel="0" collapsed="false">
      <c r="A645" s="25"/>
      <c r="B645" s="18"/>
      <c r="C645" s="18"/>
      <c r="D645" s="13" t="str">
        <f aca="false">IF(OR(B645="",B644="",645=3),"",B645-B644)</f>
        <v/>
      </c>
      <c r="E645" s="18"/>
    </row>
    <row r="646" customFormat="false" ht="15" hidden="false" customHeight="false" outlineLevel="0" collapsed="false">
      <c r="A646" s="25"/>
      <c r="B646" s="18"/>
      <c r="C646" s="18"/>
      <c r="D646" s="13" t="str">
        <f aca="false">IF(OR(B646="",B645="",646=3),"",B646-B645)</f>
        <v/>
      </c>
      <c r="E646" s="18"/>
    </row>
    <row r="647" customFormat="false" ht="15" hidden="false" customHeight="false" outlineLevel="0" collapsed="false">
      <c r="A647" s="25"/>
      <c r="B647" s="18"/>
      <c r="C647" s="18"/>
      <c r="D647" s="13" t="str">
        <f aca="false">IF(OR(B647="",B646="",647=3),"",B647-B646)</f>
        <v/>
      </c>
      <c r="E647" s="18"/>
    </row>
    <row r="648" customFormat="false" ht="15" hidden="false" customHeight="false" outlineLevel="0" collapsed="false">
      <c r="A648" s="25"/>
      <c r="B648" s="18"/>
      <c r="C648" s="18"/>
      <c r="D648" s="13" t="str">
        <f aca="false">IF(OR(B648="",B647="",648=3),"",B648-B647)</f>
        <v/>
      </c>
      <c r="E648" s="18"/>
    </row>
    <row r="649" customFormat="false" ht="15" hidden="false" customHeight="false" outlineLevel="0" collapsed="false">
      <c r="A649" s="25"/>
      <c r="B649" s="18"/>
      <c r="C649" s="18"/>
      <c r="D649" s="13" t="str">
        <f aca="false">IF(OR(B649="",B648="",649=3),"",B649-B648)</f>
        <v/>
      </c>
      <c r="E649" s="18"/>
    </row>
    <row r="650" customFormat="false" ht="15" hidden="false" customHeight="false" outlineLevel="0" collapsed="false">
      <c r="A650" s="25"/>
      <c r="B650" s="18"/>
      <c r="C650" s="18"/>
      <c r="D650" s="13" t="str">
        <f aca="false">IF(OR(B650="",B649="",650=3),"",B650-B649)</f>
        <v/>
      </c>
      <c r="E650" s="18"/>
    </row>
    <row r="651" customFormat="false" ht="15" hidden="false" customHeight="false" outlineLevel="0" collapsed="false">
      <c r="A651" s="25"/>
      <c r="B651" s="18"/>
      <c r="C651" s="18"/>
      <c r="D651" s="13" t="str">
        <f aca="false">IF(OR(B651="",B650="",651=3),"",B651-B650)</f>
        <v/>
      </c>
      <c r="E651" s="18"/>
    </row>
    <row r="652" customFormat="false" ht="15" hidden="false" customHeight="false" outlineLevel="0" collapsed="false">
      <c r="A652" s="25"/>
      <c r="B652" s="18"/>
      <c r="C652" s="18"/>
      <c r="D652" s="13" t="str">
        <f aca="false">IF(OR(B652="",B651="",652=3),"",B652-B651)</f>
        <v/>
      </c>
      <c r="E652" s="18"/>
    </row>
    <row r="653" customFormat="false" ht="15" hidden="false" customHeight="false" outlineLevel="0" collapsed="false">
      <c r="A653" s="25"/>
      <c r="B653" s="18"/>
      <c r="C653" s="18"/>
      <c r="D653" s="13" t="str">
        <f aca="false">IF(OR(B653="",B652="",653=3),"",B653-B652)</f>
        <v/>
      </c>
      <c r="E653" s="18"/>
    </row>
    <row r="654" customFormat="false" ht="15" hidden="false" customHeight="false" outlineLevel="0" collapsed="false">
      <c r="A654" s="25"/>
      <c r="B654" s="18"/>
      <c r="C654" s="18"/>
      <c r="D654" s="13" t="str">
        <f aca="false">IF(OR(B654="",B653="",654=3),"",B654-B653)</f>
        <v/>
      </c>
      <c r="E654" s="18"/>
    </row>
    <row r="655" customFormat="false" ht="15" hidden="false" customHeight="false" outlineLevel="0" collapsed="false">
      <c r="A655" s="25"/>
      <c r="B655" s="18"/>
      <c r="C655" s="18"/>
      <c r="D655" s="13" t="str">
        <f aca="false">IF(OR(B655="",B654="",655=3),"",B655-B654)</f>
        <v/>
      </c>
      <c r="E655" s="18"/>
    </row>
    <row r="656" customFormat="false" ht="15" hidden="false" customHeight="false" outlineLevel="0" collapsed="false">
      <c r="A656" s="25"/>
      <c r="B656" s="18"/>
      <c r="C656" s="18"/>
      <c r="D656" s="13" t="str">
        <f aca="false">IF(OR(B656="",B655="",656=3),"",B656-B655)</f>
        <v/>
      </c>
      <c r="E656" s="18"/>
    </row>
    <row r="657" customFormat="false" ht="15" hidden="false" customHeight="false" outlineLevel="0" collapsed="false">
      <c r="A657" s="25"/>
      <c r="B657" s="18"/>
      <c r="C657" s="18"/>
      <c r="D657" s="13" t="str">
        <f aca="false">IF(OR(B657="",B656="",657=3),"",B657-B656)</f>
        <v/>
      </c>
      <c r="E657" s="18"/>
    </row>
    <row r="658" customFormat="false" ht="15" hidden="false" customHeight="false" outlineLevel="0" collapsed="false">
      <c r="A658" s="25"/>
      <c r="B658" s="18"/>
      <c r="C658" s="18"/>
      <c r="D658" s="13" t="str">
        <f aca="false">IF(OR(B658="",B657="",658=3),"",B658-B657)</f>
        <v/>
      </c>
      <c r="E658" s="18"/>
    </row>
    <row r="659" customFormat="false" ht="15" hidden="false" customHeight="false" outlineLevel="0" collapsed="false">
      <c r="A659" s="25"/>
      <c r="B659" s="18"/>
      <c r="C659" s="18"/>
      <c r="D659" s="13" t="str">
        <f aca="false">IF(OR(B659="",B658="",659=3),"",B659-B658)</f>
        <v/>
      </c>
      <c r="E659" s="18"/>
    </row>
    <row r="660" customFormat="false" ht="15" hidden="false" customHeight="false" outlineLevel="0" collapsed="false">
      <c r="A660" s="25"/>
      <c r="B660" s="18"/>
      <c r="C660" s="18"/>
      <c r="D660" s="13" t="str">
        <f aca="false">IF(OR(B660="",B659="",660=3),"",B660-B659)</f>
        <v/>
      </c>
      <c r="E660" s="18"/>
    </row>
    <row r="661" customFormat="false" ht="15" hidden="false" customHeight="false" outlineLevel="0" collapsed="false">
      <c r="A661" s="25"/>
      <c r="B661" s="18"/>
      <c r="C661" s="18"/>
      <c r="D661" s="13" t="str">
        <f aca="false">IF(OR(B661="",B660="",661=3),"",B661-B660)</f>
        <v/>
      </c>
      <c r="E661" s="18"/>
    </row>
    <row r="662" customFormat="false" ht="15" hidden="false" customHeight="false" outlineLevel="0" collapsed="false">
      <c r="A662" s="25"/>
      <c r="B662" s="18"/>
      <c r="C662" s="18"/>
      <c r="D662" s="13" t="str">
        <f aca="false">IF(OR(B662="",B661="",662=3),"",B662-B661)</f>
        <v/>
      </c>
      <c r="E662" s="18"/>
    </row>
    <row r="663" customFormat="false" ht="15" hidden="false" customHeight="false" outlineLevel="0" collapsed="false">
      <c r="A663" s="25"/>
      <c r="B663" s="18"/>
      <c r="C663" s="18"/>
      <c r="D663" s="13" t="str">
        <f aca="false">IF(OR(B663="",B662="",663=3),"",B663-B662)</f>
        <v/>
      </c>
      <c r="E663" s="18"/>
    </row>
    <row r="664" customFormat="false" ht="15" hidden="false" customHeight="false" outlineLevel="0" collapsed="false">
      <c r="A664" s="25"/>
      <c r="B664" s="18"/>
      <c r="C664" s="18"/>
      <c r="D664" s="13" t="str">
        <f aca="false">IF(OR(B664="",B663="",664=3),"",B664-B663)</f>
        <v/>
      </c>
      <c r="E664" s="18"/>
    </row>
    <row r="665" customFormat="false" ht="15" hidden="false" customHeight="false" outlineLevel="0" collapsed="false">
      <c r="A665" s="25"/>
      <c r="B665" s="18"/>
      <c r="C665" s="18"/>
      <c r="D665" s="13" t="str">
        <f aca="false">IF(OR(B665="",B664="",665=3),"",B665-B664)</f>
        <v/>
      </c>
      <c r="E665" s="18"/>
    </row>
    <row r="666" customFormat="false" ht="15" hidden="false" customHeight="false" outlineLevel="0" collapsed="false">
      <c r="A666" s="25"/>
      <c r="B666" s="18"/>
      <c r="C666" s="18"/>
      <c r="D666" s="13" t="str">
        <f aca="false">IF(OR(B666="",B665="",666=3),"",B666-B665)</f>
        <v/>
      </c>
      <c r="E666" s="18"/>
    </row>
    <row r="667" customFormat="false" ht="15" hidden="false" customHeight="false" outlineLevel="0" collapsed="false">
      <c r="A667" s="25"/>
      <c r="B667" s="18"/>
      <c r="C667" s="18"/>
      <c r="D667" s="13" t="str">
        <f aca="false">IF(OR(B667="",B666="",667=3),"",B667-B666)</f>
        <v/>
      </c>
      <c r="E667" s="18"/>
    </row>
    <row r="668" customFormat="false" ht="15" hidden="false" customHeight="false" outlineLevel="0" collapsed="false">
      <c r="A668" s="25"/>
      <c r="B668" s="18"/>
      <c r="C668" s="18"/>
      <c r="D668" s="13" t="str">
        <f aca="false">IF(OR(B668="",B667="",668=3),"",B668-B667)</f>
        <v/>
      </c>
      <c r="E668" s="18"/>
    </row>
    <row r="669" customFormat="false" ht="15" hidden="false" customHeight="false" outlineLevel="0" collapsed="false">
      <c r="A669" s="25"/>
      <c r="B669" s="18"/>
      <c r="C669" s="18"/>
      <c r="D669" s="13" t="str">
        <f aca="false">IF(OR(B669="",B668="",669=3),"",B669-B668)</f>
        <v/>
      </c>
      <c r="E669" s="18"/>
    </row>
    <row r="670" customFormat="false" ht="15" hidden="false" customHeight="false" outlineLevel="0" collapsed="false">
      <c r="A670" s="25"/>
      <c r="B670" s="18"/>
      <c r="C670" s="18"/>
      <c r="D670" s="13" t="str">
        <f aca="false">IF(OR(B670="",B669="",670=3),"",B670-B669)</f>
        <v/>
      </c>
      <c r="E670" s="18"/>
    </row>
    <row r="671" customFormat="false" ht="15" hidden="false" customHeight="false" outlineLevel="0" collapsed="false">
      <c r="A671" s="25"/>
      <c r="B671" s="18"/>
      <c r="C671" s="18"/>
      <c r="D671" s="13" t="str">
        <f aca="false">IF(OR(B671="",B670="",671=3),"",B671-B670)</f>
        <v/>
      </c>
      <c r="E671" s="18"/>
    </row>
    <row r="672" customFormat="false" ht="15" hidden="false" customHeight="false" outlineLevel="0" collapsed="false">
      <c r="A672" s="25"/>
      <c r="B672" s="18"/>
      <c r="C672" s="18"/>
      <c r="D672" s="13" t="str">
        <f aca="false">IF(OR(B672="",B671="",672=3),"",B672-B671)</f>
        <v/>
      </c>
      <c r="E672" s="18"/>
    </row>
    <row r="673" customFormat="false" ht="15" hidden="false" customHeight="false" outlineLevel="0" collapsed="false">
      <c r="A673" s="25"/>
      <c r="B673" s="18"/>
      <c r="C673" s="18"/>
      <c r="D673" s="13" t="str">
        <f aca="false">IF(OR(B673="",B672="",673=3),"",B673-B672)</f>
        <v/>
      </c>
      <c r="E673" s="18"/>
    </row>
    <row r="674" customFormat="false" ht="15" hidden="false" customHeight="false" outlineLevel="0" collapsed="false">
      <c r="A674" s="25"/>
      <c r="B674" s="18"/>
      <c r="C674" s="18"/>
      <c r="D674" s="13" t="str">
        <f aca="false">IF(OR(B674="",B673="",674=3),"",B674-B673)</f>
        <v/>
      </c>
      <c r="E674" s="18"/>
    </row>
    <row r="675" customFormat="false" ht="15" hidden="false" customHeight="false" outlineLevel="0" collapsed="false">
      <c r="A675" s="25"/>
      <c r="B675" s="18"/>
      <c r="C675" s="18"/>
      <c r="D675" s="13" t="str">
        <f aca="false">IF(OR(B675="",B674="",675=3),"",B675-B674)</f>
        <v/>
      </c>
      <c r="E675" s="18"/>
    </row>
    <row r="676" customFormat="false" ht="15" hidden="false" customHeight="false" outlineLevel="0" collapsed="false">
      <c r="A676" s="25"/>
      <c r="B676" s="18"/>
      <c r="C676" s="18"/>
      <c r="D676" s="13" t="str">
        <f aca="false">IF(OR(B676="",B675="",676=3),"",B676-B675)</f>
        <v/>
      </c>
      <c r="E676" s="18"/>
    </row>
    <row r="677" customFormat="false" ht="15" hidden="false" customHeight="false" outlineLevel="0" collapsed="false">
      <c r="A677" s="25"/>
      <c r="B677" s="18"/>
      <c r="C677" s="18"/>
      <c r="D677" s="13" t="str">
        <f aca="false">IF(OR(B677="",B676="",677=3),"",B677-B676)</f>
        <v/>
      </c>
      <c r="E677" s="18"/>
    </row>
    <row r="678" customFormat="false" ht="15" hidden="false" customHeight="false" outlineLevel="0" collapsed="false">
      <c r="A678" s="25"/>
      <c r="B678" s="18"/>
      <c r="C678" s="18"/>
      <c r="D678" s="13" t="str">
        <f aca="false">IF(OR(B678="",B677="",678=3),"",B678-B677)</f>
        <v/>
      </c>
      <c r="E678" s="18"/>
    </row>
    <row r="679" customFormat="false" ht="15" hidden="false" customHeight="false" outlineLevel="0" collapsed="false">
      <c r="A679" s="25"/>
      <c r="B679" s="18"/>
      <c r="C679" s="18"/>
      <c r="D679" s="13" t="str">
        <f aca="false">IF(OR(B679="",B678="",679=3),"",B679-B678)</f>
        <v/>
      </c>
      <c r="E679" s="18"/>
    </row>
    <row r="680" customFormat="false" ht="15" hidden="false" customHeight="false" outlineLevel="0" collapsed="false">
      <c r="A680" s="25"/>
      <c r="B680" s="18"/>
      <c r="C680" s="18"/>
      <c r="D680" s="13" t="str">
        <f aca="false">IF(OR(B680="",B679="",680=3),"",B680-B679)</f>
        <v/>
      </c>
      <c r="E680" s="18"/>
    </row>
    <row r="681" customFormat="false" ht="15" hidden="false" customHeight="false" outlineLevel="0" collapsed="false">
      <c r="A681" s="25"/>
      <c r="B681" s="18"/>
      <c r="C681" s="18"/>
      <c r="D681" s="13" t="str">
        <f aca="false">IF(OR(B681="",B680="",681=3),"",B681-B680)</f>
        <v/>
      </c>
      <c r="E681" s="18"/>
    </row>
    <row r="682" customFormat="false" ht="15" hidden="false" customHeight="false" outlineLevel="0" collapsed="false">
      <c r="A682" s="25"/>
      <c r="B682" s="18"/>
      <c r="C682" s="18"/>
      <c r="D682" s="13" t="str">
        <f aca="false">IF(OR(B682="",B681="",682=3),"",B682-B681)</f>
        <v/>
      </c>
      <c r="E682" s="18"/>
    </row>
    <row r="683" customFormat="false" ht="15" hidden="false" customHeight="false" outlineLevel="0" collapsed="false">
      <c r="A683" s="25"/>
      <c r="B683" s="18"/>
      <c r="C683" s="18"/>
      <c r="D683" s="13" t="str">
        <f aca="false">IF(OR(B683="",B682="",683=3),"",B683-B682)</f>
        <v/>
      </c>
      <c r="E683" s="18"/>
    </row>
    <row r="684" customFormat="false" ht="15" hidden="false" customHeight="false" outlineLevel="0" collapsed="false">
      <c r="A684" s="25"/>
      <c r="B684" s="18"/>
      <c r="C684" s="18"/>
      <c r="D684" s="13" t="str">
        <f aca="false">IF(OR(B684="",B683="",684=3),"",B684-B683)</f>
        <v/>
      </c>
      <c r="E684" s="18"/>
    </row>
    <row r="685" customFormat="false" ht="15" hidden="false" customHeight="false" outlineLevel="0" collapsed="false">
      <c r="A685" s="25"/>
      <c r="B685" s="18"/>
      <c r="C685" s="18"/>
      <c r="D685" s="13" t="str">
        <f aca="false">IF(OR(B685="",B684="",685=3),"",B685-B684)</f>
        <v/>
      </c>
      <c r="E685" s="18"/>
    </row>
    <row r="686" customFormat="false" ht="15" hidden="false" customHeight="false" outlineLevel="0" collapsed="false">
      <c r="A686" s="25"/>
      <c r="B686" s="18"/>
      <c r="C686" s="18"/>
      <c r="D686" s="13" t="str">
        <f aca="false">IF(OR(B686="",B685="",686=3),"",B686-B685)</f>
        <v/>
      </c>
      <c r="E686" s="18"/>
    </row>
    <row r="687" customFormat="false" ht="15" hidden="false" customHeight="false" outlineLevel="0" collapsed="false">
      <c r="A687" s="25"/>
      <c r="B687" s="18"/>
      <c r="C687" s="18"/>
      <c r="D687" s="13" t="str">
        <f aca="false">IF(OR(B687="",B686="",687=3),"",B687-B686)</f>
        <v/>
      </c>
      <c r="E687" s="18"/>
    </row>
    <row r="688" customFormat="false" ht="15" hidden="false" customHeight="false" outlineLevel="0" collapsed="false">
      <c r="A688" s="25"/>
      <c r="B688" s="18"/>
      <c r="C688" s="18"/>
      <c r="D688" s="13" t="str">
        <f aca="false">IF(OR(B688="",B687="",688=3),"",B688-B687)</f>
        <v/>
      </c>
      <c r="E688" s="18"/>
    </row>
    <row r="689" customFormat="false" ht="15" hidden="false" customHeight="false" outlineLevel="0" collapsed="false">
      <c r="A689" s="25"/>
      <c r="B689" s="18"/>
      <c r="C689" s="18"/>
      <c r="D689" s="13" t="str">
        <f aca="false">IF(OR(B689="",B688="",689=3),"",B689-B688)</f>
        <v/>
      </c>
      <c r="E689" s="18"/>
    </row>
    <row r="690" customFormat="false" ht="15" hidden="false" customHeight="false" outlineLevel="0" collapsed="false">
      <c r="A690" s="25"/>
      <c r="B690" s="18"/>
      <c r="C690" s="18"/>
      <c r="D690" s="13" t="str">
        <f aca="false">IF(OR(B690="",B689="",690=3),"",B690-B689)</f>
        <v/>
      </c>
      <c r="E690" s="18"/>
    </row>
    <row r="691" customFormat="false" ht="15" hidden="false" customHeight="false" outlineLevel="0" collapsed="false">
      <c r="A691" s="25"/>
      <c r="B691" s="18"/>
      <c r="C691" s="18"/>
      <c r="D691" s="13" t="str">
        <f aca="false">IF(OR(B691="",B690="",691=3),"",B691-B690)</f>
        <v/>
      </c>
      <c r="E691" s="18"/>
    </row>
    <row r="692" customFormat="false" ht="15" hidden="false" customHeight="false" outlineLevel="0" collapsed="false">
      <c r="A692" s="25"/>
      <c r="B692" s="18"/>
      <c r="C692" s="18"/>
      <c r="D692" s="13" t="str">
        <f aca="false">IF(OR(B692="",B691="",692=3),"",B692-B691)</f>
        <v/>
      </c>
      <c r="E692" s="18"/>
    </row>
    <row r="693" customFormat="false" ht="15" hidden="false" customHeight="false" outlineLevel="0" collapsed="false">
      <c r="A693" s="25"/>
      <c r="B693" s="18"/>
      <c r="C693" s="18"/>
      <c r="D693" s="13" t="str">
        <f aca="false">IF(OR(B693="",B692="",693=3),"",B693-B692)</f>
        <v/>
      </c>
      <c r="E693" s="18"/>
    </row>
    <row r="694" customFormat="false" ht="15" hidden="false" customHeight="false" outlineLevel="0" collapsed="false">
      <c r="A694" s="25"/>
      <c r="B694" s="18"/>
      <c r="C694" s="18"/>
      <c r="D694" s="13" t="str">
        <f aca="false">IF(OR(B694="",B693="",694=3),"",B694-B693)</f>
        <v/>
      </c>
      <c r="E694" s="18"/>
    </row>
    <row r="695" customFormat="false" ht="15" hidden="false" customHeight="false" outlineLevel="0" collapsed="false">
      <c r="A695" s="25"/>
      <c r="B695" s="18"/>
      <c r="C695" s="18"/>
      <c r="D695" s="13" t="str">
        <f aca="false">IF(OR(B695="",B694="",695=3),"",B695-B694)</f>
        <v/>
      </c>
      <c r="E695" s="18"/>
    </row>
    <row r="696" customFormat="false" ht="15" hidden="false" customHeight="false" outlineLevel="0" collapsed="false">
      <c r="A696" s="25"/>
      <c r="B696" s="18"/>
      <c r="C696" s="18"/>
      <c r="D696" s="13" t="str">
        <f aca="false">IF(OR(B696="",B695="",696=3),"",B696-B695)</f>
        <v/>
      </c>
      <c r="E696" s="18"/>
    </row>
    <row r="697" customFormat="false" ht="15" hidden="false" customHeight="false" outlineLevel="0" collapsed="false">
      <c r="A697" s="25"/>
      <c r="B697" s="18"/>
      <c r="C697" s="18"/>
      <c r="D697" s="13" t="str">
        <f aca="false">IF(OR(B697="",B696="",697=3),"",B697-B696)</f>
        <v/>
      </c>
      <c r="E697" s="18"/>
    </row>
    <row r="698" customFormat="false" ht="15" hidden="false" customHeight="false" outlineLevel="0" collapsed="false">
      <c r="A698" s="25"/>
      <c r="B698" s="18"/>
      <c r="C698" s="18"/>
      <c r="D698" s="13" t="str">
        <f aca="false">IF(OR(B698="",B697="",698=3),"",B698-B697)</f>
        <v/>
      </c>
      <c r="E698" s="18"/>
    </row>
    <row r="699" customFormat="false" ht="15" hidden="false" customHeight="false" outlineLevel="0" collapsed="false">
      <c r="A699" s="25"/>
      <c r="B699" s="18"/>
      <c r="C699" s="18"/>
      <c r="D699" s="13" t="str">
        <f aca="false">IF(OR(B699="",B698="",699=3),"",B699-B698)</f>
        <v/>
      </c>
      <c r="E699" s="18"/>
    </row>
    <row r="700" customFormat="false" ht="15" hidden="false" customHeight="false" outlineLevel="0" collapsed="false">
      <c r="A700" s="25"/>
      <c r="B700" s="18"/>
      <c r="C700" s="18"/>
      <c r="D700" s="13" t="str">
        <f aca="false">IF(OR(B700="",B699="",700=3),"",B700-B699)</f>
        <v/>
      </c>
      <c r="E700" s="18"/>
    </row>
    <row r="701" customFormat="false" ht="15" hidden="false" customHeight="false" outlineLevel="0" collapsed="false">
      <c r="A701" s="25"/>
      <c r="B701" s="18"/>
      <c r="C701" s="18"/>
      <c r="D701" s="13" t="str">
        <f aca="false">IF(OR(B701="",B700="",701=3),"",B701-B700)</f>
        <v/>
      </c>
      <c r="E701" s="18"/>
    </row>
    <row r="702" customFormat="false" ht="15" hidden="false" customHeight="false" outlineLevel="0" collapsed="false">
      <c r="A702" s="25"/>
      <c r="B702" s="18"/>
      <c r="C702" s="18"/>
      <c r="D702" s="13" t="str">
        <f aca="false">IF(OR(B702="",B701="",702=3),"",B702-B701)</f>
        <v/>
      </c>
      <c r="E702" s="18"/>
    </row>
    <row r="703" customFormat="false" ht="15" hidden="false" customHeight="false" outlineLevel="0" collapsed="false">
      <c r="A703" s="25"/>
      <c r="B703" s="18"/>
      <c r="C703" s="18"/>
      <c r="D703" s="13" t="str">
        <f aca="false">IF(OR(B703="",B702="",703=3),"",B703-B702)</f>
        <v/>
      </c>
      <c r="E703" s="18"/>
    </row>
    <row r="704" customFormat="false" ht="15" hidden="false" customHeight="false" outlineLevel="0" collapsed="false">
      <c r="A704" s="25"/>
      <c r="B704" s="18"/>
      <c r="C704" s="18"/>
      <c r="D704" s="13" t="str">
        <f aca="false">IF(OR(B704="",B703="",704=3),"",B704-B703)</f>
        <v/>
      </c>
      <c r="E704" s="18"/>
    </row>
    <row r="705" customFormat="false" ht="15" hidden="false" customHeight="false" outlineLevel="0" collapsed="false">
      <c r="A705" s="25"/>
      <c r="B705" s="18"/>
      <c r="C705" s="18"/>
      <c r="D705" s="13" t="str">
        <f aca="false">IF(OR(B705="",B704="",705=3),"",B705-B704)</f>
        <v/>
      </c>
      <c r="E705" s="18"/>
    </row>
    <row r="706" customFormat="false" ht="15" hidden="false" customHeight="false" outlineLevel="0" collapsed="false">
      <c r="A706" s="25"/>
      <c r="B706" s="18"/>
      <c r="C706" s="18"/>
      <c r="D706" s="13" t="str">
        <f aca="false">IF(OR(B706="",B705="",706=3),"",B706-B705)</f>
        <v/>
      </c>
      <c r="E706" s="18"/>
    </row>
    <row r="707" customFormat="false" ht="15" hidden="false" customHeight="false" outlineLevel="0" collapsed="false">
      <c r="A707" s="25"/>
      <c r="B707" s="18"/>
      <c r="C707" s="18"/>
      <c r="D707" s="13" t="str">
        <f aca="false">IF(OR(B707="",B706="",707=3),"",B707-B706)</f>
        <v/>
      </c>
      <c r="E707" s="18"/>
    </row>
    <row r="708" customFormat="false" ht="15" hidden="false" customHeight="false" outlineLevel="0" collapsed="false">
      <c r="A708" s="25"/>
      <c r="B708" s="18"/>
      <c r="C708" s="18"/>
      <c r="D708" s="13" t="str">
        <f aca="false">IF(OR(B708="",B707="",708=3),"",B708-B707)</f>
        <v/>
      </c>
      <c r="E708" s="18"/>
    </row>
    <row r="709" customFormat="false" ht="15" hidden="false" customHeight="false" outlineLevel="0" collapsed="false">
      <c r="A709" s="25"/>
      <c r="B709" s="18"/>
      <c r="C709" s="18"/>
      <c r="D709" s="13" t="str">
        <f aca="false">IF(OR(B709="",B708="",709=3),"",B709-B708)</f>
        <v/>
      </c>
      <c r="E709" s="18"/>
    </row>
    <row r="710" customFormat="false" ht="15" hidden="false" customHeight="false" outlineLevel="0" collapsed="false">
      <c r="A710" s="25"/>
      <c r="B710" s="18"/>
      <c r="C710" s="18"/>
      <c r="D710" s="13" t="str">
        <f aca="false">IF(OR(B710="",B709="",710=3),"",B710-B709)</f>
        <v/>
      </c>
      <c r="E710" s="18"/>
    </row>
    <row r="711" customFormat="false" ht="15" hidden="false" customHeight="false" outlineLevel="0" collapsed="false">
      <c r="A711" s="25"/>
      <c r="B711" s="18"/>
      <c r="C711" s="18"/>
      <c r="D711" s="13" t="str">
        <f aca="false">IF(OR(B711="",B710="",711=3),"",B711-B710)</f>
        <v/>
      </c>
      <c r="E711" s="18"/>
    </row>
    <row r="712" customFormat="false" ht="15" hidden="false" customHeight="false" outlineLevel="0" collapsed="false">
      <c r="A712" s="25"/>
      <c r="B712" s="18"/>
      <c r="C712" s="18"/>
      <c r="D712" s="13" t="str">
        <f aca="false">IF(OR(B712="",B711="",712=3),"",B712-B711)</f>
        <v/>
      </c>
      <c r="E712" s="18"/>
    </row>
    <row r="713" customFormat="false" ht="15" hidden="false" customHeight="false" outlineLevel="0" collapsed="false">
      <c r="A713" s="25"/>
      <c r="B713" s="18"/>
      <c r="C713" s="18"/>
      <c r="D713" s="13" t="str">
        <f aca="false">IF(OR(B713="",B712="",713=3),"",B713-B712)</f>
        <v/>
      </c>
      <c r="E713" s="18"/>
    </row>
    <row r="714" customFormat="false" ht="15" hidden="false" customHeight="false" outlineLevel="0" collapsed="false">
      <c r="A714" s="25"/>
      <c r="B714" s="18"/>
      <c r="C714" s="18"/>
      <c r="D714" s="13" t="str">
        <f aca="false">IF(OR(B714="",B713="",714=3),"",B714-B713)</f>
        <v/>
      </c>
      <c r="E714" s="18"/>
    </row>
    <row r="715" customFormat="false" ht="15" hidden="false" customHeight="false" outlineLevel="0" collapsed="false">
      <c r="A715" s="25"/>
      <c r="B715" s="18"/>
      <c r="C715" s="18"/>
      <c r="D715" s="13" t="str">
        <f aca="false">IF(OR(B715="",B714="",715=3),"",B715-B714)</f>
        <v/>
      </c>
      <c r="E715" s="18"/>
    </row>
    <row r="716" customFormat="false" ht="15" hidden="false" customHeight="false" outlineLevel="0" collapsed="false">
      <c r="A716" s="25"/>
      <c r="B716" s="18"/>
      <c r="C716" s="18"/>
      <c r="D716" s="13" t="str">
        <f aca="false">IF(OR(B716="",B715="",716=3),"",B716-B715)</f>
        <v/>
      </c>
      <c r="E716" s="18"/>
    </row>
    <row r="717" customFormat="false" ht="15" hidden="false" customHeight="false" outlineLevel="0" collapsed="false">
      <c r="A717" s="25"/>
      <c r="B717" s="18"/>
      <c r="C717" s="18"/>
      <c r="D717" s="13" t="str">
        <f aca="false">IF(OR(B717="",B716="",717=3),"",B717-B716)</f>
        <v/>
      </c>
      <c r="E717" s="18"/>
    </row>
    <row r="718" customFormat="false" ht="15" hidden="false" customHeight="false" outlineLevel="0" collapsed="false">
      <c r="A718" s="25"/>
      <c r="B718" s="18"/>
      <c r="C718" s="18"/>
      <c r="D718" s="13" t="str">
        <f aca="false">IF(OR(B718="",B717="",718=3),"",B718-B717)</f>
        <v/>
      </c>
      <c r="E718" s="18"/>
    </row>
    <row r="719" customFormat="false" ht="15" hidden="false" customHeight="false" outlineLevel="0" collapsed="false">
      <c r="A719" s="25"/>
      <c r="B719" s="18"/>
      <c r="C719" s="18"/>
      <c r="D719" s="13" t="str">
        <f aca="false">IF(OR(B719="",B718="",719=3),"",B719-B718)</f>
        <v/>
      </c>
      <c r="E719" s="18"/>
    </row>
    <row r="720" customFormat="false" ht="15" hidden="false" customHeight="false" outlineLevel="0" collapsed="false">
      <c r="A720" s="25"/>
      <c r="B720" s="18"/>
      <c r="C720" s="18"/>
      <c r="D720" s="13" t="str">
        <f aca="false">IF(OR(B720="",B719="",720=3),"",B720-B719)</f>
        <v/>
      </c>
      <c r="E720" s="18"/>
    </row>
    <row r="721" customFormat="false" ht="15" hidden="false" customHeight="false" outlineLevel="0" collapsed="false">
      <c r="A721" s="25"/>
      <c r="B721" s="18"/>
      <c r="C721" s="18"/>
      <c r="D721" s="13" t="str">
        <f aca="false">IF(OR(B721="",B720="",721=3),"",B721-B720)</f>
        <v/>
      </c>
      <c r="E721" s="18"/>
    </row>
    <row r="722" customFormat="false" ht="15" hidden="false" customHeight="false" outlineLevel="0" collapsed="false">
      <c r="A722" s="25"/>
      <c r="B722" s="18"/>
      <c r="C722" s="18"/>
      <c r="D722" s="13" t="str">
        <f aca="false">IF(OR(B722="",B721="",722=3),"",B722-B721)</f>
        <v/>
      </c>
      <c r="E722" s="18"/>
    </row>
    <row r="723" customFormat="false" ht="15" hidden="false" customHeight="false" outlineLevel="0" collapsed="false">
      <c r="A723" s="25"/>
      <c r="B723" s="18"/>
      <c r="C723" s="18"/>
      <c r="D723" s="13" t="str">
        <f aca="false">IF(OR(B723="",B722="",723=3),"",B723-B722)</f>
        <v/>
      </c>
      <c r="E723" s="18"/>
    </row>
    <row r="724" customFormat="false" ht="15" hidden="false" customHeight="false" outlineLevel="0" collapsed="false">
      <c r="A724" s="25"/>
      <c r="B724" s="18"/>
      <c r="C724" s="18"/>
      <c r="D724" s="13" t="str">
        <f aca="false">IF(OR(B724="",B723="",724=3),"",B724-B723)</f>
        <v/>
      </c>
      <c r="E724" s="18"/>
    </row>
    <row r="725" customFormat="false" ht="15" hidden="false" customHeight="false" outlineLevel="0" collapsed="false">
      <c r="A725" s="25"/>
      <c r="B725" s="18"/>
      <c r="C725" s="18"/>
      <c r="D725" s="13" t="str">
        <f aca="false">IF(OR(B725="",B724="",725=3),"",B725-B724)</f>
        <v/>
      </c>
      <c r="E725" s="18"/>
    </row>
    <row r="726" customFormat="false" ht="15" hidden="false" customHeight="false" outlineLevel="0" collapsed="false">
      <c r="A726" s="25"/>
      <c r="B726" s="18"/>
      <c r="C726" s="18"/>
      <c r="D726" s="13" t="str">
        <f aca="false">IF(OR(B726="",B725="",726=3),"",B726-B725)</f>
        <v/>
      </c>
      <c r="E726" s="18"/>
    </row>
    <row r="727" customFormat="false" ht="15" hidden="false" customHeight="false" outlineLevel="0" collapsed="false">
      <c r="A727" s="25"/>
      <c r="B727" s="18"/>
      <c r="C727" s="18"/>
      <c r="D727" s="13" t="str">
        <f aca="false">IF(OR(B727="",B726="",727=3),"",B727-B726)</f>
        <v/>
      </c>
      <c r="E727" s="18"/>
    </row>
    <row r="728" customFormat="false" ht="15" hidden="false" customHeight="false" outlineLevel="0" collapsed="false">
      <c r="A728" s="25"/>
      <c r="B728" s="18"/>
      <c r="C728" s="18"/>
      <c r="D728" s="13" t="str">
        <f aca="false">IF(OR(B728="",B727="",728=3),"",B728-B727)</f>
        <v/>
      </c>
      <c r="E728" s="18"/>
    </row>
    <row r="729" customFormat="false" ht="15" hidden="false" customHeight="false" outlineLevel="0" collapsed="false">
      <c r="A729" s="25"/>
      <c r="B729" s="18"/>
      <c r="C729" s="18"/>
      <c r="D729" s="13" t="str">
        <f aca="false">IF(OR(B729="",B728="",729=3),"",B729-B728)</f>
        <v/>
      </c>
      <c r="E729" s="18"/>
    </row>
    <row r="730" customFormat="false" ht="15" hidden="false" customHeight="false" outlineLevel="0" collapsed="false">
      <c r="A730" s="25"/>
      <c r="B730" s="18"/>
      <c r="C730" s="18"/>
      <c r="D730" s="13" t="str">
        <f aca="false">IF(OR(B730="",B729="",730=3),"",B730-B729)</f>
        <v/>
      </c>
      <c r="E730" s="18"/>
    </row>
    <row r="731" customFormat="false" ht="15" hidden="false" customHeight="false" outlineLevel="0" collapsed="false">
      <c r="A731" s="25"/>
      <c r="B731" s="18"/>
      <c r="C731" s="18"/>
      <c r="D731" s="13" t="str">
        <f aca="false">IF(OR(B731="",B730="",731=3),"",B731-B730)</f>
        <v/>
      </c>
      <c r="E731" s="18"/>
    </row>
    <row r="732" customFormat="false" ht="15" hidden="false" customHeight="false" outlineLevel="0" collapsed="false">
      <c r="A732" s="25"/>
      <c r="B732" s="18"/>
      <c r="C732" s="18"/>
      <c r="D732" s="13" t="str">
        <f aca="false">IF(OR(B732="",B731="",732=3),"",B732-B731)</f>
        <v/>
      </c>
      <c r="E732" s="18"/>
    </row>
    <row r="733" customFormat="false" ht="15" hidden="false" customHeight="false" outlineLevel="0" collapsed="false">
      <c r="A733" s="25"/>
      <c r="B733" s="18"/>
      <c r="C733" s="18"/>
      <c r="D733" s="13" t="str">
        <f aca="false">IF(OR(B733="",B732="",733=3),"",B733-B732)</f>
        <v/>
      </c>
      <c r="E733" s="18"/>
    </row>
    <row r="734" customFormat="false" ht="15" hidden="false" customHeight="false" outlineLevel="0" collapsed="false">
      <c r="A734" s="25"/>
      <c r="B734" s="18"/>
      <c r="C734" s="18"/>
      <c r="D734" s="13" t="str">
        <f aca="false">IF(OR(B734="",B733="",734=3),"",B734-B733)</f>
        <v/>
      </c>
      <c r="E734" s="18"/>
    </row>
    <row r="735" customFormat="false" ht="15" hidden="false" customHeight="false" outlineLevel="0" collapsed="false">
      <c r="A735" s="25"/>
      <c r="B735" s="18"/>
      <c r="C735" s="18"/>
      <c r="D735" s="13" t="str">
        <f aca="false">IF(OR(B735="",B734="",735=3),"",B735-B734)</f>
        <v/>
      </c>
      <c r="E735" s="18"/>
    </row>
    <row r="736" customFormat="false" ht="15" hidden="false" customHeight="false" outlineLevel="0" collapsed="false">
      <c r="A736" s="25"/>
      <c r="B736" s="18"/>
      <c r="C736" s="18"/>
      <c r="D736" s="13" t="str">
        <f aca="false">IF(OR(B736="",B735="",736=3),"",B736-B735)</f>
        <v/>
      </c>
      <c r="E736" s="18"/>
    </row>
    <row r="737" customFormat="false" ht="15" hidden="false" customHeight="false" outlineLevel="0" collapsed="false">
      <c r="A737" s="25"/>
      <c r="B737" s="18"/>
      <c r="C737" s="18"/>
      <c r="D737" s="13" t="str">
        <f aca="false">IF(OR(B737="",B736="",737=3),"",B737-B736)</f>
        <v/>
      </c>
      <c r="E737" s="18"/>
    </row>
    <row r="738" customFormat="false" ht="15" hidden="false" customHeight="false" outlineLevel="0" collapsed="false">
      <c r="A738" s="25"/>
      <c r="B738" s="18"/>
      <c r="C738" s="18"/>
      <c r="D738" s="13" t="str">
        <f aca="false">IF(OR(B738="",B737="",738=3),"",B738-B737)</f>
        <v/>
      </c>
      <c r="E738" s="18"/>
    </row>
    <row r="739" customFormat="false" ht="15" hidden="false" customHeight="false" outlineLevel="0" collapsed="false">
      <c r="A739" s="25"/>
      <c r="B739" s="18"/>
      <c r="C739" s="18"/>
      <c r="D739" s="13" t="str">
        <f aca="false">IF(OR(B739="",B738="",739=3),"",B739-B738)</f>
        <v/>
      </c>
      <c r="E739" s="18"/>
    </row>
    <row r="740" customFormat="false" ht="15" hidden="false" customHeight="false" outlineLevel="0" collapsed="false">
      <c r="A740" s="25"/>
      <c r="B740" s="18"/>
      <c r="C740" s="18"/>
      <c r="D740" s="13" t="str">
        <f aca="false">IF(OR(B740="",B739="",740=3),"",B740-B739)</f>
        <v/>
      </c>
      <c r="E740" s="18"/>
    </row>
    <row r="741" customFormat="false" ht="15" hidden="false" customHeight="false" outlineLevel="0" collapsed="false">
      <c r="A741" s="25"/>
      <c r="B741" s="18"/>
      <c r="C741" s="18"/>
      <c r="D741" s="13" t="str">
        <f aca="false">IF(OR(B741="",B740="",741=3),"",B741-B740)</f>
        <v/>
      </c>
      <c r="E741" s="18"/>
    </row>
    <row r="742" customFormat="false" ht="15" hidden="false" customHeight="false" outlineLevel="0" collapsed="false">
      <c r="A742" s="25"/>
      <c r="B742" s="18"/>
      <c r="C742" s="18"/>
      <c r="D742" s="13" t="str">
        <f aca="false">IF(OR(B742="",B741="",742=3),"",B742-B741)</f>
        <v/>
      </c>
      <c r="E742" s="18"/>
    </row>
    <row r="743" customFormat="false" ht="15" hidden="false" customHeight="false" outlineLevel="0" collapsed="false">
      <c r="A743" s="25"/>
      <c r="B743" s="18"/>
      <c r="C743" s="18"/>
      <c r="D743" s="13" t="str">
        <f aca="false">IF(OR(B743="",B742="",743=3),"",B743-B742)</f>
        <v/>
      </c>
      <c r="E743" s="18"/>
    </row>
    <row r="744" customFormat="false" ht="15" hidden="false" customHeight="false" outlineLevel="0" collapsed="false">
      <c r="A744" s="25"/>
      <c r="B744" s="18"/>
      <c r="C744" s="18"/>
      <c r="D744" s="13" t="str">
        <f aca="false">IF(OR(B744="",B743="",744=3),"",B744-B743)</f>
        <v/>
      </c>
      <c r="E744" s="18"/>
    </row>
    <row r="745" customFormat="false" ht="15" hidden="false" customHeight="false" outlineLevel="0" collapsed="false">
      <c r="A745" s="25"/>
      <c r="B745" s="18"/>
      <c r="C745" s="18"/>
      <c r="D745" s="13" t="str">
        <f aca="false">IF(OR(B745="",B744="",745=3),"",B745-B744)</f>
        <v/>
      </c>
      <c r="E745" s="18"/>
    </row>
    <row r="746" customFormat="false" ht="15" hidden="false" customHeight="false" outlineLevel="0" collapsed="false">
      <c r="A746" s="25"/>
      <c r="B746" s="18"/>
      <c r="C746" s="18"/>
      <c r="D746" s="13" t="str">
        <f aca="false">IF(OR(B746="",B745="",746=3),"",B746-B745)</f>
        <v/>
      </c>
      <c r="E746" s="18"/>
    </row>
    <row r="747" customFormat="false" ht="15" hidden="false" customHeight="false" outlineLevel="0" collapsed="false">
      <c r="A747" s="25"/>
      <c r="B747" s="18"/>
      <c r="C747" s="18"/>
      <c r="D747" s="13" t="str">
        <f aca="false">IF(OR(B747="",B746="",747=3),"",B747-B746)</f>
        <v/>
      </c>
      <c r="E747" s="18"/>
    </row>
    <row r="748" customFormat="false" ht="15" hidden="false" customHeight="false" outlineLevel="0" collapsed="false">
      <c r="A748" s="25"/>
      <c r="B748" s="18"/>
      <c r="C748" s="18"/>
      <c r="D748" s="13" t="str">
        <f aca="false">IF(OR(B748="",B747="",748=3),"",B748-B747)</f>
        <v/>
      </c>
      <c r="E748" s="18"/>
    </row>
    <row r="749" customFormat="false" ht="15" hidden="false" customHeight="false" outlineLevel="0" collapsed="false">
      <c r="A749" s="25"/>
      <c r="B749" s="18"/>
      <c r="C749" s="18"/>
      <c r="D749" s="13" t="str">
        <f aca="false">IF(OR(B749="",B748="",749=3),"",B749-B748)</f>
        <v/>
      </c>
      <c r="E749" s="18"/>
    </row>
    <row r="750" customFormat="false" ht="15" hidden="false" customHeight="false" outlineLevel="0" collapsed="false">
      <c r="A750" s="25"/>
      <c r="B750" s="18"/>
      <c r="C750" s="18"/>
      <c r="D750" s="13" t="str">
        <f aca="false">IF(OR(B750="",B749="",750=3),"",B750-B749)</f>
        <v/>
      </c>
      <c r="E750" s="18"/>
    </row>
    <row r="751" customFormat="false" ht="15" hidden="false" customHeight="false" outlineLevel="0" collapsed="false">
      <c r="A751" s="25"/>
      <c r="B751" s="18"/>
      <c r="C751" s="18"/>
      <c r="D751" s="13" t="str">
        <f aca="false">IF(OR(B751="",B750="",751=3),"",B751-B750)</f>
        <v/>
      </c>
      <c r="E751" s="18"/>
    </row>
    <row r="752" customFormat="false" ht="15" hidden="false" customHeight="false" outlineLevel="0" collapsed="false">
      <c r="A752" s="25"/>
      <c r="B752" s="18"/>
      <c r="C752" s="18"/>
      <c r="D752" s="13" t="str">
        <f aca="false">IF(OR(B752="",B751="",752=3),"",B752-B751)</f>
        <v/>
      </c>
      <c r="E752" s="18"/>
    </row>
    <row r="753" customFormat="false" ht="15" hidden="false" customHeight="false" outlineLevel="0" collapsed="false">
      <c r="A753" s="25"/>
      <c r="B753" s="18"/>
      <c r="C753" s="18"/>
      <c r="D753" s="13" t="str">
        <f aca="false">IF(OR(B753="",B752="",753=3),"",B753-B752)</f>
        <v/>
      </c>
      <c r="E753" s="18"/>
    </row>
    <row r="754" customFormat="false" ht="15" hidden="false" customHeight="false" outlineLevel="0" collapsed="false">
      <c r="A754" s="25"/>
      <c r="B754" s="18"/>
      <c r="C754" s="18"/>
      <c r="D754" s="13" t="str">
        <f aca="false">IF(OR(B754="",B753="",754=3),"",B754-B753)</f>
        <v/>
      </c>
      <c r="E754" s="18"/>
    </row>
    <row r="755" customFormat="false" ht="15" hidden="false" customHeight="false" outlineLevel="0" collapsed="false">
      <c r="A755" s="25"/>
      <c r="B755" s="18"/>
      <c r="C755" s="18"/>
      <c r="D755" s="13" t="str">
        <f aca="false">IF(OR(B755="",B754="",755=3),"",B755-B754)</f>
        <v/>
      </c>
      <c r="E755" s="18"/>
    </row>
    <row r="756" customFormat="false" ht="15" hidden="false" customHeight="false" outlineLevel="0" collapsed="false">
      <c r="A756" s="25"/>
      <c r="B756" s="18"/>
      <c r="C756" s="18"/>
      <c r="D756" s="13" t="str">
        <f aca="false">IF(OR(B756="",B755="",756=3),"",B756-B755)</f>
        <v/>
      </c>
      <c r="E756" s="18"/>
    </row>
    <row r="757" customFormat="false" ht="15" hidden="false" customHeight="false" outlineLevel="0" collapsed="false">
      <c r="A757" s="25"/>
      <c r="B757" s="18"/>
      <c r="C757" s="18"/>
      <c r="D757" s="13" t="str">
        <f aca="false">IF(OR(B757="",B756="",757=3),"",B757-B756)</f>
        <v/>
      </c>
      <c r="E757" s="18"/>
    </row>
    <row r="758" customFormat="false" ht="15" hidden="false" customHeight="false" outlineLevel="0" collapsed="false">
      <c r="A758" s="25"/>
      <c r="B758" s="18"/>
      <c r="C758" s="18"/>
      <c r="D758" s="13" t="str">
        <f aca="false">IF(OR(B758="",B757="",758=3),"",B758-B757)</f>
        <v/>
      </c>
      <c r="E758" s="18"/>
    </row>
    <row r="759" customFormat="false" ht="15" hidden="false" customHeight="false" outlineLevel="0" collapsed="false">
      <c r="A759" s="25"/>
      <c r="B759" s="18"/>
      <c r="C759" s="18"/>
      <c r="D759" s="13" t="str">
        <f aca="false">IF(OR(B759="",B758="",759=3),"",B759-B758)</f>
        <v/>
      </c>
      <c r="E759" s="18"/>
    </row>
    <row r="760" customFormat="false" ht="15" hidden="false" customHeight="false" outlineLevel="0" collapsed="false">
      <c r="A760" s="25"/>
      <c r="B760" s="18"/>
      <c r="C760" s="18"/>
      <c r="D760" s="13" t="str">
        <f aca="false">IF(OR(B760="",B759="",760=3),"",B760-B759)</f>
        <v/>
      </c>
      <c r="E760" s="18"/>
    </row>
    <row r="761" customFormat="false" ht="15" hidden="false" customHeight="false" outlineLevel="0" collapsed="false">
      <c r="A761" s="25"/>
      <c r="B761" s="18"/>
      <c r="C761" s="18"/>
      <c r="D761" s="13" t="str">
        <f aca="false">IF(OR(B761="",B760="",761=3),"",B761-B760)</f>
        <v/>
      </c>
      <c r="E761" s="18"/>
    </row>
    <row r="762" customFormat="false" ht="15" hidden="false" customHeight="false" outlineLevel="0" collapsed="false">
      <c r="A762" s="25"/>
      <c r="B762" s="18"/>
      <c r="C762" s="18"/>
      <c r="D762" s="13" t="str">
        <f aca="false">IF(OR(B762="",B761="",762=3),"",B762-B761)</f>
        <v/>
      </c>
      <c r="E762" s="18"/>
    </row>
    <row r="763" customFormat="false" ht="15" hidden="false" customHeight="false" outlineLevel="0" collapsed="false">
      <c r="A763" s="25"/>
      <c r="B763" s="18"/>
      <c r="C763" s="18"/>
      <c r="D763" s="13" t="str">
        <f aca="false">IF(OR(B763="",B762="",763=3),"",B763-B762)</f>
        <v/>
      </c>
      <c r="E763" s="18"/>
    </row>
    <row r="764" customFormat="false" ht="15" hidden="false" customHeight="false" outlineLevel="0" collapsed="false">
      <c r="A764" s="25"/>
      <c r="B764" s="18"/>
      <c r="C764" s="18"/>
      <c r="D764" s="13" t="str">
        <f aca="false">IF(OR(B764="",B763="",764=3),"",B764-B763)</f>
        <v/>
      </c>
      <c r="E764" s="18"/>
    </row>
    <row r="765" customFormat="false" ht="15" hidden="false" customHeight="false" outlineLevel="0" collapsed="false">
      <c r="A765" s="25"/>
      <c r="B765" s="18"/>
      <c r="C765" s="18"/>
      <c r="D765" s="13" t="str">
        <f aca="false">IF(OR(B765="",B764="",765=3),"",B765-B764)</f>
        <v/>
      </c>
      <c r="E765" s="18"/>
    </row>
    <row r="766" customFormat="false" ht="15" hidden="false" customHeight="false" outlineLevel="0" collapsed="false">
      <c r="A766" s="25"/>
      <c r="B766" s="18"/>
      <c r="C766" s="18"/>
      <c r="D766" s="13" t="str">
        <f aca="false">IF(OR(B766="",B765="",766=3),"",B766-B765)</f>
        <v/>
      </c>
      <c r="E766" s="18"/>
    </row>
    <row r="767" customFormat="false" ht="15" hidden="false" customHeight="false" outlineLevel="0" collapsed="false">
      <c r="A767" s="25"/>
      <c r="B767" s="18"/>
      <c r="C767" s="18"/>
      <c r="D767" s="13" t="str">
        <f aca="false">IF(OR(B767="",B766="",767=3),"",B767-B766)</f>
        <v/>
      </c>
      <c r="E767" s="18"/>
    </row>
    <row r="768" customFormat="false" ht="15" hidden="false" customHeight="false" outlineLevel="0" collapsed="false">
      <c r="A768" s="25"/>
      <c r="B768" s="18"/>
      <c r="C768" s="18"/>
      <c r="D768" s="13" t="str">
        <f aca="false">IF(OR(B768="",B767="",768=3),"",B768-B767)</f>
        <v/>
      </c>
      <c r="E768" s="18"/>
    </row>
    <row r="769" customFormat="false" ht="15" hidden="false" customHeight="false" outlineLevel="0" collapsed="false">
      <c r="A769" s="25"/>
      <c r="B769" s="18"/>
      <c r="C769" s="18"/>
      <c r="D769" s="13" t="str">
        <f aca="false">IF(OR(B769="",B768="",769=3),"",B769-B768)</f>
        <v/>
      </c>
      <c r="E769" s="18"/>
    </row>
    <row r="770" customFormat="false" ht="15" hidden="false" customHeight="false" outlineLevel="0" collapsed="false">
      <c r="A770" s="25"/>
      <c r="B770" s="18"/>
      <c r="C770" s="18"/>
      <c r="D770" s="13" t="str">
        <f aca="false">IF(OR(B770="",B769="",770=3),"",B770-B769)</f>
        <v/>
      </c>
      <c r="E770" s="18"/>
    </row>
    <row r="771" customFormat="false" ht="15" hidden="false" customHeight="false" outlineLevel="0" collapsed="false">
      <c r="A771" s="25"/>
      <c r="B771" s="18"/>
      <c r="C771" s="18"/>
      <c r="D771" s="13" t="str">
        <f aca="false">IF(OR(B771="",B770="",771=3),"",B771-B770)</f>
        <v/>
      </c>
      <c r="E771" s="18"/>
    </row>
    <row r="772" customFormat="false" ht="15" hidden="false" customHeight="false" outlineLevel="0" collapsed="false">
      <c r="A772" s="25"/>
      <c r="B772" s="18"/>
      <c r="C772" s="18"/>
      <c r="D772" s="13" t="str">
        <f aca="false">IF(OR(B772="",B771="",772=3),"",B772-B771)</f>
        <v/>
      </c>
      <c r="E772" s="18"/>
    </row>
    <row r="773" customFormat="false" ht="15" hidden="false" customHeight="false" outlineLevel="0" collapsed="false">
      <c r="A773" s="25"/>
      <c r="B773" s="18"/>
      <c r="C773" s="18"/>
      <c r="D773" s="13" t="str">
        <f aca="false">IF(OR(B773="",B772="",773=3),"",B773-B772)</f>
        <v/>
      </c>
      <c r="E773" s="18"/>
    </row>
    <row r="774" customFormat="false" ht="15" hidden="false" customHeight="false" outlineLevel="0" collapsed="false">
      <c r="A774" s="25"/>
      <c r="B774" s="18"/>
      <c r="C774" s="18"/>
      <c r="D774" s="13" t="str">
        <f aca="false">IF(OR(B774="",B773="",774=3),"",B774-B773)</f>
        <v/>
      </c>
      <c r="E774" s="18"/>
    </row>
    <row r="775" customFormat="false" ht="15" hidden="false" customHeight="false" outlineLevel="0" collapsed="false">
      <c r="A775" s="25"/>
      <c r="B775" s="18"/>
      <c r="C775" s="18"/>
      <c r="D775" s="13" t="str">
        <f aca="false">IF(OR(B775="",B774="",775=3),"",B775-B774)</f>
        <v/>
      </c>
      <c r="E775" s="18"/>
    </row>
    <row r="776" customFormat="false" ht="15" hidden="false" customHeight="false" outlineLevel="0" collapsed="false">
      <c r="A776" s="25"/>
      <c r="B776" s="18"/>
      <c r="C776" s="18"/>
      <c r="D776" s="13" t="str">
        <f aca="false">IF(OR(B776="",B775="",776=3),"",B776-B775)</f>
        <v/>
      </c>
      <c r="E776" s="18"/>
    </row>
    <row r="777" customFormat="false" ht="15" hidden="false" customHeight="false" outlineLevel="0" collapsed="false">
      <c r="A777" s="25"/>
      <c r="B777" s="18"/>
      <c r="C777" s="18"/>
      <c r="D777" s="13" t="str">
        <f aca="false">IF(OR(B777="",B776="",777=3),"",B777-B776)</f>
        <v/>
      </c>
      <c r="E777" s="18"/>
    </row>
    <row r="778" customFormat="false" ht="15" hidden="false" customHeight="false" outlineLevel="0" collapsed="false">
      <c r="A778" s="25"/>
      <c r="B778" s="18"/>
      <c r="C778" s="18"/>
      <c r="D778" s="13" t="str">
        <f aca="false">IF(OR(B778="",B777="",778=3),"",B778-B777)</f>
        <v/>
      </c>
      <c r="E778" s="18"/>
    </row>
    <row r="779" customFormat="false" ht="15" hidden="false" customHeight="false" outlineLevel="0" collapsed="false">
      <c r="A779" s="25"/>
      <c r="B779" s="18"/>
      <c r="C779" s="18"/>
      <c r="D779" s="13" t="str">
        <f aca="false">IF(OR(B779="",B778="",779=3),"",B779-B778)</f>
        <v/>
      </c>
      <c r="E779" s="18"/>
    </row>
    <row r="780" customFormat="false" ht="15" hidden="false" customHeight="false" outlineLevel="0" collapsed="false">
      <c r="A780" s="25"/>
      <c r="B780" s="18"/>
      <c r="C780" s="18"/>
      <c r="D780" s="13" t="str">
        <f aca="false">IF(OR(B780="",B779="",780=3),"",B780-B779)</f>
        <v/>
      </c>
      <c r="E780" s="18"/>
    </row>
    <row r="781" customFormat="false" ht="15" hidden="false" customHeight="false" outlineLevel="0" collapsed="false">
      <c r="A781" s="25"/>
      <c r="B781" s="18"/>
      <c r="C781" s="18"/>
      <c r="D781" s="13" t="str">
        <f aca="false">IF(OR(B781="",B780="",781=3),"",B781-B780)</f>
        <v/>
      </c>
      <c r="E781" s="18"/>
    </row>
    <row r="782" customFormat="false" ht="15" hidden="false" customHeight="false" outlineLevel="0" collapsed="false">
      <c r="A782" s="25"/>
      <c r="B782" s="18"/>
      <c r="C782" s="18"/>
      <c r="D782" s="13" t="str">
        <f aca="false">IF(OR(B782="",B781="",782=3),"",B782-B781)</f>
        <v/>
      </c>
      <c r="E782" s="18"/>
    </row>
    <row r="783" customFormat="false" ht="15" hidden="false" customHeight="false" outlineLevel="0" collapsed="false">
      <c r="A783" s="25"/>
      <c r="B783" s="18"/>
      <c r="C783" s="18"/>
      <c r="D783" s="13" t="str">
        <f aca="false">IF(OR(B783="",B782="",783=3),"",B783-B782)</f>
        <v/>
      </c>
      <c r="E783" s="18"/>
    </row>
    <row r="784" customFormat="false" ht="15" hidden="false" customHeight="false" outlineLevel="0" collapsed="false">
      <c r="A784" s="25"/>
      <c r="B784" s="18"/>
      <c r="C784" s="18"/>
      <c r="D784" s="13" t="str">
        <f aca="false">IF(OR(B784="",B783="",784=3),"",B784-B783)</f>
        <v/>
      </c>
      <c r="E784" s="18"/>
    </row>
    <row r="785" customFormat="false" ht="15" hidden="false" customHeight="false" outlineLevel="0" collapsed="false">
      <c r="A785" s="25"/>
      <c r="B785" s="18"/>
      <c r="C785" s="18"/>
      <c r="D785" s="13" t="str">
        <f aca="false">IF(OR(B785="",B784="",785=3),"",B785-B784)</f>
        <v/>
      </c>
      <c r="E785" s="18"/>
    </row>
    <row r="786" customFormat="false" ht="15" hidden="false" customHeight="false" outlineLevel="0" collapsed="false">
      <c r="A786" s="25"/>
      <c r="B786" s="18"/>
      <c r="C786" s="18"/>
      <c r="D786" s="13" t="str">
        <f aca="false">IF(OR(B786="",B785="",786=3),"",B786-B785)</f>
        <v/>
      </c>
      <c r="E786" s="18"/>
    </row>
    <row r="787" customFormat="false" ht="15" hidden="false" customHeight="false" outlineLevel="0" collapsed="false">
      <c r="A787" s="25"/>
      <c r="B787" s="18"/>
      <c r="C787" s="18"/>
      <c r="D787" s="13" t="str">
        <f aca="false">IF(OR(B787="",B786="",787=3),"",B787-B786)</f>
        <v/>
      </c>
      <c r="E787" s="18"/>
    </row>
    <row r="788" customFormat="false" ht="15" hidden="false" customHeight="false" outlineLevel="0" collapsed="false">
      <c r="A788" s="25"/>
      <c r="B788" s="18"/>
      <c r="C788" s="18"/>
      <c r="D788" s="13" t="str">
        <f aca="false">IF(OR(B788="",B787="",788=3),"",B788-B787)</f>
        <v/>
      </c>
      <c r="E788" s="18"/>
    </row>
    <row r="789" customFormat="false" ht="15" hidden="false" customHeight="false" outlineLevel="0" collapsed="false">
      <c r="A789" s="25"/>
      <c r="B789" s="18"/>
      <c r="C789" s="18"/>
      <c r="D789" s="13" t="str">
        <f aca="false">IF(OR(B789="",B788="",789=3),"",B789-B788)</f>
        <v/>
      </c>
      <c r="E789" s="18"/>
    </row>
    <row r="790" customFormat="false" ht="15" hidden="false" customHeight="false" outlineLevel="0" collapsed="false">
      <c r="A790" s="25"/>
      <c r="B790" s="18"/>
      <c r="C790" s="18"/>
      <c r="D790" s="13" t="str">
        <f aca="false">IF(OR(B790="",B789="",790=3),"",B790-B789)</f>
        <v/>
      </c>
      <c r="E790" s="18"/>
    </row>
    <row r="791" customFormat="false" ht="15" hidden="false" customHeight="false" outlineLevel="0" collapsed="false">
      <c r="A791" s="25"/>
      <c r="B791" s="18"/>
      <c r="C791" s="18"/>
      <c r="D791" s="13" t="str">
        <f aca="false">IF(OR(B791="",B790="",791=3),"",B791-B790)</f>
        <v/>
      </c>
      <c r="E791" s="18"/>
    </row>
    <row r="792" customFormat="false" ht="15" hidden="false" customHeight="false" outlineLevel="0" collapsed="false">
      <c r="A792" s="25"/>
      <c r="B792" s="18"/>
      <c r="C792" s="18"/>
      <c r="D792" s="13" t="str">
        <f aca="false">IF(OR(B792="",B791="",792=3),"",B792-B791)</f>
        <v/>
      </c>
      <c r="E792" s="18"/>
    </row>
    <row r="793" customFormat="false" ht="15" hidden="false" customHeight="false" outlineLevel="0" collapsed="false">
      <c r="A793" s="25"/>
      <c r="B793" s="18"/>
      <c r="C793" s="18"/>
      <c r="D793" s="13" t="str">
        <f aca="false">IF(OR(B793="",B792="",793=3),"",B793-B792)</f>
        <v/>
      </c>
      <c r="E793" s="18"/>
    </row>
    <row r="794" customFormat="false" ht="15" hidden="false" customHeight="false" outlineLevel="0" collapsed="false">
      <c r="A794" s="25"/>
      <c r="B794" s="18"/>
      <c r="C794" s="18"/>
      <c r="D794" s="13" t="str">
        <f aca="false">IF(OR(B794="",B793="",794=3),"",B794-B793)</f>
        <v/>
      </c>
      <c r="E794" s="18"/>
    </row>
    <row r="795" customFormat="false" ht="15" hidden="false" customHeight="false" outlineLevel="0" collapsed="false">
      <c r="A795" s="25"/>
      <c r="B795" s="18"/>
      <c r="C795" s="18"/>
      <c r="D795" s="13" t="str">
        <f aca="false">IF(OR(B795="",B794="",795=3),"",B795-B794)</f>
        <v/>
      </c>
      <c r="E795" s="18"/>
    </row>
    <row r="796" customFormat="false" ht="15" hidden="false" customHeight="false" outlineLevel="0" collapsed="false">
      <c r="A796" s="25"/>
      <c r="B796" s="18"/>
      <c r="C796" s="18"/>
      <c r="D796" s="13" t="str">
        <f aca="false">IF(OR(B796="",B795="",796=3),"",B796-B795)</f>
        <v/>
      </c>
      <c r="E796" s="18"/>
    </row>
    <row r="797" customFormat="false" ht="15" hidden="false" customHeight="false" outlineLevel="0" collapsed="false">
      <c r="A797" s="25"/>
      <c r="B797" s="18"/>
      <c r="C797" s="18"/>
      <c r="D797" s="13" t="str">
        <f aca="false">IF(OR(B797="",B796="",797=3),"",B797-B796)</f>
        <v/>
      </c>
      <c r="E797" s="18"/>
    </row>
    <row r="798" customFormat="false" ht="15" hidden="false" customHeight="false" outlineLevel="0" collapsed="false">
      <c r="A798" s="25"/>
      <c r="B798" s="18"/>
      <c r="C798" s="18"/>
      <c r="D798" s="13" t="str">
        <f aca="false">IF(OR(B798="",B797="",798=3),"",B798-B797)</f>
        <v/>
      </c>
      <c r="E798" s="18"/>
    </row>
    <row r="799" customFormat="false" ht="15" hidden="false" customHeight="false" outlineLevel="0" collapsed="false">
      <c r="A799" s="25"/>
      <c r="B799" s="18"/>
      <c r="C799" s="18"/>
      <c r="D799" s="13" t="str">
        <f aca="false">IF(OR(B799="",B798="",799=3),"",B799-B798)</f>
        <v/>
      </c>
      <c r="E799" s="18"/>
    </row>
    <row r="800" customFormat="false" ht="15" hidden="false" customHeight="false" outlineLevel="0" collapsed="false">
      <c r="A800" s="25"/>
      <c r="B800" s="18"/>
      <c r="C800" s="18"/>
      <c r="D800" s="13" t="str">
        <f aca="false">IF(OR(B800="",B799="",800=3),"",B800-B799)</f>
        <v/>
      </c>
      <c r="E800" s="18"/>
    </row>
    <row r="801" customFormat="false" ht="15" hidden="false" customHeight="false" outlineLevel="0" collapsed="false">
      <c r="A801" s="25"/>
      <c r="B801" s="18"/>
      <c r="C801" s="18"/>
      <c r="D801" s="13" t="str">
        <f aca="false">IF(OR(B801="",B800="",801=3),"",B801-B800)</f>
        <v/>
      </c>
      <c r="E801" s="18"/>
    </row>
    <row r="802" customFormat="false" ht="15" hidden="false" customHeight="false" outlineLevel="0" collapsed="false">
      <c r="A802" s="25"/>
      <c r="B802" s="18"/>
      <c r="C802" s="18"/>
      <c r="D802" s="13" t="str">
        <f aca="false">IF(OR(B802="",B801="",802=3),"",B802-B801)</f>
        <v/>
      </c>
      <c r="E802" s="18"/>
    </row>
    <row r="803" customFormat="false" ht="15" hidden="false" customHeight="false" outlineLevel="0" collapsed="false">
      <c r="A803" s="25"/>
      <c r="B803" s="18"/>
      <c r="C803" s="18"/>
      <c r="D803" s="13" t="str">
        <f aca="false">IF(OR(B803="",B802="",803=3),"",B803-B802)</f>
        <v/>
      </c>
      <c r="E803" s="18"/>
    </row>
    <row r="804" customFormat="false" ht="15" hidden="false" customHeight="false" outlineLevel="0" collapsed="false">
      <c r="A804" s="25"/>
      <c r="B804" s="18"/>
      <c r="C804" s="18"/>
      <c r="D804" s="13" t="str">
        <f aca="false">IF(OR(B804="",B803="",804=3),"",B804-B803)</f>
        <v/>
      </c>
      <c r="E804" s="18"/>
    </row>
    <row r="805" customFormat="false" ht="15" hidden="false" customHeight="false" outlineLevel="0" collapsed="false">
      <c r="A805" s="25"/>
      <c r="B805" s="18"/>
      <c r="C805" s="18"/>
      <c r="D805" s="13" t="str">
        <f aca="false">IF(OR(B805="",B804="",805=3),"",B805-B804)</f>
        <v/>
      </c>
      <c r="E805" s="18"/>
    </row>
    <row r="806" customFormat="false" ht="15" hidden="false" customHeight="false" outlineLevel="0" collapsed="false">
      <c r="A806" s="25"/>
      <c r="B806" s="18"/>
      <c r="C806" s="18"/>
      <c r="D806" s="13" t="str">
        <f aca="false">IF(OR(B806="",B805="",806=3),"",B806-B805)</f>
        <v/>
      </c>
      <c r="E806" s="18"/>
    </row>
    <row r="807" customFormat="false" ht="15" hidden="false" customHeight="false" outlineLevel="0" collapsed="false">
      <c r="A807" s="25"/>
      <c r="B807" s="18"/>
      <c r="C807" s="18"/>
      <c r="D807" s="13" t="str">
        <f aca="false">IF(OR(B807="",B806="",807=3),"",B807-B806)</f>
        <v/>
      </c>
      <c r="E807" s="18"/>
    </row>
    <row r="808" customFormat="false" ht="15" hidden="false" customHeight="false" outlineLevel="0" collapsed="false">
      <c r="A808" s="25"/>
      <c r="B808" s="18"/>
      <c r="C808" s="18"/>
      <c r="D808" s="13" t="str">
        <f aca="false">IF(OR(B808="",B807="",808=3),"",B808-B807)</f>
        <v/>
      </c>
      <c r="E808" s="18"/>
    </row>
    <row r="809" customFormat="false" ht="15" hidden="false" customHeight="false" outlineLevel="0" collapsed="false">
      <c r="A809" s="25"/>
      <c r="B809" s="18"/>
      <c r="C809" s="18"/>
      <c r="D809" s="13" t="str">
        <f aca="false">IF(OR(B809="",B808="",809=3),"",B809-B808)</f>
        <v/>
      </c>
      <c r="E809" s="18"/>
    </row>
    <row r="810" customFormat="false" ht="15" hidden="false" customHeight="false" outlineLevel="0" collapsed="false">
      <c r="A810" s="25"/>
      <c r="B810" s="18"/>
      <c r="C810" s="18"/>
      <c r="D810" s="13" t="str">
        <f aca="false">IF(OR(B810="",B809="",810=3),"",B810-B809)</f>
        <v/>
      </c>
      <c r="E810" s="18"/>
    </row>
    <row r="811" customFormat="false" ht="15" hidden="false" customHeight="false" outlineLevel="0" collapsed="false">
      <c r="A811" s="25"/>
      <c r="B811" s="18"/>
      <c r="C811" s="18"/>
      <c r="D811" s="13" t="str">
        <f aca="false">IF(OR(B811="",B810="",811=3),"",B811-B810)</f>
        <v/>
      </c>
      <c r="E811" s="18"/>
    </row>
    <row r="812" customFormat="false" ht="15" hidden="false" customHeight="false" outlineLevel="0" collapsed="false">
      <c r="A812" s="25"/>
      <c r="B812" s="18"/>
      <c r="C812" s="18"/>
      <c r="D812" s="13" t="str">
        <f aca="false">IF(OR(B812="",B811="",812=3),"",B812-B811)</f>
        <v/>
      </c>
      <c r="E812" s="18"/>
    </row>
    <row r="813" customFormat="false" ht="15" hidden="false" customHeight="false" outlineLevel="0" collapsed="false">
      <c r="A813" s="25"/>
      <c r="B813" s="18"/>
      <c r="C813" s="18"/>
      <c r="D813" s="13" t="str">
        <f aca="false">IF(OR(B813="",B812="",813=3),"",B813-B812)</f>
        <v/>
      </c>
      <c r="E813" s="18"/>
    </row>
    <row r="814" customFormat="false" ht="15" hidden="false" customHeight="false" outlineLevel="0" collapsed="false">
      <c r="A814" s="25"/>
      <c r="B814" s="18"/>
      <c r="C814" s="18"/>
      <c r="D814" s="13" t="str">
        <f aca="false">IF(OR(B814="",B813="",814=3),"",B814-B813)</f>
        <v/>
      </c>
      <c r="E814" s="18"/>
    </row>
    <row r="815" customFormat="false" ht="15" hidden="false" customHeight="false" outlineLevel="0" collapsed="false">
      <c r="A815" s="25"/>
      <c r="B815" s="18"/>
      <c r="C815" s="18"/>
      <c r="D815" s="13" t="str">
        <f aca="false">IF(OR(B815="",B814="",815=3),"",B815-B814)</f>
        <v/>
      </c>
      <c r="E815" s="18"/>
    </row>
    <row r="816" customFormat="false" ht="15" hidden="false" customHeight="false" outlineLevel="0" collapsed="false">
      <c r="A816" s="25"/>
      <c r="B816" s="18"/>
      <c r="C816" s="18"/>
      <c r="D816" s="13" t="str">
        <f aca="false">IF(OR(B816="",B815="",816=3),"",B816-B815)</f>
        <v/>
      </c>
      <c r="E816" s="18"/>
    </row>
    <row r="817" customFormat="false" ht="15" hidden="false" customHeight="false" outlineLevel="0" collapsed="false">
      <c r="A817" s="25"/>
      <c r="B817" s="18"/>
      <c r="C817" s="18"/>
      <c r="D817" s="13" t="str">
        <f aca="false">IF(OR(B817="",B816="",817=3),"",B817-B816)</f>
        <v/>
      </c>
      <c r="E817" s="18"/>
    </row>
    <row r="818" customFormat="false" ht="15" hidden="false" customHeight="false" outlineLevel="0" collapsed="false">
      <c r="A818" s="25"/>
      <c r="B818" s="18"/>
      <c r="C818" s="18"/>
      <c r="D818" s="13" t="str">
        <f aca="false">IF(OR(B818="",B817="",818=3),"",B818-B817)</f>
        <v/>
      </c>
      <c r="E818" s="18"/>
    </row>
    <row r="819" customFormat="false" ht="15" hidden="false" customHeight="false" outlineLevel="0" collapsed="false">
      <c r="A819" s="25"/>
      <c r="B819" s="18"/>
      <c r="C819" s="18"/>
      <c r="D819" s="13" t="str">
        <f aca="false">IF(OR(B819="",B818="",819=3),"",B819-B818)</f>
        <v/>
      </c>
      <c r="E819" s="18"/>
    </row>
    <row r="820" customFormat="false" ht="15" hidden="false" customHeight="false" outlineLevel="0" collapsed="false">
      <c r="A820" s="25"/>
      <c r="B820" s="18"/>
      <c r="C820" s="18"/>
      <c r="D820" s="13" t="str">
        <f aca="false">IF(OR(B820="",B819="",820=3),"",B820-B819)</f>
        <v/>
      </c>
      <c r="E820" s="18"/>
    </row>
    <row r="821" customFormat="false" ht="15" hidden="false" customHeight="false" outlineLevel="0" collapsed="false">
      <c r="A821" s="25"/>
      <c r="B821" s="18"/>
      <c r="C821" s="18"/>
      <c r="D821" s="13" t="str">
        <f aca="false">IF(OR(B821="",B820="",821=3),"",B821-B820)</f>
        <v/>
      </c>
      <c r="E821" s="18"/>
    </row>
    <row r="822" customFormat="false" ht="15" hidden="false" customHeight="false" outlineLevel="0" collapsed="false">
      <c r="A822" s="25"/>
      <c r="B822" s="18"/>
      <c r="C822" s="18"/>
      <c r="D822" s="13" t="str">
        <f aca="false">IF(OR(B822="",B821="",822=3),"",B822-B821)</f>
        <v/>
      </c>
      <c r="E822" s="18"/>
    </row>
    <row r="823" customFormat="false" ht="15" hidden="false" customHeight="false" outlineLevel="0" collapsed="false">
      <c r="A823" s="25"/>
      <c r="B823" s="18"/>
      <c r="C823" s="18"/>
      <c r="D823" s="13" t="str">
        <f aca="false">IF(OR(B823="",B822="",823=3),"",B823-B822)</f>
        <v/>
      </c>
      <c r="E823" s="18"/>
    </row>
    <row r="824" customFormat="false" ht="15" hidden="false" customHeight="false" outlineLevel="0" collapsed="false">
      <c r="A824" s="25"/>
      <c r="B824" s="18"/>
      <c r="C824" s="18"/>
      <c r="D824" s="13" t="str">
        <f aca="false">IF(OR(B824="",B823="",824=3),"",B824-B823)</f>
        <v/>
      </c>
      <c r="E824" s="18"/>
    </row>
    <row r="825" customFormat="false" ht="15" hidden="false" customHeight="false" outlineLevel="0" collapsed="false">
      <c r="A825" s="25"/>
      <c r="B825" s="18"/>
      <c r="C825" s="18"/>
      <c r="D825" s="13" t="str">
        <f aca="false">IF(OR(B825="",B824="",825=3),"",B825-B824)</f>
        <v/>
      </c>
      <c r="E825" s="18"/>
    </row>
    <row r="826" customFormat="false" ht="15" hidden="false" customHeight="false" outlineLevel="0" collapsed="false">
      <c r="A826" s="25"/>
      <c r="B826" s="18"/>
      <c r="C826" s="18"/>
      <c r="D826" s="13" t="str">
        <f aca="false">IF(OR(B826="",B825="",826=3),"",B826-B825)</f>
        <v/>
      </c>
      <c r="E826" s="18"/>
    </row>
    <row r="827" customFormat="false" ht="15" hidden="false" customHeight="false" outlineLevel="0" collapsed="false">
      <c r="A827" s="25"/>
      <c r="B827" s="18"/>
      <c r="C827" s="18"/>
      <c r="D827" s="13" t="str">
        <f aca="false">IF(OR(B827="",B826="",827=3),"",B827-B826)</f>
        <v/>
      </c>
      <c r="E827" s="18"/>
    </row>
    <row r="828" customFormat="false" ht="15" hidden="false" customHeight="false" outlineLevel="0" collapsed="false">
      <c r="A828" s="25"/>
      <c r="B828" s="18"/>
      <c r="C828" s="18"/>
      <c r="D828" s="13" t="str">
        <f aca="false">IF(OR(B828="",B827="",828=3),"",B828-B827)</f>
        <v/>
      </c>
      <c r="E828" s="18"/>
    </row>
    <row r="829" customFormat="false" ht="15" hidden="false" customHeight="false" outlineLevel="0" collapsed="false">
      <c r="A829" s="25"/>
      <c r="B829" s="18"/>
      <c r="C829" s="18"/>
      <c r="D829" s="13" t="str">
        <f aca="false">IF(OR(B829="",B828="",829=3),"",B829-B828)</f>
        <v/>
      </c>
      <c r="E829" s="18"/>
    </row>
    <row r="830" customFormat="false" ht="15" hidden="false" customHeight="false" outlineLevel="0" collapsed="false">
      <c r="A830" s="25"/>
      <c r="B830" s="18"/>
      <c r="C830" s="18"/>
      <c r="D830" s="13" t="str">
        <f aca="false">IF(OR(B830="",B829="",830=3),"",B830-B829)</f>
        <v/>
      </c>
      <c r="E830" s="18"/>
    </row>
    <row r="831" customFormat="false" ht="15" hidden="false" customHeight="false" outlineLevel="0" collapsed="false">
      <c r="A831" s="25"/>
      <c r="B831" s="18"/>
      <c r="C831" s="18"/>
      <c r="D831" s="13" t="str">
        <f aca="false">IF(OR(B831="",B830="",831=3),"",B831-B830)</f>
        <v/>
      </c>
      <c r="E831" s="18"/>
    </row>
    <row r="832" customFormat="false" ht="15" hidden="false" customHeight="false" outlineLevel="0" collapsed="false">
      <c r="A832" s="25"/>
      <c r="B832" s="18"/>
      <c r="C832" s="18"/>
      <c r="D832" s="13" t="str">
        <f aca="false">IF(OR(B832="",B831="",832=3),"",B832-B831)</f>
        <v/>
      </c>
      <c r="E832" s="18"/>
    </row>
    <row r="833" customFormat="false" ht="15" hidden="false" customHeight="false" outlineLevel="0" collapsed="false">
      <c r="A833" s="25"/>
      <c r="B833" s="18"/>
      <c r="C833" s="18"/>
      <c r="D833" s="13" t="str">
        <f aca="false">IF(OR(B833="",B832="",833=3),"",B833-B832)</f>
        <v/>
      </c>
      <c r="E833" s="18"/>
    </row>
    <row r="834" customFormat="false" ht="15" hidden="false" customHeight="false" outlineLevel="0" collapsed="false">
      <c r="A834" s="25"/>
      <c r="B834" s="18"/>
      <c r="C834" s="18"/>
      <c r="D834" s="13" t="str">
        <f aca="false">IF(OR(B834="",B833="",834=3),"",B834-B833)</f>
        <v/>
      </c>
      <c r="E834" s="18"/>
    </row>
    <row r="835" customFormat="false" ht="15" hidden="false" customHeight="false" outlineLevel="0" collapsed="false">
      <c r="A835" s="25"/>
      <c r="B835" s="18"/>
      <c r="C835" s="18"/>
      <c r="D835" s="13" t="str">
        <f aca="false">IF(OR(B835="",B834="",835=3),"",B835-B834)</f>
        <v/>
      </c>
      <c r="E835" s="18"/>
    </row>
    <row r="836" customFormat="false" ht="15" hidden="false" customHeight="false" outlineLevel="0" collapsed="false">
      <c r="A836" s="25"/>
      <c r="B836" s="18"/>
      <c r="C836" s="18"/>
      <c r="D836" s="13" t="str">
        <f aca="false">IF(OR(B836="",B835="",836=3),"",B836-B835)</f>
        <v/>
      </c>
      <c r="E836" s="18"/>
    </row>
    <row r="837" customFormat="false" ht="15" hidden="false" customHeight="false" outlineLevel="0" collapsed="false">
      <c r="A837" s="25"/>
      <c r="B837" s="18"/>
      <c r="C837" s="18"/>
      <c r="D837" s="13" t="str">
        <f aca="false">IF(OR(B837="",B836="",837=3),"",B837-B836)</f>
        <v/>
      </c>
      <c r="E837" s="18"/>
    </row>
    <row r="838" customFormat="false" ht="15" hidden="false" customHeight="false" outlineLevel="0" collapsed="false">
      <c r="A838" s="25"/>
      <c r="B838" s="18"/>
      <c r="C838" s="18"/>
      <c r="D838" s="13" t="str">
        <f aca="false">IF(OR(B838="",B837="",838=3),"",B838-B837)</f>
        <v/>
      </c>
      <c r="E838" s="18"/>
    </row>
    <row r="839" customFormat="false" ht="15" hidden="false" customHeight="false" outlineLevel="0" collapsed="false">
      <c r="A839" s="25"/>
      <c r="B839" s="18"/>
      <c r="C839" s="18"/>
      <c r="D839" s="13" t="str">
        <f aca="false">IF(OR(B839="",B838="",839=3),"",B839-B838)</f>
        <v/>
      </c>
      <c r="E839" s="18"/>
    </row>
    <row r="840" customFormat="false" ht="15" hidden="false" customHeight="false" outlineLevel="0" collapsed="false">
      <c r="A840" s="25"/>
      <c r="B840" s="18"/>
      <c r="C840" s="18"/>
      <c r="D840" s="13" t="str">
        <f aca="false">IF(OR(B840="",B839="",840=3),"",B840-B839)</f>
        <v/>
      </c>
      <c r="E840" s="18"/>
    </row>
    <row r="841" customFormat="false" ht="15" hidden="false" customHeight="false" outlineLevel="0" collapsed="false">
      <c r="A841" s="25"/>
      <c r="B841" s="18"/>
      <c r="C841" s="18"/>
      <c r="D841" s="13" t="str">
        <f aca="false">IF(OR(B841="",B840="",841=3),"",B841-B840)</f>
        <v/>
      </c>
      <c r="E841" s="18"/>
    </row>
    <row r="842" customFormat="false" ht="15" hidden="false" customHeight="false" outlineLevel="0" collapsed="false">
      <c r="A842" s="25"/>
      <c r="B842" s="18"/>
      <c r="C842" s="18"/>
      <c r="D842" s="13" t="str">
        <f aca="false">IF(OR(B842="",B841="",842=3),"",B842-B841)</f>
        <v/>
      </c>
      <c r="E842" s="18"/>
    </row>
    <row r="843" customFormat="false" ht="15" hidden="false" customHeight="false" outlineLevel="0" collapsed="false">
      <c r="A843" s="25"/>
      <c r="B843" s="18"/>
      <c r="C843" s="18"/>
      <c r="D843" s="13" t="str">
        <f aca="false">IF(OR(B843="",B842="",843=3),"",B843-B842)</f>
        <v/>
      </c>
      <c r="E843" s="18"/>
    </row>
    <row r="844" customFormat="false" ht="15" hidden="false" customHeight="false" outlineLevel="0" collapsed="false">
      <c r="A844" s="25"/>
      <c r="B844" s="18"/>
      <c r="C844" s="18"/>
      <c r="D844" s="13" t="str">
        <f aca="false">IF(OR(B844="",B843="",844=3),"",B844-B843)</f>
        <v/>
      </c>
      <c r="E844" s="18"/>
    </row>
    <row r="845" customFormat="false" ht="15" hidden="false" customHeight="false" outlineLevel="0" collapsed="false">
      <c r="A845" s="25"/>
      <c r="B845" s="18"/>
      <c r="C845" s="18"/>
      <c r="D845" s="13" t="str">
        <f aca="false">IF(OR(B845="",B844="",845=3),"",B845-B844)</f>
        <v/>
      </c>
      <c r="E845" s="18"/>
    </row>
    <row r="846" customFormat="false" ht="15" hidden="false" customHeight="false" outlineLevel="0" collapsed="false">
      <c r="A846" s="25"/>
      <c r="B846" s="18"/>
      <c r="C846" s="18"/>
      <c r="D846" s="13" t="str">
        <f aca="false">IF(OR(B846="",B845="",846=3),"",B846-B845)</f>
        <v/>
      </c>
      <c r="E846" s="18"/>
    </row>
    <row r="847" customFormat="false" ht="15" hidden="false" customHeight="false" outlineLevel="0" collapsed="false">
      <c r="A847" s="25"/>
      <c r="B847" s="18"/>
      <c r="C847" s="18"/>
      <c r="D847" s="13" t="str">
        <f aca="false">IF(OR(B847="",B846="",847=3),"",B847-B846)</f>
        <v/>
      </c>
      <c r="E847" s="18"/>
    </row>
    <row r="848" customFormat="false" ht="15" hidden="false" customHeight="false" outlineLevel="0" collapsed="false">
      <c r="A848" s="25"/>
      <c r="B848" s="18"/>
      <c r="C848" s="18"/>
      <c r="D848" s="13" t="str">
        <f aca="false">IF(OR(B848="",B847="",848=3),"",B848-B847)</f>
        <v/>
      </c>
      <c r="E848" s="18"/>
    </row>
    <row r="849" customFormat="false" ht="15" hidden="false" customHeight="false" outlineLevel="0" collapsed="false">
      <c r="A849" s="25"/>
      <c r="B849" s="18"/>
      <c r="C849" s="18"/>
      <c r="D849" s="13" t="str">
        <f aca="false">IF(OR(B849="",B848="",849=3),"",B849-B848)</f>
        <v/>
      </c>
      <c r="E849" s="18"/>
    </row>
    <row r="850" customFormat="false" ht="15" hidden="false" customHeight="false" outlineLevel="0" collapsed="false">
      <c r="A850" s="25"/>
      <c r="B850" s="18"/>
      <c r="C850" s="18"/>
      <c r="D850" s="13" t="str">
        <f aca="false">IF(OR(B850="",B849="",850=3),"",B850-B849)</f>
        <v/>
      </c>
      <c r="E850" s="18"/>
    </row>
    <row r="851" customFormat="false" ht="15" hidden="false" customHeight="false" outlineLevel="0" collapsed="false">
      <c r="A851" s="25"/>
      <c r="B851" s="18"/>
      <c r="C851" s="18"/>
      <c r="D851" s="13" t="str">
        <f aca="false">IF(OR(B851="",B850="",851=3),"",B851-B850)</f>
        <v/>
      </c>
      <c r="E851" s="18"/>
    </row>
    <row r="852" customFormat="false" ht="15" hidden="false" customHeight="false" outlineLevel="0" collapsed="false">
      <c r="A852" s="25"/>
      <c r="B852" s="18"/>
      <c r="C852" s="18"/>
      <c r="D852" s="13" t="str">
        <f aca="false">IF(OR(B852="",B851="",852=3),"",B852-B851)</f>
        <v/>
      </c>
      <c r="E852" s="18"/>
    </row>
    <row r="853" customFormat="false" ht="15" hidden="false" customHeight="false" outlineLevel="0" collapsed="false">
      <c r="A853" s="25"/>
      <c r="B853" s="18"/>
      <c r="C853" s="18"/>
      <c r="D853" s="13" t="str">
        <f aca="false">IF(OR(B853="",B852="",853=3),"",B853-B852)</f>
        <v/>
      </c>
      <c r="E853" s="18"/>
    </row>
    <row r="854" customFormat="false" ht="15" hidden="false" customHeight="false" outlineLevel="0" collapsed="false">
      <c r="A854" s="25"/>
      <c r="B854" s="18"/>
      <c r="C854" s="18"/>
      <c r="D854" s="13" t="str">
        <f aca="false">IF(OR(B854="",B853="",854=3),"",B854-B853)</f>
        <v/>
      </c>
      <c r="E854" s="18"/>
    </row>
    <row r="855" customFormat="false" ht="15" hidden="false" customHeight="false" outlineLevel="0" collapsed="false">
      <c r="A855" s="25"/>
      <c r="B855" s="18"/>
      <c r="C855" s="18"/>
      <c r="D855" s="13" t="str">
        <f aca="false">IF(OR(B855="",B854="",855=3),"",B855-B854)</f>
        <v/>
      </c>
      <c r="E855" s="18"/>
    </row>
    <row r="856" customFormat="false" ht="15" hidden="false" customHeight="false" outlineLevel="0" collapsed="false">
      <c r="A856" s="25"/>
      <c r="B856" s="18"/>
      <c r="C856" s="18"/>
      <c r="D856" s="13" t="str">
        <f aca="false">IF(OR(B856="",B855="",856=3),"",B856-B855)</f>
        <v/>
      </c>
      <c r="E856" s="18"/>
    </row>
    <row r="857" customFormat="false" ht="15" hidden="false" customHeight="false" outlineLevel="0" collapsed="false">
      <c r="A857" s="25"/>
      <c r="B857" s="18"/>
      <c r="C857" s="18"/>
      <c r="D857" s="13" t="str">
        <f aca="false">IF(OR(B857="",B856="",857=3),"",B857-B856)</f>
        <v/>
      </c>
      <c r="E857" s="18"/>
    </row>
    <row r="858" customFormat="false" ht="15" hidden="false" customHeight="false" outlineLevel="0" collapsed="false">
      <c r="A858" s="25"/>
      <c r="B858" s="18"/>
      <c r="C858" s="18"/>
      <c r="D858" s="13" t="str">
        <f aca="false">IF(OR(B858="",B857="",858=3),"",B858-B857)</f>
        <v/>
      </c>
      <c r="E858" s="18"/>
    </row>
    <row r="859" customFormat="false" ht="15" hidden="false" customHeight="false" outlineLevel="0" collapsed="false">
      <c r="A859" s="25"/>
      <c r="B859" s="18"/>
      <c r="C859" s="18"/>
      <c r="D859" s="13" t="str">
        <f aca="false">IF(OR(B859="",B858="",859=3),"",B859-B858)</f>
        <v/>
      </c>
      <c r="E859" s="18"/>
    </row>
    <row r="860" customFormat="false" ht="15" hidden="false" customHeight="false" outlineLevel="0" collapsed="false">
      <c r="A860" s="25"/>
      <c r="B860" s="18"/>
      <c r="C860" s="18"/>
      <c r="D860" s="13" t="str">
        <f aca="false">IF(OR(B860="",B859="",860=3),"",B860-B859)</f>
        <v/>
      </c>
      <c r="E860" s="18"/>
    </row>
    <row r="861" customFormat="false" ht="15" hidden="false" customHeight="false" outlineLevel="0" collapsed="false">
      <c r="A861" s="25"/>
      <c r="B861" s="18"/>
      <c r="C861" s="18"/>
      <c r="D861" s="13" t="str">
        <f aca="false">IF(OR(B861="",B860="",861=3),"",B861-B860)</f>
        <v/>
      </c>
      <c r="E861" s="18"/>
    </row>
    <row r="862" customFormat="false" ht="15" hidden="false" customHeight="false" outlineLevel="0" collapsed="false">
      <c r="A862" s="25"/>
      <c r="B862" s="18"/>
      <c r="C862" s="18"/>
      <c r="D862" s="13" t="str">
        <f aca="false">IF(OR(B862="",B861="",862=3),"",B862-B861)</f>
        <v/>
      </c>
      <c r="E862" s="18"/>
    </row>
    <row r="863" customFormat="false" ht="15" hidden="false" customHeight="false" outlineLevel="0" collapsed="false">
      <c r="A863" s="25"/>
      <c r="B863" s="18"/>
      <c r="C863" s="18"/>
      <c r="D863" s="13" t="str">
        <f aca="false">IF(OR(B863="",B862="",863=3),"",B863-B862)</f>
        <v/>
      </c>
      <c r="E863" s="18"/>
    </row>
    <row r="864" customFormat="false" ht="15" hidden="false" customHeight="false" outlineLevel="0" collapsed="false">
      <c r="A864" s="25"/>
      <c r="B864" s="18"/>
      <c r="C864" s="18"/>
      <c r="D864" s="13" t="str">
        <f aca="false">IF(OR(B864="",B863="",864=3),"",B864-B863)</f>
        <v/>
      </c>
      <c r="E864" s="18"/>
    </row>
    <row r="865" customFormat="false" ht="15" hidden="false" customHeight="false" outlineLevel="0" collapsed="false">
      <c r="A865" s="25"/>
      <c r="B865" s="18"/>
      <c r="C865" s="18"/>
      <c r="D865" s="13" t="str">
        <f aca="false">IF(OR(B865="",B864="",865=3),"",B865-B864)</f>
        <v/>
      </c>
      <c r="E865" s="18"/>
    </row>
    <row r="866" customFormat="false" ht="15" hidden="false" customHeight="false" outlineLevel="0" collapsed="false">
      <c r="A866" s="25"/>
      <c r="B866" s="18"/>
      <c r="C866" s="18"/>
      <c r="D866" s="13" t="str">
        <f aca="false">IF(OR(B866="",B865="",866=3),"",B866-B865)</f>
        <v/>
      </c>
      <c r="E866" s="18"/>
    </row>
    <row r="867" customFormat="false" ht="15" hidden="false" customHeight="false" outlineLevel="0" collapsed="false">
      <c r="A867" s="25"/>
      <c r="B867" s="18"/>
      <c r="C867" s="18"/>
      <c r="D867" s="13" t="str">
        <f aca="false">IF(OR(B867="",B866="",867=3),"",B867-B866)</f>
        <v/>
      </c>
      <c r="E867" s="18"/>
    </row>
    <row r="868" customFormat="false" ht="15" hidden="false" customHeight="false" outlineLevel="0" collapsed="false">
      <c r="A868" s="25"/>
      <c r="B868" s="18"/>
      <c r="C868" s="18"/>
      <c r="D868" s="13" t="str">
        <f aca="false">IF(OR(B868="",B867="",868=3),"",B868-B867)</f>
        <v/>
      </c>
      <c r="E868" s="18"/>
    </row>
    <row r="869" customFormat="false" ht="15" hidden="false" customHeight="false" outlineLevel="0" collapsed="false">
      <c r="A869" s="25"/>
      <c r="B869" s="18"/>
      <c r="C869" s="18"/>
      <c r="D869" s="13" t="str">
        <f aca="false">IF(OR(B869="",B868="",869=3),"",B869-B868)</f>
        <v/>
      </c>
      <c r="E869" s="18"/>
    </row>
    <row r="870" customFormat="false" ht="15" hidden="false" customHeight="false" outlineLevel="0" collapsed="false">
      <c r="A870" s="25"/>
      <c r="B870" s="18"/>
      <c r="C870" s="18"/>
      <c r="D870" s="13" t="str">
        <f aca="false">IF(OR(B870="",B869="",870=3),"",B870-B869)</f>
        <v/>
      </c>
      <c r="E870" s="18"/>
    </row>
    <row r="871" customFormat="false" ht="15" hidden="false" customHeight="false" outlineLevel="0" collapsed="false">
      <c r="A871" s="25"/>
      <c r="B871" s="18"/>
      <c r="C871" s="18"/>
      <c r="D871" s="13" t="str">
        <f aca="false">IF(OR(B871="",B870="",871=3),"",B871-B870)</f>
        <v/>
      </c>
      <c r="E871" s="18"/>
    </row>
    <row r="872" customFormat="false" ht="15" hidden="false" customHeight="false" outlineLevel="0" collapsed="false">
      <c r="A872" s="25"/>
      <c r="B872" s="18"/>
      <c r="C872" s="18"/>
      <c r="D872" s="13" t="str">
        <f aca="false">IF(OR(B872="",B871="",872=3),"",B872-B871)</f>
        <v/>
      </c>
      <c r="E872" s="18"/>
    </row>
    <row r="873" customFormat="false" ht="15" hidden="false" customHeight="false" outlineLevel="0" collapsed="false">
      <c r="A873" s="25"/>
      <c r="B873" s="18"/>
      <c r="C873" s="18"/>
      <c r="D873" s="13" t="str">
        <f aca="false">IF(OR(B873="",B872="",873=3),"",B873-B872)</f>
        <v/>
      </c>
      <c r="E873" s="18"/>
    </row>
    <row r="874" customFormat="false" ht="15" hidden="false" customHeight="false" outlineLevel="0" collapsed="false">
      <c r="A874" s="25"/>
      <c r="B874" s="18"/>
      <c r="C874" s="18"/>
      <c r="D874" s="13" t="str">
        <f aca="false">IF(OR(B874="",B873="",874=3),"",B874-B873)</f>
        <v/>
      </c>
      <c r="E874" s="18"/>
    </row>
    <row r="875" customFormat="false" ht="15" hidden="false" customHeight="false" outlineLevel="0" collapsed="false">
      <c r="A875" s="25"/>
      <c r="B875" s="18"/>
      <c r="C875" s="18"/>
      <c r="D875" s="13" t="str">
        <f aca="false">IF(OR(B875="",B874="",875=3),"",B875-B874)</f>
        <v/>
      </c>
      <c r="E875" s="18"/>
    </row>
    <row r="876" customFormat="false" ht="15" hidden="false" customHeight="false" outlineLevel="0" collapsed="false">
      <c r="A876" s="25"/>
      <c r="B876" s="18"/>
      <c r="C876" s="18"/>
      <c r="D876" s="13" t="str">
        <f aca="false">IF(OR(B876="",B875="",876=3),"",B876-B875)</f>
        <v/>
      </c>
      <c r="E876" s="18"/>
    </row>
    <row r="877" customFormat="false" ht="15" hidden="false" customHeight="false" outlineLevel="0" collapsed="false">
      <c r="A877" s="25"/>
      <c r="B877" s="18"/>
      <c r="C877" s="18"/>
      <c r="D877" s="13" t="str">
        <f aca="false">IF(OR(B877="",B876="",877=3),"",B877-B876)</f>
        <v/>
      </c>
      <c r="E877" s="18"/>
    </row>
    <row r="878" customFormat="false" ht="15" hidden="false" customHeight="false" outlineLevel="0" collapsed="false">
      <c r="A878" s="25"/>
      <c r="B878" s="18"/>
      <c r="C878" s="18"/>
      <c r="D878" s="13" t="str">
        <f aca="false">IF(OR(B878="",B877="",878=3),"",B878-B877)</f>
        <v/>
      </c>
      <c r="E878" s="18"/>
    </row>
    <row r="879" customFormat="false" ht="15" hidden="false" customHeight="false" outlineLevel="0" collapsed="false">
      <c r="A879" s="25"/>
      <c r="B879" s="18"/>
      <c r="C879" s="18"/>
      <c r="D879" s="13" t="str">
        <f aca="false">IF(OR(B879="",B878="",879=3),"",B879-B878)</f>
        <v/>
      </c>
      <c r="E879" s="18"/>
    </row>
    <row r="880" customFormat="false" ht="15" hidden="false" customHeight="false" outlineLevel="0" collapsed="false">
      <c r="A880" s="25"/>
      <c r="B880" s="18"/>
      <c r="C880" s="18"/>
      <c r="D880" s="13" t="str">
        <f aca="false">IF(OR(B880="",B879="",880=3),"",B880-B879)</f>
        <v/>
      </c>
      <c r="E880" s="18"/>
    </row>
    <row r="881" customFormat="false" ht="15" hidden="false" customHeight="false" outlineLevel="0" collapsed="false">
      <c r="A881" s="25"/>
      <c r="B881" s="18"/>
      <c r="C881" s="18"/>
      <c r="D881" s="13" t="str">
        <f aca="false">IF(OR(B881="",B880="",881=3),"",B881-B880)</f>
        <v/>
      </c>
      <c r="E881" s="18"/>
    </row>
    <row r="882" customFormat="false" ht="15" hidden="false" customHeight="false" outlineLevel="0" collapsed="false">
      <c r="A882" s="25"/>
      <c r="B882" s="18"/>
      <c r="C882" s="18"/>
      <c r="D882" s="13" t="str">
        <f aca="false">IF(OR(B882="",B881="",882=3),"",B882-B881)</f>
        <v/>
      </c>
      <c r="E882" s="18"/>
    </row>
    <row r="883" customFormat="false" ht="15" hidden="false" customHeight="false" outlineLevel="0" collapsed="false">
      <c r="A883" s="25"/>
      <c r="B883" s="18"/>
      <c r="C883" s="18"/>
      <c r="D883" s="13" t="str">
        <f aca="false">IF(OR(B883="",B882="",883=3),"",B883-B882)</f>
        <v/>
      </c>
      <c r="E883" s="18"/>
    </row>
    <row r="884" customFormat="false" ht="15" hidden="false" customHeight="false" outlineLevel="0" collapsed="false">
      <c r="A884" s="25"/>
      <c r="B884" s="18"/>
      <c r="C884" s="18"/>
      <c r="D884" s="13" t="str">
        <f aca="false">IF(OR(B884="",B883="",884=3),"",B884-B883)</f>
        <v/>
      </c>
      <c r="E884" s="18"/>
    </row>
    <row r="885" customFormat="false" ht="15" hidden="false" customHeight="false" outlineLevel="0" collapsed="false">
      <c r="A885" s="25"/>
      <c r="B885" s="18"/>
      <c r="C885" s="18"/>
      <c r="D885" s="13" t="str">
        <f aca="false">IF(OR(B885="",B884="",885=3),"",B885-B884)</f>
        <v/>
      </c>
      <c r="E885" s="18"/>
    </row>
    <row r="886" customFormat="false" ht="15" hidden="false" customHeight="false" outlineLevel="0" collapsed="false">
      <c r="A886" s="25"/>
      <c r="B886" s="18"/>
      <c r="C886" s="18"/>
      <c r="D886" s="13" t="str">
        <f aca="false">IF(OR(B886="",B885="",886=3),"",B886-B885)</f>
        <v/>
      </c>
      <c r="E886" s="18"/>
    </row>
    <row r="887" customFormat="false" ht="15" hidden="false" customHeight="false" outlineLevel="0" collapsed="false">
      <c r="A887" s="25"/>
      <c r="B887" s="18"/>
      <c r="C887" s="18"/>
      <c r="D887" s="13" t="str">
        <f aca="false">IF(OR(B887="",B886="",887=3),"",B887-B886)</f>
        <v/>
      </c>
      <c r="E887" s="18"/>
    </row>
    <row r="888" customFormat="false" ht="15" hidden="false" customHeight="false" outlineLevel="0" collapsed="false">
      <c r="A888" s="25"/>
      <c r="B888" s="18"/>
      <c r="C888" s="18"/>
      <c r="D888" s="13" t="str">
        <f aca="false">IF(OR(B888="",B887="",888=3),"",B888-B887)</f>
        <v/>
      </c>
      <c r="E888" s="18"/>
    </row>
    <row r="889" customFormat="false" ht="15" hidden="false" customHeight="false" outlineLevel="0" collapsed="false">
      <c r="A889" s="25"/>
      <c r="B889" s="18"/>
      <c r="C889" s="18"/>
      <c r="D889" s="13" t="str">
        <f aca="false">IF(OR(B889="",B888="",889=3),"",B889-B888)</f>
        <v/>
      </c>
      <c r="E889" s="18"/>
    </row>
    <row r="890" customFormat="false" ht="15" hidden="false" customHeight="false" outlineLevel="0" collapsed="false">
      <c r="A890" s="25"/>
      <c r="B890" s="18"/>
      <c r="C890" s="18"/>
      <c r="D890" s="13" t="str">
        <f aca="false">IF(OR(B890="",B889="",890=3),"",B890-B889)</f>
        <v/>
      </c>
      <c r="E890" s="18"/>
    </row>
    <row r="891" customFormat="false" ht="15" hidden="false" customHeight="false" outlineLevel="0" collapsed="false">
      <c r="A891" s="25"/>
      <c r="B891" s="18"/>
      <c r="C891" s="18"/>
      <c r="D891" s="13" t="str">
        <f aca="false">IF(OR(B891="",B890="",891=3),"",B891-B890)</f>
        <v/>
      </c>
      <c r="E891" s="18"/>
    </row>
    <row r="892" customFormat="false" ht="15" hidden="false" customHeight="false" outlineLevel="0" collapsed="false">
      <c r="A892" s="25"/>
      <c r="B892" s="18"/>
      <c r="C892" s="18"/>
      <c r="D892" s="13" t="str">
        <f aca="false">IF(OR(B892="",B891="",892=3),"",B892-B891)</f>
        <v/>
      </c>
      <c r="E892" s="18"/>
    </row>
    <row r="893" customFormat="false" ht="15" hidden="false" customHeight="false" outlineLevel="0" collapsed="false">
      <c r="A893" s="25"/>
      <c r="B893" s="18"/>
      <c r="C893" s="18"/>
      <c r="D893" s="13" t="str">
        <f aca="false">IF(OR(B893="",B892="",893=3),"",B893-B892)</f>
        <v/>
      </c>
      <c r="E893" s="18"/>
    </row>
    <row r="894" customFormat="false" ht="15" hidden="false" customHeight="false" outlineLevel="0" collapsed="false">
      <c r="A894" s="25"/>
      <c r="B894" s="18"/>
      <c r="C894" s="18"/>
      <c r="D894" s="13" t="str">
        <f aca="false">IF(OR(B894="",B893="",894=3),"",B894-B893)</f>
        <v/>
      </c>
      <c r="E894" s="18"/>
    </row>
    <row r="895" customFormat="false" ht="15" hidden="false" customHeight="false" outlineLevel="0" collapsed="false">
      <c r="A895" s="25"/>
      <c r="B895" s="18"/>
      <c r="C895" s="18"/>
      <c r="D895" s="13" t="str">
        <f aca="false">IF(OR(B895="",B894="",895=3),"",B895-B894)</f>
        <v/>
      </c>
      <c r="E895" s="18"/>
    </row>
    <row r="896" customFormat="false" ht="15" hidden="false" customHeight="false" outlineLevel="0" collapsed="false">
      <c r="A896" s="25"/>
      <c r="B896" s="18"/>
      <c r="C896" s="18"/>
      <c r="D896" s="13" t="str">
        <f aca="false">IF(OR(B896="",B895="",896=3),"",B896-B895)</f>
        <v/>
      </c>
      <c r="E896" s="18"/>
    </row>
    <row r="897" customFormat="false" ht="15" hidden="false" customHeight="false" outlineLevel="0" collapsed="false">
      <c r="A897" s="25"/>
      <c r="B897" s="18"/>
      <c r="C897" s="18"/>
      <c r="D897" s="13" t="str">
        <f aca="false">IF(OR(B897="",B896="",897=3),"",B897-B896)</f>
        <v/>
      </c>
      <c r="E897" s="18"/>
    </row>
    <row r="898" customFormat="false" ht="15" hidden="false" customHeight="false" outlineLevel="0" collapsed="false">
      <c r="A898" s="25"/>
      <c r="B898" s="18"/>
      <c r="C898" s="18"/>
      <c r="D898" s="13" t="str">
        <f aca="false">IF(OR(B898="",B897="",898=3),"",B898-B897)</f>
        <v/>
      </c>
      <c r="E898" s="18"/>
    </row>
    <row r="899" customFormat="false" ht="15" hidden="false" customHeight="false" outlineLevel="0" collapsed="false">
      <c r="A899" s="25"/>
      <c r="B899" s="18"/>
      <c r="C899" s="18"/>
      <c r="D899" s="13" t="str">
        <f aca="false">IF(OR(B899="",B898="",899=3),"",B899-B898)</f>
        <v/>
      </c>
      <c r="E899" s="18"/>
    </row>
    <row r="900" customFormat="false" ht="15" hidden="false" customHeight="false" outlineLevel="0" collapsed="false">
      <c r="A900" s="25"/>
      <c r="B900" s="18"/>
      <c r="C900" s="18"/>
      <c r="D900" s="13" t="str">
        <f aca="false">IF(OR(B900="",B899="",900=3),"",B900-B899)</f>
        <v/>
      </c>
      <c r="E900" s="18"/>
    </row>
    <row r="901" customFormat="false" ht="15" hidden="false" customHeight="false" outlineLevel="0" collapsed="false">
      <c r="A901" s="25"/>
      <c r="B901" s="18"/>
      <c r="C901" s="18"/>
      <c r="D901" s="13" t="str">
        <f aca="false">IF(OR(B901="",B900="",901=3),"",B901-B900)</f>
        <v/>
      </c>
      <c r="E901" s="18"/>
    </row>
    <row r="902" customFormat="false" ht="15" hidden="false" customHeight="false" outlineLevel="0" collapsed="false">
      <c r="A902" s="25"/>
      <c r="B902" s="18"/>
      <c r="C902" s="18"/>
      <c r="D902" s="13" t="str">
        <f aca="false">IF(OR(B902="",B901="",902=3),"",B902-B901)</f>
        <v/>
      </c>
      <c r="E902" s="18"/>
    </row>
    <row r="903" customFormat="false" ht="15" hidden="false" customHeight="false" outlineLevel="0" collapsed="false">
      <c r="A903" s="25"/>
      <c r="B903" s="18"/>
      <c r="C903" s="18"/>
      <c r="D903" s="13" t="str">
        <f aca="false">IF(OR(B903="",B902="",903=3),"",B903-B902)</f>
        <v/>
      </c>
      <c r="E903" s="18"/>
    </row>
    <row r="904" customFormat="false" ht="15" hidden="false" customHeight="false" outlineLevel="0" collapsed="false">
      <c r="A904" s="25"/>
      <c r="B904" s="18"/>
      <c r="C904" s="18"/>
      <c r="D904" s="13" t="str">
        <f aca="false">IF(OR(B904="",B903="",904=3),"",B904-B903)</f>
        <v/>
      </c>
      <c r="E904" s="18"/>
    </row>
    <row r="905" customFormat="false" ht="15" hidden="false" customHeight="false" outlineLevel="0" collapsed="false">
      <c r="A905" s="25"/>
      <c r="B905" s="18"/>
      <c r="C905" s="18"/>
      <c r="D905" s="13" t="str">
        <f aca="false">IF(OR(B905="",B904="",905=3),"",B905-B904)</f>
        <v/>
      </c>
      <c r="E905" s="18"/>
    </row>
    <row r="906" customFormat="false" ht="15" hidden="false" customHeight="false" outlineLevel="0" collapsed="false">
      <c r="A906" s="25"/>
      <c r="B906" s="18"/>
      <c r="C906" s="18"/>
      <c r="D906" s="13" t="str">
        <f aca="false">IF(OR(B906="",B905="",906=3),"",B906-B905)</f>
        <v/>
      </c>
      <c r="E906" s="18"/>
    </row>
    <row r="907" customFormat="false" ht="15" hidden="false" customHeight="false" outlineLevel="0" collapsed="false">
      <c r="A907" s="25"/>
      <c r="B907" s="18"/>
      <c r="C907" s="18"/>
      <c r="D907" s="13" t="str">
        <f aca="false">IF(OR(B907="",B906="",907=3),"",B907-B906)</f>
        <v/>
      </c>
      <c r="E907" s="18"/>
    </row>
    <row r="908" customFormat="false" ht="15" hidden="false" customHeight="false" outlineLevel="0" collapsed="false">
      <c r="A908" s="25"/>
      <c r="B908" s="18"/>
      <c r="C908" s="18"/>
      <c r="D908" s="13" t="str">
        <f aca="false">IF(OR(B908="",B907="",908=3),"",B908-B907)</f>
        <v/>
      </c>
      <c r="E908" s="18"/>
    </row>
    <row r="909" customFormat="false" ht="15" hidden="false" customHeight="false" outlineLevel="0" collapsed="false">
      <c r="A909" s="25"/>
      <c r="B909" s="18"/>
      <c r="C909" s="18"/>
      <c r="D909" s="13" t="str">
        <f aca="false">IF(OR(B909="",B908="",909=3),"",B909-B908)</f>
        <v/>
      </c>
      <c r="E909" s="18"/>
    </row>
    <row r="910" customFormat="false" ht="15" hidden="false" customHeight="false" outlineLevel="0" collapsed="false">
      <c r="A910" s="25"/>
      <c r="B910" s="18"/>
      <c r="C910" s="18"/>
      <c r="D910" s="13" t="str">
        <f aca="false">IF(OR(B910="",B909="",910=3),"",B910-B909)</f>
        <v/>
      </c>
      <c r="E910" s="18"/>
    </row>
    <row r="911" customFormat="false" ht="15" hidden="false" customHeight="false" outlineLevel="0" collapsed="false">
      <c r="A911" s="25"/>
      <c r="B911" s="18"/>
      <c r="C911" s="18"/>
      <c r="D911" s="13" t="str">
        <f aca="false">IF(OR(B911="",B910="",911=3),"",B911-B910)</f>
        <v/>
      </c>
      <c r="E911" s="18"/>
    </row>
    <row r="912" customFormat="false" ht="15" hidden="false" customHeight="false" outlineLevel="0" collapsed="false">
      <c r="A912" s="25"/>
      <c r="B912" s="18"/>
      <c r="C912" s="18"/>
      <c r="D912" s="13" t="str">
        <f aca="false">IF(OR(B912="",B911="",912=3),"",B912-B911)</f>
        <v/>
      </c>
      <c r="E912" s="18"/>
    </row>
    <row r="913" customFormat="false" ht="15" hidden="false" customHeight="false" outlineLevel="0" collapsed="false">
      <c r="A913" s="25"/>
      <c r="B913" s="18"/>
      <c r="C913" s="18"/>
      <c r="D913" s="13" t="str">
        <f aca="false">IF(OR(B913="",B912="",913=3),"",B913-B912)</f>
        <v/>
      </c>
      <c r="E913" s="18"/>
    </row>
    <row r="914" customFormat="false" ht="15" hidden="false" customHeight="false" outlineLevel="0" collapsed="false">
      <c r="A914" s="25"/>
      <c r="B914" s="18"/>
      <c r="C914" s="18"/>
      <c r="D914" s="13" t="str">
        <f aca="false">IF(OR(B914="",B913="",914=3),"",B914-B913)</f>
        <v/>
      </c>
      <c r="E914" s="18"/>
    </row>
    <row r="915" customFormat="false" ht="15" hidden="false" customHeight="false" outlineLevel="0" collapsed="false">
      <c r="A915" s="25"/>
      <c r="B915" s="18"/>
      <c r="C915" s="18"/>
      <c r="D915" s="13" t="str">
        <f aca="false">IF(OR(B915="",B914="",915=3),"",B915-B914)</f>
        <v/>
      </c>
      <c r="E915" s="18"/>
    </row>
    <row r="916" customFormat="false" ht="15" hidden="false" customHeight="false" outlineLevel="0" collapsed="false">
      <c r="A916" s="25"/>
      <c r="B916" s="18"/>
      <c r="C916" s="18"/>
      <c r="D916" s="13" t="str">
        <f aca="false">IF(OR(B916="",B915="",916=3),"",B916-B915)</f>
        <v/>
      </c>
      <c r="E916" s="18"/>
    </row>
    <row r="917" customFormat="false" ht="15" hidden="false" customHeight="false" outlineLevel="0" collapsed="false">
      <c r="A917" s="25"/>
      <c r="B917" s="18"/>
      <c r="C917" s="18"/>
      <c r="D917" s="13" t="str">
        <f aca="false">IF(OR(B917="",B916="",917=3),"",B917-B916)</f>
        <v/>
      </c>
      <c r="E917" s="18"/>
    </row>
    <row r="918" customFormat="false" ht="15" hidden="false" customHeight="false" outlineLevel="0" collapsed="false">
      <c r="A918" s="25"/>
      <c r="B918" s="18"/>
      <c r="C918" s="18"/>
      <c r="D918" s="13" t="str">
        <f aca="false">IF(OR(B918="",B917="",918=3),"",B918-B917)</f>
        <v/>
      </c>
      <c r="E918" s="18"/>
    </row>
    <row r="919" customFormat="false" ht="15" hidden="false" customHeight="false" outlineLevel="0" collapsed="false">
      <c r="A919" s="25"/>
      <c r="B919" s="18"/>
      <c r="C919" s="18"/>
      <c r="D919" s="13" t="str">
        <f aca="false">IF(OR(B919="",B918="",919=3),"",B919-B918)</f>
        <v/>
      </c>
      <c r="E919" s="18"/>
    </row>
    <row r="920" customFormat="false" ht="15" hidden="false" customHeight="false" outlineLevel="0" collapsed="false">
      <c r="A920" s="25"/>
      <c r="B920" s="18"/>
      <c r="C920" s="18"/>
      <c r="D920" s="13" t="str">
        <f aca="false">IF(OR(B920="",B919="",920=3),"",B920-B919)</f>
        <v/>
      </c>
      <c r="E920" s="18"/>
    </row>
    <row r="921" customFormat="false" ht="15" hidden="false" customHeight="false" outlineLevel="0" collapsed="false">
      <c r="A921" s="25"/>
      <c r="B921" s="18"/>
      <c r="C921" s="18"/>
      <c r="D921" s="13" t="str">
        <f aca="false">IF(OR(B921="",B920="",921=3),"",B921-B920)</f>
        <v/>
      </c>
      <c r="E921" s="18"/>
    </row>
    <row r="922" customFormat="false" ht="15" hidden="false" customHeight="false" outlineLevel="0" collapsed="false">
      <c r="A922" s="25"/>
      <c r="B922" s="18"/>
      <c r="C922" s="18"/>
      <c r="D922" s="13" t="str">
        <f aca="false">IF(OR(B922="",B921="",922=3),"",B922-B921)</f>
        <v/>
      </c>
      <c r="E922" s="18"/>
    </row>
    <row r="923" customFormat="false" ht="15" hidden="false" customHeight="false" outlineLevel="0" collapsed="false">
      <c r="A923" s="25"/>
      <c r="B923" s="18"/>
      <c r="C923" s="18"/>
      <c r="D923" s="13" t="str">
        <f aca="false">IF(OR(B923="",B922="",923=3),"",B923-B922)</f>
        <v/>
      </c>
      <c r="E923" s="18"/>
    </row>
    <row r="924" customFormat="false" ht="15" hidden="false" customHeight="false" outlineLevel="0" collapsed="false">
      <c r="A924" s="25"/>
      <c r="B924" s="18"/>
      <c r="C924" s="18"/>
      <c r="D924" s="13" t="str">
        <f aca="false">IF(OR(B924="",B923="",924=3),"",B924-B923)</f>
        <v/>
      </c>
      <c r="E924" s="18"/>
    </row>
    <row r="925" customFormat="false" ht="15" hidden="false" customHeight="false" outlineLevel="0" collapsed="false">
      <c r="A925" s="25"/>
      <c r="B925" s="18"/>
      <c r="C925" s="18"/>
      <c r="D925" s="13" t="str">
        <f aca="false">IF(OR(B925="",B924="",925=3),"",B925-B924)</f>
        <v/>
      </c>
      <c r="E925" s="18"/>
    </row>
    <row r="926" customFormat="false" ht="15" hidden="false" customHeight="false" outlineLevel="0" collapsed="false">
      <c r="A926" s="25"/>
      <c r="B926" s="18"/>
      <c r="C926" s="18"/>
      <c r="D926" s="13" t="str">
        <f aca="false">IF(OR(B926="",B925="",926=3),"",B926-B925)</f>
        <v/>
      </c>
      <c r="E926" s="18"/>
    </row>
    <row r="927" customFormat="false" ht="15" hidden="false" customHeight="false" outlineLevel="0" collapsed="false">
      <c r="A927" s="25"/>
      <c r="B927" s="18"/>
      <c r="C927" s="18"/>
      <c r="D927" s="13" t="str">
        <f aca="false">IF(OR(B927="",B926="",927=3),"",B927-B926)</f>
        <v/>
      </c>
      <c r="E927" s="18"/>
    </row>
    <row r="928" customFormat="false" ht="15" hidden="false" customHeight="false" outlineLevel="0" collapsed="false">
      <c r="A928" s="25"/>
      <c r="B928" s="18"/>
      <c r="C928" s="18"/>
      <c r="D928" s="13" t="str">
        <f aca="false">IF(OR(B928="",B927="",928=3),"",B928-B927)</f>
        <v/>
      </c>
      <c r="E928" s="18"/>
    </row>
    <row r="929" customFormat="false" ht="15" hidden="false" customHeight="false" outlineLevel="0" collapsed="false">
      <c r="A929" s="25"/>
      <c r="B929" s="18"/>
      <c r="C929" s="18"/>
      <c r="D929" s="13" t="str">
        <f aca="false">IF(OR(B929="",B928="",929=3),"",B929-B928)</f>
        <v/>
      </c>
      <c r="E929" s="18"/>
    </row>
    <row r="930" customFormat="false" ht="15" hidden="false" customHeight="false" outlineLevel="0" collapsed="false">
      <c r="A930" s="25"/>
      <c r="B930" s="18"/>
      <c r="C930" s="18"/>
      <c r="D930" s="13" t="str">
        <f aca="false">IF(OR(B930="",B929="",930=3),"",B930-B929)</f>
        <v/>
      </c>
      <c r="E930" s="18"/>
    </row>
    <row r="931" customFormat="false" ht="15" hidden="false" customHeight="false" outlineLevel="0" collapsed="false">
      <c r="A931" s="25"/>
      <c r="B931" s="18"/>
      <c r="C931" s="18"/>
      <c r="D931" s="13" t="str">
        <f aca="false">IF(OR(B931="",B930="",931=3),"",B931-B930)</f>
        <v/>
      </c>
      <c r="E931" s="18"/>
    </row>
    <row r="932" customFormat="false" ht="15" hidden="false" customHeight="false" outlineLevel="0" collapsed="false">
      <c r="A932" s="25"/>
      <c r="B932" s="18"/>
      <c r="C932" s="18"/>
      <c r="D932" s="13" t="str">
        <f aca="false">IF(OR(B932="",B931="",932=3),"",B932-B931)</f>
        <v/>
      </c>
      <c r="E932" s="18"/>
    </row>
    <row r="933" customFormat="false" ht="15" hidden="false" customHeight="false" outlineLevel="0" collapsed="false">
      <c r="A933" s="25"/>
      <c r="B933" s="18"/>
      <c r="C933" s="18"/>
      <c r="D933" s="13" t="str">
        <f aca="false">IF(OR(B933="",B932="",933=3),"",B933-B932)</f>
        <v/>
      </c>
      <c r="E933" s="18"/>
    </row>
    <row r="934" customFormat="false" ht="15" hidden="false" customHeight="false" outlineLevel="0" collapsed="false">
      <c r="A934" s="25"/>
      <c r="B934" s="18"/>
      <c r="C934" s="18"/>
      <c r="D934" s="13" t="str">
        <f aca="false">IF(OR(B934="",B933="",934=3),"",B934-B933)</f>
        <v/>
      </c>
      <c r="E934" s="18"/>
    </row>
    <row r="935" customFormat="false" ht="15" hidden="false" customHeight="false" outlineLevel="0" collapsed="false">
      <c r="A935" s="25"/>
      <c r="B935" s="18"/>
      <c r="C935" s="18"/>
      <c r="D935" s="13" t="str">
        <f aca="false">IF(OR(B935="",B934="",935=3),"",B935-B934)</f>
        <v/>
      </c>
      <c r="E935" s="18"/>
    </row>
    <row r="936" customFormat="false" ht="15" hidden="false" customHeight="false" outlineLevel="0" collapsed="false">
      <c r="A936" s="25"/>
      <c r="B936" s="18"/>
      <c r="C936" s="18"/>
      <c r="D936" s="13" t="str">
        <f aca="false">IF(OR(B936="",B935="",936=3),"",B936-B935)</f>
        <v/>
      </c>
      <c r="E936" s="18"/>
    </row>
    <row r="937" customFormat="false" ht="15" hidden="false" customHeight="false" outlineLevel="0" collapsed="false">
      <c r="A937" s="25"/>
      <c r="B937" s="18"/>
      <c r="C937" s="18"/>
      <c r="D937" s="13" t="str">
        <f aca="false">IF(OR(B937="",B936="",937=3),"",B937-B936)</f>
        <v/>
      </c>
      <c r="E937" s="18"/>
    </row>
    <row r="938" customFormat="false" ht="15" hidden="false" customHeight="false" outlineLevel="0" collapsed="false">
      <c r="A938" s="25"/>
      <c r="B938" s="18"/>
      <c r="C938" s="18"/>
      <c r="D938" s="13" t="str">
        <f aca="false">IF(OR(B938="",B937="",938=3),"",B938-B937)</f>
        <v/>
      </c>
      <c r="E938" s="18"/>
    </row>
    <row r="939" customFormat="false" ht="15" hidden="false" customHeight="false" outlineLevel="0" collapsed="false">
      <c r="A939" s="25"/>
      <c r="B939" s="18"/>
      <c r="C939" s="18"/>
      <c r="D939" s="13" t="str">
        <f aca="false">IF(OR(B939="",B938="",939=3),"",B939-B938)</f>
        <v/>
      </c>
      <c r="E939" s="18"/>
    </row>
    <row r="940" customFormat="false" ht="15" hidden="false" customHeight="false" outlineLevel="0" collapsed="false">
      <c r="A940" s="25"/>
      <c r="B940" s="18"/>
      <c r="C940" s="18"/>
      <c r="D940" s="13" t="str">
        <f aca="false">IF(OR(B940="",B939="",940=3),"",B940-B939)</f>
        <v/>
      </c>
      <c r="E940" s="18"/>
    </row>
    <row r="941" customFormat="false" ht="15" hidden="false" customHeight="false" outlineLevel="0" collapsed="false">
      <c r="A941" s="25"/>
      <c r="B941" s="18"/>
      <c r="C941" s="18"/>
      <c r="D941" s="13" t="str">
        <f aca="false">IF(OR(B941="",B940="",941=3),"",B941-B940)</f>
        <v/>
      </c>
      <c r="E941" s="18"/>
    </row>
    <row r="942" customFormat="false" ht="15" hidden="false" customHeight="false" outlineLevel="0" collapsed="false">
      <c r="A942" s="25"/>
      <c r="B942" s="18"/>
      <c r="C942" s="18"/>
      <c r="D942" s="13" t="str">
        <f aca="false">IF(OR(B942="",B941="",942=3),"",B942-B941)</f>
        <v/>
      </c>
      <c r="E942" s="18"/>
    </row>
    <row r="943" customFormat="false" ht="15" hidden="false" customHeight="false" outlineLevel="0" collapsed="false">
      <c r="A943" s="25"/>
      <c r="B943" s="18"/>
      <c r="C943" s="18"/>
      <c r="D943" s="13" t="str">
        <f aca="false">IF(OR(B943="",B942="",943=3),"",B943-B942)</f>
        <v/>
      </c>
      <c r="E943" s="18"/>
    </row>
    <row r="944" customFormat="false" ht="15" hidden="false" customHeight="false" outlineLevel="0" collapsed="false">
      <c r="A944" s="25"/>
      <c r="B944" s="18"/>
      <c r="C944" s="18"/>
      <c r="D944" s="13" t="str">
        <f aca="false">IF(OR(B944="",B943="",944=3),"",B944-B943)</f>
        <v/>
      </c>
      <c r="E944" s="18"/>
    </row>
    <row r="945" customFormat="false" ht="15" hidden="false" customHeight="false" outlineLevel="0" collapsed="false">
      <c r="A945" s="25"/>
      <c r="B945" s="18"/>
      <c r="C945" s="18"/>
      <c r="D945" s="13" t="str">
        <f aca="false">IF(OR(B945="",B944="",945=3),"",B945-B944)</f>
        <v/>
      </c>
      <c r="E945" s="18"/>
    </row>
    <row r="946" customFormat="false" ht="15" hidden="false" customHeight="false" outlineLevel="0" collapsed="false">
      <c r="A946" s="25"/>
      <c r="B946" s="18"/>
      <c r="C946" s="18"/>
      <c r="D946" s="13" t="str">
        <f aca="false">IF(OR(B946="",B945="",946=3),"",B946-B945)</f>
        <v/>
      </c>
      <c r="E946" s="18"/>
    </row>
    <row r="947" customFormat="false" ht="15" hidden="false" customHeight="false" outlineLevel="0" collapsed="false">
      <c r="A947" s="25"/>
      <c r="B947" s="18"/>
      <c r="C947" s="18"/>
      <c r="D947" s="13" t="str">
        <f aca="false">IF(OR(B947="",B946="",947=3),"",B947-B946)</f>
        <v/>
      </c>
      <c r="E947" s="18"/>
    </row>
    <row r="948" customFormat="false" ht="15" hidden="false" customHeight="false" outlineLevel="0" collapsed="false">
      <c r="A948" s="25"/>
      <c r="B948" s="18"/>
      <c r="C948" s="18"/>
      <c r="D948" s="13" t="str">
        <f aca="false">IF(OR(B948="",B947="",948=3),"",B948-B947)</f>
        <v/>
      </c>
      <c r="E948" s="18"/>
    </row>
    <row r="949" customFormat="false" ht="15" hidden="false" customHeight="false" outlineLevel="0" collapsed="false">
      <c r="A949" s="25"/>
      <c r="B949" s="18"/>
      <c r="C949" s="18"/>
      <c r="D949" s="13" t="str">
        <f aca="false">IF(OR(B949="",B948="",949=3),"",B949-B948)</f>
        <v/>
      </c>
      <c r="E949" s="18"/>
    </row>
    <row r="950" customFormat="false" ht="15" hidden="false" customHeight="false" outlineLevel="0" collapsed="false">
      <c r="A950" s="25"/>
      <c r="B950" s="18"/>
      <c r="C950" s="18"/>
      <c r="D950" s="13" t="str">
        <f aca="false">IF(OR(B950="",B949="",950=3),"",B950-B949)</f>
        <v/>
      </c>
      <c r="E950" s="18"/>
    </row>
    <row r="951" customFormat="false" ht="15" hidden="false" customHeight="false" outlineLevel="0" collapsed="false">
      <c r="A951" s="25"/>
      <c r="B951" s="18"/>
      <c r="C951" s="18"/>
      <c r="D951" s="13" t="str">
        <f aca="false">IF(OR(B951="",B950="",951=3),"",B951-B950)</f>
        <v/>
      </c>
      <c r="E951" s="18"/>
    </row>
    <row r="952" customFormat="false" ht="15" hidden="false" customHeight="false" outlineLevel="0" collapsed="false">
      <c r="A952" s="25"/>
      <c r="B952" s="18"/>
      <c r="C952" s="18"/>
      <c r="D952" s="13" t="str">
        <f aca="false">IF(OR(B952="",B951="",952=3),"",B952-B951)</f>
        <v/>
      </c>
      <c r="E952" s="18"/>
    </row>
    <row r="953" customFormat="false" ht="15" hidden="false" customHeight="false" outlineLevel="0" collapsed="false">
      <c r="A953" s="25"/>
      <c r="B953" s="18"/>
      <c r="C953" s="18"/>
      <c r="D953" s="13" t="str">
        <f aca="false">IF(OR(B953="",B952="",953=3),"",B953-B952)</f>
        <v/>
      </c>
      <c r="E953" s="18"/>
    </row>
    <row r="954" customFormat="false" ht="15" hidden="false" customHeight="false" outlineLevel="0" collapsed="false">
      <c r="A954" s="25"/>
      <c r="B954" s="18"/>
      <c r="C954" s="18"/>
      <c r="D954" s="13" t="str">
        <f aca="false">IF(OR(B954="",B953="",954=3),"",B954-B953)</f>
        <v/>
      </c>
      <c r="E954" s="18"/>
    </row>
    <row r="955" customFormat="false" ht="15" hidden="false" customHeight="false" outlineLevel="0" collapsed="false">
      <c r="A955" s="25"/>
      <c r="B955" s="18"/>
      <c r="C955" s="18"/>
      <c r="D955" s="13" t="str">
        <f aca="false">IF(OR(B955="",B954="",955=3),"",B955-B954)</f>
        <v/>
      </c>
      <c r="E955" s="18"/>
    </row>
    <row r="956" customFormat="false" ht="15" hidden="false" customHeight="false" outlineLevel="0" collapsed="false">
      <c r="A956" s="25"/>
      <c r="B956" s="18"/>
      <c r="C956" s="18"/>
      <c r="D956" s="13" t="str">
        <f aca="false">IF(OR(B956="",B955="",956=3),"",B956-B955)</f>
        <v/>
      </c>
      <c r="E956" s="18"/>
    </row>
    <row r="957" customFormat="false" ht="15" hidden="false" customHeight="false" outlineLevel="0" collapsed="false">
      <c r="A957" s="25"/>
      <c r="B957" s="18"/>
      <c r="C957" s="18"/>
      <c r="D957" s="13" t="str">
        <f aca="false">IF(OR(B957="",B956="",957=3),"",B957-B956)</f>
        <v/>
      </c>
      <c r="E957" s="18"/>
    </row>
    <row r="958" customFormat="false" ht="15" hidden="false" customHeight="false" outlineLevel="0" collapsed="false">
      <c r="A958" s="25"/>
      <c r="B958" s="18"/>
      <c r="C958" s="18"/>
      <c r="D958" s="13" t="str">
        <f aca="false">IF(OR(B958="",B957="",958=3),"",B958-B957)</f>
        <v/>
      </c>
      <c r="E958" s="18"/>
    </row>
    <row r="959" customFormat="false" ht="15" hidden="false" customHeight="false" outlineLevel="0" collapsed="false">
      <c r="A959" s="25"/>
      <c r="B959" s="18"/>
      <c r="C959" s="18"/>
      <c r="D959" s="13" t="str">
        <f aca="false">IF(OR(B959="",B958="",959=3),"",B959-B958)</f>
        <v/>
      </c>
      <c r="E959" s="18"/>
    </row>
    <row r="960" customFormat="false" ht="15" hidden="false" customHeight="false" outlineLevel="0" collapsed="false">
      <c r="A960" s="25"/>
      <c r="B960" s="18"/>
      <c r="C960" s="18"/>
      <c r="D960" s="13" t="str">
        <f aca="false">IF(OR(B960="",B959="",960=3),"",B960-B959)</f>
        <v/>
      </c>
      <c r="E960" s="18"/>
    </row>
    <row r="961" customFormat="false" ht="15" hidden="false" customHeight="false" outlineLevel="0" collapsed="false">
      <c r="A961" s="25"/>
      <c r="B961" s="18"/>
      <c r="C961" s="18"/>
      <c r="D961" s="13" t="str">
        <f aca="false">IF(OR(B961="",B960="",961=3),"",B961-B960)</f>
        <v/>
      </c>
      <c r="E961" s="18"/>
    </row>
    <row r="962" customFormat="false" ht="15" hidden="false" customHeight="false" outlineLevel="0" collapsed="false">
      <c r="A962" s="25"/>
      <c r="B962" s="18"/>
      <c r="C962" s="18"/>
      <c r="D962" s="13" t="str">
        <f aca="false">IF(OR(B962="",B961="",962=3),"",B962-B961)</f>
        <v/>
      </c>
      <c r="E962" s="18"/>
    </row>
    <row r="963" customFormat="false" ht="15" hidden="false" customHeight="false" outlineLevel="0" collapsed="false">
      <c r="A963" s="25"/>
      <c r="B963" s="18"/>
      <c r="C963" s="18"/>
      <c r="D963" s="13" t="str">
        <f aca="false">IF(OR(B963="",B962="",963=3),"",B963-B962)</f>
        <v/>
      </c>
      <c r="E963" s="18"/>
    </row>
    <row r="964" customFormat="false" ht="15" hidden="false" customHeight="false" outlineLevel="0" collapsed="false">
      <c r="A964" s="25"/>
      <c r="B964" s="18"/>
      <c r="C964" s="18"/>
      <c r="D964" s="13" t="str">
        <f aca="false">IF(OR(B964="",B963="",964=3),"",B964-B963)</f>
        <v/>
      </c>
      <c r="E964" s="18"/>
    </row>
    <row r="965" customFormat="false" ht="15" hidden="false" customHeight="false" outlineLevel="0" collapsed="false">
      <c r="A965" s="25"/>
      <c r="B965" s="18"/>
      <c r="C965" s="18"/>
      <c r="D965" s="13" t="str">
        <f aca="false">IF(OR(B965="",B964="",965=3),"",B965-B964)</f>
        <v/>
      </c>
      <c r="E965" s="18"/>
    </row>
    <row r="966" customFormat="false" ht="15" hidden="false" customHeight="false" outlineLevel="0" collapsed="false">
      <c r="A966" s="25"/>
      <c r="B966" s="18"/>
      <c r="C966" s="18"/>
      <c r="D966" s="13" t="str">
        <f aca="false">IF(OR(B966="",B965="",966=3),"",B966-B965)</f>
        <v/>
      </c>
      <c r="E966" s="18"/>
    </row>
    <row r="967" customFormat="false" ht="15" hidden="false" customHeight="false" outlineLevel="0" collapsed="false">
      <c r="A967" s="25"/>
      <c r="B967" s="18"/>
      <c r="C967" s="18"/>
      <c r="D967" s="13" t="str">
        <f aca="false">IF(OR(B967="",B966="",967=3),"",B967-B966)</f>
        <v/>
      </c>
      <c r="E967" s="18"/>
    </row>
    <row r="968" customFormat="false" ht="15" hidden="false" customHeight="false" outlineLevel="0" collapsed="false">
      <c r="A968" s="25"/>
      <c r="B968" s="18"/>
      <c r="C968" s="18"/>
      <c r="D968" s="13" t="str">
        <f aca="false">IF(OR(B968="",B967="",968=3),"",B968-B967)</f>
        <v/>
      </c>
      <c r="E968" s="18"/>
    </row>
    <row r="969" customFormat="false" ht="15" hidden="false" customHeight="false" outlineLevel="0" collapsed="false">
      <c r="A969" s="25"/>
      <c r="B969" s="18"/>
      <c r="C969" s="18"/>
      <c r="D969" s="13" t="str">
        <f aca="false">IF(OR(B969="",B968="",969=3),"",B969-B968)</f>
        <v/>
      </c>
      <c r="E969" s="18"/>
    </row>
    <row r="970" customFormat="false" ht="15" hidden="false" customHeight="false" outlineLevel="0" collapsed="false">
      <c r="A970" s="25"/>
      <c r="B970" s="18"/>
      <c r="C970" s="18"/>
      <c r="D970" s="13" t="str">
        <f aca="false">IF(OR(B970="",B969="",970=3),"",B970-B969)</f>
        <v/>
      </c>
      <c r="E970" s="18"/>
    </row>
    <row r="971" customFormat="false" ht="15" hidden="false" customHeight="false" outlineLevel="0" collapsed="false">
      <c r="A971" s="25"/>
      <c r="B971" s="18"/>
      <c r="C971" s="18"/>
      <c r="D971" s="13" t="str">
        <f aca="false">IF(OR(B971="",B970="",971=3),"",B971-B970)</f>
        <v/>
      </c>
      <c r="E971" s="18"/>
    </row>
    <row r="972" customFormat="false" ht="15" hidden="false" customHeight="false" outlineLevel="0" collapsed="false">
      <c r="A972" s="25"/>
      <c r="B972" s="18"/>
      <c r="C972" s="18"/>
      <c r="D972" s="13" t="str">
        <f aca="false">IF(OR(B972="",B971="",972=3),"",B972-B971)</f>
        <v/>
      </c>
      <c r="E972" s="18"/>
    </row>
    <row r="973" customFormat="false" ht="15" hidden="false" customHeight="false" outlineLevel="0" collapsed="false">
      <c r="A973" s="25"/>
      <c r="B973" s="18"/>
      <c r="C973" s="18"/>
      <c r="D973" s="13" t="str">
        <f aca="false">IF(OR(B973="",B972="",973=3),"",B973-B972)</f>
        <v/>
      </c>
      <c r="E973" s="18"/>
    </row>
    <row r="974" customFormat="false" ht="15" hidden="false" customHeight="false" outlineLevel="0" collapsed="false">
      <c r="A974" s="25"/>
      <c r="B974" s="18"/>
      <c r="C974" s="18"/>
      <c r="D974" s="13" t="str">
        <f aca="false">IF(OR(B974="",B973="",974=3),"",B974-B973)</f>
        <v/>
      </c>
      <c r="E974" s="18"/>
    </row>
    <row r="975" customFormat="false" ht="15" hidden="false" customHeight="false" outlineLevel="0" collapsed="false">
      <c r="A975" s="25"/>
      <c r="B975" s="18"/>
      <c r="C975" s="18"/>
      <c r="D975" s="13" t="str">
        <f aca="false">IF(OR(B975="",B974="",975=3),"",B975-B974)</f>
        <v/>
      </c>
      <c r="E975" s="18"/>
    </row>
    <row r="976" customFormat="false" ht="15" hidden="false" customHeight="false" outlineLevel="0" collapsed="false">
      <c r="A976" s="25"/>
      <c r="B976" s="18"/>
      <c r="C976" s="18"/>
      <c r="D976" s="13" t="str">
        <f aca="false">IF(OR(B976="",B975="",976=3),"",B976-B975)</f>
        <v/>
      </c>
      <c r="E976" s="18"/>
    </row>
    <row r="977" customFormat="false" ht="15" hidden="false" customHeight="false" outlineLevel="0" collapsed="false">
      <c r="A977" s="25"/>
      <c r="B977" s="18"/>
      <c r="C977" s="18"/>
      <c r="D977" s="13" t="str">
        <f aca="false">IF(OR(B977="",B976="",977=3),"",B977-B976)</f>
        <v/>
      </c>
      <c r="E977" s="18"/>
    </row>
    <row r="978" customFormat="false" ht="15" hidden="false" customHeight="false" outlineLevel="0" collapsed="false">
      <c r="A978" s="25"/>
      <c r="B978" s="18"/>
      <c r="C978" s="18"/>
      <c r="D978" s="13" t="str">
        <f aca="false">IF(OR(B978="",B977="",978=3),"",B978-B977)</f>
        <v/>
      </c>
      <c r="E978" s="18"/>
    </row>
    <row r="979" customFormat="false" ht="15" hidden="false" customHeight="false" outlineLevel="0" collapsed="false">
      <c r="A979" s="25"/>
      <c r="B979" s="18"/>
      <c r="C979" s="18"/>
      <c r="D979" s="13" t="str">
        <f aca="false">IF(OR(B979="",B978="",979=3),"",B979-B978)</f>
        <v/>
      </c>
      <c r="E979" s="18"/>
    </row>
    <row r="980" customFormat="false" ht="15" hidden="false" customHeight="false" outlineLevel="0" collapsed="false">
      <c r="A980" s="25"/>
      <c r="B980" s="18"/>
      <c r="C980" s="18"/>
      <c r="D980" s="13" t="str">
        <f aca="false">IF(OR(B980="",B979="",980=3),"",B980-B979)</f>
        <v/>
      </c>
      <c r="E980" s="18"/>
    </row>
    <row r="981" customFormat="false" ht="15" hidden="false" customHeight="false" outlineLevel="0" collapsed="false">
      <c r="A981" s="25"/>
      <c r="B981" s="18"/>
      <c r="C981" s="18"/>
      <c r="D981" s="13" t="str">
        <f aca="false">IF(OR(B981="",B980="",981=3),"",B981-B980)</f>
        <v/>
      </c>
      <c r="E981" s="18"/>
    </row>
    <row r="982" customFormat="false" ht="15" hidden="false" customHeight="false" outlineLevel="0" collapsed="false">
      <c r="A982" s="25"/>
      <c r="B982" s="18"/>
      <c r="C982" s="18"/>
      <c r="D982" s="13" t="str">
        <f aca="false">IF(OR(B982="",B981="",982=3),"",B982-B981)</f>
        <v/>
      </c>
      <c r="E982" s="18"/>
    </row>
    <row r="983" customFormat="false" ht="15" hidden="false" customHeight="false" outlineLevel="0" collapsed="false">
      <c r="A983" s="25"/>
      <c r="B983" s="18"/>
      <c r="C983" s="18"/>
      <c r="D983" s="13" t="str">
        <f aca="false">IF(OR(B983="",B982="",983=3),"",B983-B982)</f>
        <v/>
      </c>
      <c r="E983" s="18"/>
    </row>
    <row r="984" customFormat="false" ht="15" hidden="false" customHeight="false" outlineLevel="0" collapsed="false">
      <c r="A984" s="25"/>
      <c r="B984" s="18"/>
      <c r="C984" s="18"/>
      <c r="D984" s="13" t="str">
        <f aca="false">IF(OR(B984="",B983="",984=3),"",B984-B983)</f>
        <v/>
      </c>
      <c r="E984" s="18"/>
    </row>
    <row r="985" customFormat="false" ht="15" hidden="false" customHeight="false" outlineLevel="0" collapsed="false">
      <c r="A985" s="25"/>
      <c r="B985" s="18"/>
      <c r="C985" s="18"/>
      <c r="D985" s="13" t="str">
        <f aca="false">IF(OR(B985="",B984="",985=3),"",B985-B984)</f>
        <v/>
      </c>
      <c r="E985" s="18"/>
    </row>
    <row r="986" customFormat="false" ht="15" hidden="false" customHeight="false" outlineLevel="0" collapsed="false">
      <c r="A986" s="25"/>
      <c r="B986" s="18"/>
      <c r="C986" s="18"/>
      <c r="D986" s="13" t="str">
        <f aca="false">IF(OR(B986="",B985="",986=3),"",B986-B985)</f>
        <v/>
      </c>
      <c r="E986" s="18"/>
    </row>
    <row r="987" customFormat="false" ht="15" hidden="false" customHeight="false" outlineLevel="0" collapsed="false">
      <c r="A987" s="25"/>
      <c r="B987" s="18"/>
      <c r="C987" s="18"/>
      <c r="D987" s="13" t="str">
        <f aca="false">IF(OR(B987="",B986="",987=3),"",B987-B986)</f>
        <v/>
      </c>
      <c r="E987" s="18"/>
    </row>
    <row r="988" customFormat="false" ht="15" hidden="false" customHeight="false" outlineLevel="0" collapsed="false">
      <c r="A988" s="25"/>
      <c r="B988" s="18"/>
      <c r="C988" s="18"/>
      <c r="D988" s="13" t="str">
        <f aca="false">IF(OR(B988="",B987="",988=3),"",B988-B987)</f>
        <v/>
      </c>
      <c r="E988" s="18"/>
    </row>
    <row r="989" customFormat="false" ht="15" hidden="false" customHeight="false" outlineLevel="0" collapsed="false">
      <c r="A989" s="25"/>
      <c r="B989" s="18"/>
      <c r="C989" s="18"/>
      <c r="D989" s="13" t="str">
        <f aca="false">IF(OR(B989="",B988="",989=3),"",B989-B988)</f>
        <v/>
      </c>
      <c r="E989" s="18"/>
    </row>
    <row r="990" customFormat="false" ht="15" hidden="false" customHeight="false" outlineLevel="0" collapsed="false">
      <c r="A990" s="25"/>
      <c r="B990" s="18"/>
      <c r="C990" s="18"/>
      <c r="D990" s="13" t="str">
        <f aca="false">IF(OR(B990="",B989="",990=3),"",B990-B989)</f>
        <v/>
      </c>
      <c r="E990" s="18"/>
    </row>
    <row r="991" customFormat="false" ht="15" hidden="false" customHeight="false" outlineLevel="0" collapsed="false">
      <c r="A991" s="25"/>
      <c r="B991" s="18"/>
      <c r="C991" s="18"/>
      <c r="D991" s="13" t="str">
        <f aca="false">IF(OR(B991="",B990="",991=3),"",B991-B990)</f>
        <v/>
      </c>
      <c r="E991" s="18"/>
    </row>
    <row r="992" customFormat="false" ht="15" hidden="false" customHeight="false" outlineLevel="0" collapsed="false">
      <c r="A992" s="25"/>
      <c r="B992" s="18"/>
      <c r="C992" s="18"/>
      <c r="D992" s="13" t="str">
        <f aca="false">IF(OR(B992="",B991="",992=3),"",B992-B991)</f>
        <v/>
      </c>
      <c r="E992" s="18"/>
    </row>
    <row r="993" customFormat="false" ht="15" hidden="false" customHeight="false" outlineLevel="0" collapsed="false">
      <c r="A993" s="25"/>
      <c r="B993" s="18"/>
      <c r="C993" s="18"/>
      <c r="D993" s="13" t="str">
        <f aca="false">IF(OR(B993="",B992="",993=3),"",B993-B992)</f>
        <v/>
      </c>
      <c r="E993" s="18"/>
    </row>
    <row r="994" customFormat="false" ht="15" hidden="false" customHeight="false" outlineLevel="0" collapsed="false">
      <c r="A994" s="25"/>
      <c r="B994" s="18"/>
      <c r="C994" s="18"/>
      <c r="D994" s="13" t="str">
        <f aca="false">IF(OR(B994="",B993="",994=3),"",B994-B993)</f>
        <v/>
      </c>
      <c r="E994" s="18"/>
    </row>
    <row r="995" customFormat="false" ht="15" hidden="false" customHeight="false" outlineLevel="0" collapsed="false">
      <c r="A995" s="25"/>
      <c r="B995" s="18"/>
      <c r="C995" s="18"/>
      <c r="D995" s="13" t="str">
        <f aca="false">IF(OR(B995="",B994="",995=3),"",B995-B994)</f>
        <v/>
      </c>
      <c r="E995" s="18"/>
    </row>
    <row r="996" customFormat="false" ht="15" hidden="false" customHeight="false" outlineLevel="0" collapsed="false">
      <c r="A996" s="25"/>
      <c r="B996" s="18"/>
      <c r="C996" s="18"/>
      <c r="D996" s="13" t="str">
        <f aca="false">IF(OR(B996="",B995="",996=3),"",B996-B995)</f>
        <v/>
      </c>
      <c r="E996" s="18"/>
    </row>
    <row r="997" customFormat="false" ht="15" hidden="false" customHeight="false" outlineLevel="0" collapsed="false">
      <c r="A997" s="25"/>
      <c r="B997" s="18"/>
      <c r="C997" s="18"/>
      <c r="D997" s="13" t="str">
        <f aca="false">IF(OR(B997="",B996="",997=3),"",B997-B996)</f>
        <v/>
      </c>
      <c r="E997" s="18"/>
    </row>
    <row r="998" customFormat="false" ht="15" hidden="false" customHeight="false" outlineLevel="0" collapsed="false">
      <c r="A998" s="25"/>
      <c r="B998" s="18"/>
      <c r="C998" s="18"/>
      <c r="D998" s="13" t="str">
        <f aca="false">IF(OR(B998="",B997="",998=3),"",B998-B997)</f>
        <v/>
      </c>
      <c r="E998" s="18"/>
    </row>
    <row r="999" customFormat="false" ht="15" hidden="false" customHeight="false" outlineLevel="0" collapsed="false">
      <c r="A999" s="25"/>
      <c r="B999" s="18"/>
      <c r="C999" s="18"/>
      <c r="D999" s="13" t="str">
        <f aca="false">IF(OR(B999="",B998="",999=3),"",B999-B998)</f>
        <v/>
      </c>
      <c r="E999" s="18"/>
    </row>
    <row r="1000" customFormat="false" ht="15" hidden="false" customHeight="false" outlineLevel="0" collapsed="false">
      <c r="A1000" s="25"/>
      <c r="B1000" s="18"/>
      <c r="C1000" s="18"/>
      <c r="D1000" s="13" t="str">
        <f aca="false">IF(OR(B1000="",B999="",1000=3),"",B1000-B999)</f>
        <v/>
      </c>
      <c r="E100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3"/>
  </cols>
  <sheetData>
    <row r="1" customFormat="false" ht="31.5" hidden="false" customHeight="true" outlineLevel="0" collapsed="false">
      <c r="A1" s="14" t="s">
        <v>128</v>
      </c>
      <c r="B1" s="14" t="s">
        <v>100</v>
      </c>
      <c r="C1" s="14" t="s">
        <v>129</v>
      </c>
      <c r="D1" s="14" t="s">
        <v>130</v>
      </c>
      <c r="E1" s="14" t="s">
        <v>131</v>
      </c>
      <c r="F1" s="14" t="s">
        <v>113</v>
      </c>
      <c r="G1" s="14" t="s">
        <v>132</v>
      </c>
      <c r="H1" s="14" t="s">
        <v>133</v>
      </c>
      <c r="I1" s="14" t="s">
        <v>134</v>
      </c>
      <c r="J1" s="14" t="s">
        <v>135</v>
      </c>
      <c r="K1" s="14" t="s">
        <v>136</v>
      </c>
      <c r="L1" s="14" t="s">
        <v>137</v>
      </c>
    </row>
    <row r="2" customFormat="false" ht="15" hidden="false" customHeight="false" outlineLevel="0" collapsed="false">
      <c r="A2" s="15" t="s">
        <v>138</v>
      </c>
      <c r="B2" s="15" t="s">
        <v>116</v>
      </c>
      <c r="C2" s="17" t="n">
        <v>46300</v>
      </c>
      <c r="D2" s="17" t="n">
        <v>46302</v>
      </c>
      <c r="E2" s="17" t="n">
        <v>46309</v>
      </c>
      <c r="F2" s="15" t="n">
        <v>80</v>
      </c>
      <c r="G2" s="15" t="n">
        <v>5</v>
      </c>
      <c r="H2" s="15" t="n">
        <v>3</v>
      </c>
      <c r="I2" s="15" t="s">
        <v>139</v>
      </c>
      <c r="J2" s="24" t="n">
        <f aca="false">IF(OR(D2="",E2=""),"",E2-D2)</f>
        <v>7</v>
      </c>
      <c r="K2" s="24" t="n">
        <f aca="false">IF(OR(C2="",D2=""),"",D2-C2)</f>
        <v>2</v>
      </c>
      <c r="L2" s="24" t="str">
        <f aca="false">IF(A2="","",IF(OR(I2="Devolvida",N(H2)&gt;0),"Sim","Não"))</f>
        <v>Sim</v>
      </c>
    </row>
    <row r="3" customFormat="false" ht="15" hidden="false" customHeight="false" outlineLevel="0" collapsed="false">
      <c r="A3" s="18"/>
      <c r="B3" s="18"/>
      <c r="C3" s="25"/>
      <c r="D3" s="25"/>
      <c r="E3" s="25"/>
      <c r="F3" s="18"/>
      <c r="G3" s="18"/>
      <c r="H3" s="18"/>
      <c r="I3" s="18"/>
      <c r="J3" s="13" t="str">
        <f aca="false">IF(OR(D3="",E3=""),"",E3-D3)</f>
        <v/>
      </c>
      <c r="K3" s="13" t="str">
        <f aca="false">IF(OR(C3="",D3=""),"",D3-C3)</f>
        <v/>
      </c>
      <c r="L3" s="13" t="str">
        <f aca="false">IF(A3="","",IF(OR(I3="Devolvida",N(H3)&gt;0),"Sim","Não"))</f>
        <v/>
      </c>
    </row>
    <row r="4" customFormat="false" ht="15" hidden="false" customHeight="false" outlineLevel="0" collapsed="false">
      <c r="A4" s="18"/>
      <c r="B4" s="18"/>
      <c r="C4" s="25"/>
      <c r="D4" s="25"/>
      <c r="E4" s="25"/>
      <c r="F4" s="18"/>
      <c r="G4" s="18"/>
      <c r="H4" s="18"/>
      <c r="I4" s="18"/>
      <c r="J4" s="13" t="str">
        <f aca="false">IF(OR(D4="",E4=""),"",E4-D4)</f>
        <v/>
      </c>
      <c r="K4" s="13" t="str">
        <f aca="false">IF(OR(C4="",D4=""),"",D4-C4)</f>
        <v/>
      </c>
      <c r="L4" s="13" t="str">
        <f aca="false">IF(A4="","",IF(OR(I4="Devolvida",N(H4)&gt;0),"Sim","Não"))</f>
        <v/>
      </c>
    </row>
    <row r="5" customFormat="false" ht="15" hidden="false" customHeight="false" outlineLevel="0" collapsed="false">
      <c r="A5" s="18"/>
      <c r="B5" s="18"/>
      <c r="C5" s="25"/>
      <c r="D5" s="25"/>
      <c r="E5" s="25"/>
      <c r="F5" s="18"/>
      <c r="G5" s="18"/>
      <c r="H5" s="18"/>
      <c r="I5" s="18"/>
      <c r="J5" s="13" t="str">
        <f aca="false">IF(OR(D5="",E5=""),"",E5-D5)</f>
        <v/>
      </c>
      <c r="K5" s="13" t="str">
        <f aca="false">IF(OR(C5="",D5=""),"",D5-C5)</f>
        <v/>
      </c>
      <c r="L5" s="13" t="str">
        <f aca="false">IF(A5="","",IF(OR(I5="Devolvida",N(H5)&gt;0),"Sim","Não"))</f>
        <v/>
      </c>
    </row>
    <row r="6" customFormat="false" ht="15" hidden="false" customHeight="false" outlineLevel="0" collapsed="false">
      <c r="A6" s="18"/>
      <c r="B6" s="18"/>
      <c r="C6" s="25"/>
      <c r="D6" s="25"/>
      <c r="E6" s="25"/>
      <c r="F6" s="18"/>
      <c r="G6" s="18"/>
      <c r="H6" s="18"/>
      <c r="I6" s="18"/>
      <c r="J6" s="13" t="str">
        <f aca="false">IF(OR(D6="",E6=""),"",E6-D6)</f>
        <v/>
      </c>
      <c r="K6" s="13" t="str">
        <f aca="false">IF(OR(C6="",D6=""),"",D6-C6)</f>
        <v/>
      </c>
      <c r="L6" s="13" t="str">
        <f aca="false">IF(A6="","",IF(OR(I6="Devolvida",N(H6)&gt;0),"Sim","Não"))</f>
        <v/>
      </c>
    </row>
    <row r="7" customFormat="false" ht="15" hidden="false" customHeight="false" outlineLevel="0" collapsed="false">
      <c r="A7" s="18"/>
      <c r="B7" s="18"/>
      <c r="C7" s="25"/>
      <c r="D7" s="25"/>
      <c r="E7" s="25"/>
      <c r="F7" s="18"/>
      <c r="G7" s="18"/>
      <c r="H7" s="18"/>
      <c r="I7" s="18"/>
      <c r="J7" s="13" t="str">
        <f aca="false">IF(OR(D7="",E7=""),"",E7-D7)</f>
        <v/>
      </c>
      <c r="K7" s="13" t="str">
        <f aca="false">IF(OR(C7="",D7=""),"",D7-C7)</f>
        <v/>
      </c>
      <c r="L7" s="13" t="str">
        <f aca="false">IF(A7="","",IF(OR(I7="Devolvida",N(H7)&gt;0),"Sim","Não"))</f>
        <v/>
      </c>
    </row>
    <row r="8" customFormat="false" ht="15" hidden="false" customHeight="false" outlineLevel="0" collapsed="false">
      <c r="A8" s="18"/>
      <c r="B8" s="18"/>
      <c r="C8" s="25"/>
      <c r="D8" s="25"/>
      <c r="E8" s="25"/>
      <c r="F8" s="18"/>
      <c r="G8" s="18"/>
      <c r="H8" s="18"/>
      <c r="I8" s="18"/>
      <c r="J8" s="13" t="str">
        <f aca="false">IF(OR(D8="",E8=""),"",E8-D8)</f>
        <v/>
      </c>
      <c r="K8" s="13" t="str">
        <f aca="false">IF(OR(C8="",D8=""),"",D8-C8)</f>
        <v/>
      </c>
      <c r="L8" s="13" t="str">
        <f aca="false">IF(A8="","",IF(OR(I8="Devolvida",N(H8)&gt;0),"Sim","Não"))</f>
        <v/>
      </c>
    </row>
    <row r="9" customFormat="false" ht="15" hidden="false" customHeight="false" outlineLevel="0" collapsed="false">
      <c r="A9" s="18"/>
      <c r="B9" s="18"/>
      <c r="C9" s="25"/>
      <c r="D9" s="25"/>
      <c r="E9" s="25"/>
      <c r="F9" s="18"/>
      <c r="G9" s="18"/>
      <c r="H9" s="18"/>
      <c r="I9" s="18"/>
      <c r="J9" s="13" t="str">
        <f aca="false">IF(OR(D9="",E9=""),"",E9-D9)</f>
        <v/>
      </c>
      <c r="K9" s="13" t="str">
        <f aca="false">IF(OR(C9="",D9=""),"",D9-C9)</f>
        <v/>
      </c>
      <c r="L9" s="13" t="str">
        <f aca="false">IF(A9="","",IF(OR(I9="Devolvida",N(H9)&gt;0),"Sim","Não"))</f>
        <v/>
      </c>
    </row>
    <row r="10" customFormat="false" ht="15" hidden="false" customHeight="false" outlineLevel="0" collapsed="false">
      <c r="A10" s="18"/>
      <c r="B10" s="18"/>
      <c r="C10" s="25"/>
      <c r="D10" s="25"/>
      <c r="E10" s="25"/>
      <c r="F10" s="18"/>
      <c r="G10" s="18"/>
      <c r="H10" s="18"/>
      <c r="I10" s="18"/>
      <c r="J10" s="13" t="str">
        <f aca="false">IF(OR(D10="",E10=""),"",E10-D10)</f>
        <v/>
      </c>
      <c r="K10" s="13" t="str">
        <f aca="false">IF(OR(C10="",D10=""),"",D10-C10)</f>
        <v/>
      </c>
      <c r="L10" s="13" t="str">
        <f aca="false">IF(A10="","",IF(OR(I10="Devolvida",N(H10)&gt;0),"Sim","Não"))</f>
        <v/>
      </c>
    </row>
    <row r="11" customFormat="false" ht="15" hidden="false" customHeight="false" outlineLevel="0" collapsed="false">
      <c r="A11" s="18"/>
      <c r="B11" s="18"/>
      <c r="C11" s="25"/>
      <c r="D11" s="25"/>
      <c r="E11" s="25"/>
      <c r="F11" s="18"/>
      <c r="G11" s="18"/>
      <c r="H11" s="18"/>
      <c r="I11" s="18"/>
      <c r="J11" s="13" t="str">
        <f aca="false">IF(OR(D11="",E11=""),"",E11-D11)</f>
        <v/>
      </c>
      <c r="K11" s="13" t="str">
        <f aca="false">IF(OR(C11="",D11=""),"",D11-C11)</f>
        <v/>
      </c>
      <c r="L11" s="13" t="str">
        <f aca="false">IF(A11="","",IF(OR(I11="Devolvida",N(H11)&gt;0),"Sim","Não"))</f>
        <v/>
      </c>
    </row>
    <row r="12" customFormat="false" ht="15" hidden="false" customHeight="false" outlineLevel="0" collapsed="false">
      <c r="A12" s="18"/>
      <c r="B12" s="18"/>
      <c r="C12" s="25"/>
      <c r="D12" s="25"/>
      <c r="E12" s="25"/>
      <c r="F12" s="18"/>
      <c r="G12" s="18"/>
      <c r="H12" s="18"/>
      <c r="I12" s="18"/>
      <c r="J12" s="13" t="str">
        <f aca="false">IF(OR(D12="",E12=""),"",E12-D12)</f>
        <v/>
      </c>
      <c r="K12" s="13" t="str">
        <f aca="false">IF(OR(C12="",D12=""),"",D12-C12)</f>
        <v/>
      </c>
      <c r="L12" s="13" t="str">
        <f aca="false">IF(A12="","",IF(OR(I12="Devolvida",N(H12)&gt;0),"Sim","Não"))</f>
        <v/>
      </c>
    </row>
    <row r="13" customFormat="false" ht="15" hidden="false" customHeight="false" outlineLevel="0" collapsed="false">
      <c r="A13" s="18"/>
      <c r="B13" s="18"/>
      <c r="C13" s="25"/>
      <c r="D13" s="25"/>
      <c r="E13" s="25"/>
      <c r="F13" s="18"/>
      <c r="G13" s="18"/>
      <c r="H13" s="18"/>
      <c r="I13" s="18"/>
      <c r="J13" s="13" t="str">
        <f aca="false">IF(OR(D13="",E13=""),"",E13-D13)</f>
        <v/>
      </c>
      <c r="K13" s="13" t="str">
        <f aca="false">IF(OR(C13="",D13=""),"",D13-C13)</f>
        <v/>
      </c>
      <c r="L13" s="13" t="str">
        <f aca="false">IF(A13="","",IF(OR(I13="Devolvida",N(H13)&gt;0),"Sim","Não"))</f>
        <v/>
      </c>
    </row>
    <row r="14" customFormat="false" ht="15" hidden="false" customHeight="false" outlineLevel="0" collapsed="false">
      <c r="A14" s="18"/>
      <c r="B14" s="18"/>
      <c r="C14" s="25"/>
      <c r="D14" s="25"/>
      <c r="E14" s="25"/>
      <c r="F14" s="18"/>
      <c r="G14" s="18"/>
      <c r="H14" s="18"/>
      <c r="I14" s="18"/>
      <c r="J14" s="13" t="str">
        <f aca="false">IF(OR(D14="",E14=""),"",E14-D14)</f>
        <v/>
      </c>
      <c r="K14" s="13" t="str">
        <f aca="false">IF(OR(C14="",D14=""),"",D14-C14)</f>
        <v/>
      </c>
      <c r="L14" s="13" t="str">
        <f aca="false">IF(A14="","",IF(OR(I14="Devolvida",N(H14)&gt;0),"Sim","Não"))</f>
        <v/>
      </c>
    </row>
    <row r="15" customFormat="false" ht="15" hidden="false" customHeight="false" outlineLevel="0" collapsed="false">
      <c r="A15" s="18"/>
      <c r="B15" s="18"/>
      <c r="C15" s="25"/>
      <c r="D15" s="25"/>
      <c r="E15" s="25"/>
      <c r="F15" s="18"/>
      <c r="G15" s="18"/>
      <c r="H15" s="18"/>
      <c r="I15" s="18"/>
      <c r="J15" s="13" t="str">
        <f aca="false">IF(OR(D15="",E15=""),"",E15-D15)</f>
        <v/>
      </c>
      <c r="K15" s="13" t="str">
        <f aca="false">IF(OR(C15="",D15=""),"",D15-C15)</f>
        <v/>
      </c>
      <c r="L15" s="13" t="str">
        <f aca="false">IF(A15="","",IF(OR(I15="Devolvida",N(H15)&gt;0),"Sim","Não"))</f>
        <v/>
      </c>
    </row>
    <row r="16" customFormat="false" ht="15" hidden="false" customHeight="false" outlineLevel="0" collapsed="false">
      <c r="A16" s="18"/>
      <c r="B16" s="18"/>
      <c r="C16" s="25"/>
      <c r="D16" s="25"/>
      <c r="E16" s="25"/>
      <c r="F16" s="18"/>
      <c r="G16" s="18"/>
      <c r="H16" s="18"/>
      <c r="I16" s="18"/>
      <c r="J16" s="13" t="str">
        <f aca="false">IF(OR(D16="",E16=""),"",E16-D16)</f>
        <v/>
      </c>
      <c r="K16" s="13" t="str">
        <f aca="false">IF(OR(C16="",D16=""),"",D16-C16)</f>
        <v/>
      </c>
      <c r="L16" s="13" t="str">
        <f aca="false">IF(A16="","",IF(OR(I16="Devolvida",N(H16)&gt;0),"Sim","Não"))</f>
        <v/>
      </c>
    </row>
    <row r="17" customFormat="false" ht="15" hidden="false" customHeight="false" outlineLevel="0" collapsed="false">
      <c r="A17" s="18"/>
      <c r="B17" s="18"/>
      <c r="C17" s="25"/>
      <c r="D17" s="25"/>
      <c r="E17" s="25"/>
      <c r="F17" s="18"/>
      <c r="G17" s="18"/>
      <c r="H17" s="18"/>
      <c r="I17" s="18"/>
      <c r="J17" s="13" t="str">
        <f aca="false">IF(OR(D17="",E17=""),"",E17-D17)</f>
        <v/>
      </c>
      <c r="K17" s="13" t="str">
        <f aca="false">IF(OR(C17="",D17=""),"",D17-C17)</f>
        <v/>
      </c>
      <c r="L17" s="13" t="str">
        <f aca="false">IF(A17="","",IF(OR(I17="Devolvida",N(H17)&gt;0),"Sim","Não"))</f>
        <v/>
      </c>
    </row>
    <row r="18" customFormat="false" ht="15" hidden="false" customHeight="false" outlineLevel="0" collapsed="false">
      <c r="A18" s="18"/>
      <c r="B18" s="18"/>
      <c r="C18" s="25"/>
      <c r="D18" s="25"/>
      <c r="E18" s="25"/>
      <c r="F18" s="18"/>
      <c r="G18" s="18"/>
      <c r="H18" s="18"/>
      <c r="I18" s="18"/>
      <c r="J18" s="13" t="str">
        <f aca="false">IF(OR(D18="",E18=""),"",E18-D18)</f>
        <v/>
      </c>
      <c r="K18" s="13" t="str">
        <f aca="false">IF(OR(C18="",D18=""),"",D18-C18)</f>
        <v/>
      </c>
      <c r="L18" s="13" t="str">
        <f aca="false">IF(A18="","",IF(OR(I18="Devolvida",N(H18)&gt;0),"Sim","Não"))</f>
        <v/>
      </c>
    </row>
    <row r="19" customFormat="false" ht="15" hidden="false" customHeight="false" outlineLevel="0" collapsed="false">
      <c r="A19" s="18"/>
      <c r="B19" s="18"/>
      <c r="C19" s="25"/>
      <c r="D19" s="25"/>
      <c r="E19" s="25"/>
      <c r="F19" s="18"/>
      <c r="G19" s="18"/>
      <c r="H19" s="18"/>
      <c r="I19" s="18"/>
      <c r="J19" s="13" t="str">
        <f aca="false">IF(OR(D19="",E19=""),"",E19-D19)</f>
        <v/>
      </c>
      <c r="K19" s="13" t="str">
        <f aca="false">IF(OR(C19="",D19=""),"",D19-C19)</f>
        <v/>
      </c>
      <c r="L19" s="13" t="str">
        <f aca="false">IF(A19="","",IF(OR(I19="Devolvida",N(H19)&gt;0),"Sim","Não"))</f>
        <v/>
      </c>
    </row>
    <row r="20" customFormat="false" ht="15" hidden="false" customHeight="false" outlineLevel="0" collapsed="false">
      <c r="A20" s="18"/>
      <c r="B20" s="18"/>
      <c r="C20" s="25"/>
      <c r="D20" s="25"/>
      <c r="E20" s="25"/>
      <c r="F20" s="18"/>
      <c r="G20" s="18"/>
      <c r="H20" s="18"/>
      <c r="I20" s="18"/>
      <c r="J20" s="13" t="str">
        <f aca="false">IF(OR(D20="",E20=""),"",E20-D20)</f>
        <v/>
      </c>
      <c r="K20" s="13" t="str">
        <f aca="false">IF(OR(C20="",D20=""),"",D20-C20)</f>
        <v/>
      </c>
      <c r="L20" s="13" t="str">
        <f aca="false">IF(A20="","",IF(OR(I20="Devolvida",N(H20)&gt;0),"Sim","Não"))</f>
        <v/>
      </c>
    </row>
    <row r="21" customFormat="false" ht="15" hidden="false" customHeight="false" outlineLevel="0" collapsed="false">
      <c r="A21" s="18"/>
      <c r="B21" s="18"/>
      <c r="C21" s="25"/>
      <c r="D21" s="25"/>
      <c r="E21" s="25"/>
      <c r="F21" s="18"/>
      <c r="G21" s="18"/>
      <c r="H21" s="18"/>
      <c r="I21" s="18"/>
      <c r="J21" s="13" t="str">
        <f aca="false">IF(OR(D21="",E21=""),"",E21-D21)</f>
        <v/>
      </c>
      <c r="K21" s="13" t="str">
        <f aca="false">IF(OR(C21="",D21=""),"",D21-C21)</f>
        <v/>
      </c>
      <c r="L21" s="13" t="str">
        <f aca="false">IF(A21="","",IF(OR(I21="Devolvida",N(H21)&gt;0),"Sim","Não"))</f>
        <v/>
      </c>
    </row>
    <row r="22" customFormat="false" ht="15" hidden="false" customHeight="false" outlineLevel="0" collapsed="false">
      <c r="A22" s="18"/>
      <c r="B22" s="18"/>
      <c r="C22" s="25"/>
      <c r="D22" s="25"/>
      <c r="E22" s="25"/>
      <c r="F22" s="18"/>
      <c r="G22" s="18"/>
      <c r="H22" s="18"/>
      <c r="I22" s="18"/>
      <c r="J22" s="13" t="str">
        <f aca="false">IF(OR(D22="",E22=""),"",E22-D22)</f>
        <v/>
      </c>
      <c r="K22" s="13" t="str">
        <f aca="false">IF(OR(C22="",D22=""),"",D22-C22)</f>
        <v/>
      </c>
      <c r="L22" s="13" t="str">
        <f aca="false">IF(A22="","",IF(OR(I22="Devolvida",N(H22)&gt;0),"Sim","Não"))</f>
        <v/>
      </c>
    </row>
    <row r="23" customFormat="false" ht="15" hidden="false" customHeight="false" outlineLevel="0" collapsed="false">
      <c r="A23" s="18"/>
      <c r="B23" s="18"/>
      <c r="C23" s="25"/>
      <c r="D23" s="25"/>
      <c r="E23" s="25"/>
      <c r="F23" s="18"/>
      <c r="G23" s="18"/>
      <c r="H23" s="18"/>
      <c r="I23" s="18"/>
      <c r="J23" s="13" t="str">
        <f aca="false">IF(OR(D23="",E23=""),"",E23-D23)</f>
        <v/>
      </c>
      <c r="K23" s="13" t="str">
        <f aca="false">IF(OR(C23="",D23=""),"",D23-C23)</f>
        <v/>
      </c>
      <c r="L23" s="13" t="str">
        <f aca="false">IF(A23="","",IF(OR(I23="Devolvida",N(H23)&gt;0),"Sim","Não"))</f>
        <v/>
      </c>
    </row>
    <row r="24" customFormat="false" ht="15" hidden="false" customHeight="false" outlineLevel="0" collapsed="false">
      <c r="A24" s="18"/>
      <c r="B24" s="18"/>
      <c r="C24" s="25"/>
      <c r="D24" s="25"/>
      <c r="E24" s="25"/>
      <c r="F24" s="18"/>
      <c r="G24" s="18"/>
      <c r="H24" s="18"/>
      <c r="I24" s="18"/>
      <c r="J24" s="13" t="str">
        <f aca="false">IF(OR(D24="",E24=""),"",E24-D24)</f>
        <v/>
      </c>
      <c r="K24" s="13" t="str">
        <f aca="false">IF(OR(C24="",D24=""),"",D24-C24)</f>
        <v/>
      </c>
      <c r="L24" s="13" t="str">
        <f aca="false">IF(A24="","",IF(OR(I24="Devolvida",N(H24)&gt;0),"Sim","Não"))</f>
        <v/>
      </c>
    </row>
    <row r="25" customFormat="false" ht="15" hidden="false" customHeight="false" outlineLevel="0" collapsed="false">
      <c r="A25" s="18"/>
      <c r="B25" s="18"/>
      <c r="C25" s="25"/>
      <c r="D25" s="25"/>
      <c r="E25" s="25"/>
      <c r="F25" s="18"/>
      <c r="G25" s="18"/>
      <c r="H25" s="18"/>
      <c r="I25" s="18"/>
      <c r="J25" s="13" t="str">
        <f aca="false">IF(OR(D25="",E25=""),"",E25-D25)</f>
        <v/>
      </c>
      <c r="K25" s="13" t="str">
        <f aca="false">IF(OR(C25="",D25=""),"",D25-C25)</f>
        <v/>
      </c>
      <c r="L25" s="13" t="str">
        <f aca="false">IF(A25="","",IF(OR(I25="Devolvida",N(H25)&gt;0),"Sim","Não"))</f>
        <v/>
      </c>
    </row>
    <row r="26" customFormat="false" ht="15" hidden="false" customHeight="false" outlineLevel="0" collapsed="false">
      <c r="A26" s="18"/>
      <c r="B26" s="18"/>
      <c r="C26" s="25"/>
      <c r="D26" s="25"/>
      <c r="E26" s="25"/>
      <c r="F26" s="18"/>
      <c r="G26" s="18"/>
      <c r="H26" s="18"/>
      <c r="I26" s="18"/>
      <c r="J26" s="13" t="str">
        <f aca="false">IF(OR(D26="",E26=""),"",E26-D26)</f>
        <v/>
      </c>
      <c r="K26" s="13" t="str">
        <f aca="false">IF(OR(C26="",D26=""),"",D26-C26)</f>
        <v/>
      </c>
      <c r="L26" s="13" t="str">
        <f aca="false">IF(A26="","",IF(OR(I26="Devolvida",N(H26)&gt;0),"Sim","Não"))</f>
        <v/>
      </c>
    </row>
    <row r="27" customFormat="false" ht="15" hidden="false" customHeight="false" outlineLevel="0" collapsed="false">
      <c r="A27" s="18"/>
      <c r="B27" s="18"/>
      <c r="C27" s="25"/>
      <c r="D27" s="25"/>
      <c r="E27" s="25"/>
      <c r="F27" s="18"/>
      <c r="G27" s="18"/>
      <c r="H27" s="18"/>
      <c r="I27" s="18"/>
      <c r="J27" s="13" t="str">
        <f aca="false">IF(OR(D27="",E27=""),"",E27-D27)</f>
        <v/>
      </c>
      <c r="K27" s="13" t="str">
        <f aca="false">IF(OR(C27="",D27=""),"",D27-C27)</f>
        <v/>
      </c>
      <c r="L27" s="13" t="str">
        <f aca="false">IF(A27="","",IF(OR(I27="Devolvida",N(H27)&gt;0),"Sim","Não"))</f>
        <v/>
      </c>
    </row>
    <row r="28" customFormat="false" ht="15" hidden="false" customHeight="false" outlineLevel="0" collapsed="false">
      <c r="A28" s="18"/>
      <c r="B28" s="18"/>
      <c r="C28" s="25"/>
      <c r="D28" s="25"/>
      <c r="E28" s="25"/>
      <c r="F28" s="18"/>
      <c r="G28" s="18"/>
      <c r="H28" s="18"/>
      <c r="I28" s="18"/>
      <c r="J28" s="13" t="str">
        <f aca="false">IF(OR(D28="",E28=""),"",E28-D28)</f>
        <v/>
      </c>
      <c r="K28" s="13" t="str">
        <f aca="false">IF(OR(C28="",D28=""),"",D28-C28)</f>
        <v/>
      </c>
      <c r="L28" s="13" t="str">
        <f aca="false">IF(A28="","",IF(OR(I28="Devolvida",N(H28)&gt;0),"Sim","Não"))</f>
        <v/>
      </c>
    </row>
    <row r="29" customFormat="false" ht="15" hidden="false" customHeight="false" outlineLevel="0" collapsed="false">
      <c r="A29" s="18"/>
      <c r="B29" s="18"/>
      <c r="C29" s="25"/>
      <c r="D29" s="25"/>
      <c r="E29" s="25"/>
      <c r="F29" s="18"/>
      <c r="G29" s="18"/>
      <c r="H29" s="18"/>
      <c r="I29" s="18"/>
      <c r="J29" s="13" t="str">
        <f aca="false">IF(OR(D29="",E29=""),"",E29-D29)</f>
        <v/>
      </c>
      <c r="K29" s="13" t="str">
        <f aca="false">IF(OR(C29="",D29=""),"",D29-C29)</f>
        <v/>
      </c>
      <c r="L29" s="13" t="str">
        <f aca="false">IF(A29="","",IF(OR(I29="Devolvida",N(H29)&gt;0),"Sim","Não"))</f>
        <v/>
      </c>
    </row>
    <row r="30" customFormat="false" ht="15" hidden="false" customHeight="false" outlineLevel="0" collapsed="false">
      <c r="A30" s="18"/>
      <c r="B30" s="18"/>
      <c r="C30" s="25"/>
      <c r="D30" s="25"/>
      <c r="E30" s="25"/>
      <c r="F30" s="18"/>
      <c r="G30" s="18"/>
      <c r="H30" s="18"/>
      <c r="I30" s="18"/>
      <c r="J30" s="13" t="str">
        <f aca="false">IF(OR(D30="",E30=""),"",E30-D30)</f>
        <v/>
      </c>
      <c r="K30" s="13" t="str">
        <f aca="false">IF(OR(C30="",D30=""),"",D30-C30)</f>
        <v/>
      </c>
      <c r="L30" s="13" t="str">
        <f aca="false">IF(A30="","",IF(OR(I30="Devolvida",N(H30)&gt;0),"Sim","Não"))</f>
        <v/>
      </c>
    </row>
    <row r="31" customFormat="false" ht="15" hidden="false" customHeight="false" outlineLevel="0" collapsed="false">
      <c r="A31" s="18"/>
      <c r="B31" s="18"/>
      <c r="C31" s="25"/>
      <c r="D31" s="25"/>
      <c r="E31" s="25"/>
      <c r="F31" s="18"/>
      <c r="G31" s="18"/>
      <c r="H31" s="18"/>
      <c r="I31" s="18"/>
      <c r="J31" s="13" t="str">
        <f aca="false">IF(OR(D31="",E31=""),"",E31-D31)</f>
        <v/>
      </c>
      <c r="K31" s="13" t="str">
        <f aca="false">IF(OR(C31="",D31=""),"",D31-C31)</f>
        <v/>
      </c>
      <c r="L31" s="13" t="str">
        <f aca="false">IF(A31="","",IF(OR(I31="Devolvida",N(H31)&gt;0),"Sim","Não"))</f>
        <v/>
      </c>
    </row>
    <row r="32" customFormat="false" ht="15" hidden="false" customHeight="false" outlineLevel="0" collapsed="false">
      <c r="A32" s="18"/>
      <c r="B32" s="18"/>
      <c r="C32" s="25"/>
      <c r="D32" s="25"/>
      <c r="E32" s="25"/>
      <c r="F32" s="18"/>
      <c r="G32" s="18"/>
      <c r="H32" s="18"/>
      <c r="I32" s="18"/>
      <c r="J32" s="13" t="str">
        <f aca="false">IF(OR(D32="",E32=""),"",E32-D32)</f>
        <v/>
      </c>
      <c r="K32" s="13" t="str">
        <f aca="false">IF(OR(C32="",D32=""),"",D32-C32)</f>
        <v/>
      </c>
      <c r="L32" s="13" t="str">
        <f aca="false">IF(A32="","",IF(OR(I32="Devolvida",N(H32)&gt;0),"Sim","Não"))</f>
        <v/>
      </c>
    </row>
    <row r="33" customFormat="false" ht="15" hidden="false" customHeight="false" outlineLevel="0" collapsed="false">
      <c r="A33" s="18"/>
      <c r="B33" s="18"/>
      <c r="C33" s="25"/>
      <c r="D33" s="25"/>
      <c r="E33" s="25"/>
      <c r="F33" s="18"/>
      <c r="G33" s="18"/>
      <c r="H33" s="18"/>
      <c r="I33" s="18"/>
      <c r="J33" s="13" t="str">
        <f aca="false">IF(OR(D33="",E33=""),"",E33-D33)</f>
        <v/>
      </c>
      <c r="K33" s="13" t="str">
        <f aca="false">IF(OR(C33="",D33=""),"",D33-C33)</f>
        <v/>
      </c>
      <c r="L33" s="13" t="str">
        <f aca="false">IF(A33="","",IF(OR(I33="Devolvida",N(H33)&gt;0),"Sim","Não"))</f>
        <v/>
      </c>
    </row>
    <row r="34" customFormat="false" ht="15" hidden="false" customHeight="false" outlineLevel="0" collapsed="false">
      <c r="A34" s="18"/>
      <c r="B34" s="18"/>
      <c r="C34" s="25"/>
      <c r="D34" s="25"/>
      <c r="E34" s="25"/>
      <c r="F34" s="18"/>
      <c r="G34" s="18"/>
      <c r="H34" s="18"/>
      <c r="I34" s="18"/>
      <c r="J34" s="13" t="str">
        <f aca="false">IF(OR(D34="",E34=""),"",E34-D34)</f>
        <v/>
      </c>
      <c r="K34" s="13" t="str">
        <f aca="false">IF(OR(C34="",D34=""),"",D34-C34)</f>
        <v/>
      </c>
      <c r="L34" s="13" t="str">
        <f aca="false">IF(A34="","",IF(OR(I34="Devolvida",N(H34)&gt;0),"Sim","Não"))</f>
        <v/>
      </c>
    </row>
    <row r="35" customFormat="false" ht="15" hidden="false" customHeight="false" outlineLevel="0" collapsed="false">
      <c r="A35" s="18"/>
      <c r="B35" s="18"/>
      <c r="C35" s="25"/>
      <c r="D35" s="25"/>
      <c r="E35" s="25"/>
      <c r="F35" s="18"/>
      <c r="G35" s="18"/>
      <c r="H35" s="18"/>
      <c r="I35" s="18"/>
      <c r="J35" s="13" t="str">
        <f aca="false">IF(OR(D35="",E35=""),"",E35-D35)</f>
        <v/>
      </c>
      <c r="K35" s="13" t="str">
        <f aca="false">IF(OR(C35="",D35=""),"",D35-C35)</f>
        <v/>
      </c>
      <c r="L35" s="13" t="str">
        <f aca="false">IF(A35="","",IF(OR(I35="Devolvida",N(H35)&gt;0),"Sim","Não"))</f>
        <v/>
      </c>
    </row>
    <row r="36" customFormat="false" ht="15" hidden="false" customHeight="false" outlineLevel="0" collapsed="false">
      <c r="A36" s="18"/>
      <c r="B36" s="18"/>
      <c r="C36" s="25"/>
      <c r="D36" s="25"/>
      <c r="E36" s="25"/>
      <c r="F36" s="18"/>
      <c r="G36" s="18"/>
      <c r="H36" s="18"/>
      <c r="I36" s="18"/>
      <c r="J36" s="13" t="str">
        <f aca="false">IF(OR(D36="",E36=""),"",E36-D36)</f>
        <v/>
      </c>
      <c r="K36" s="13" t="str">
        <f aca="false">IF(OR(C36="",D36=""),"",D36-C36)</f>
        <v/>
      </c>
      <c r="L36" s="13" t="str">
        <f aca="false">IF(A36="","",IF(OR(I36="Devolvida",N(H36)&gt;0),"Sim","Não"))</f>
        <v/>
      </c>
    </row>
    <row r="37" customFormat="false" ht="15" hidden="false" customHeight="false" outlineLevel="0" collapsed="false">
      <c r="A37" s="18"/>
      <c r="B37" s="18"/>
      <c r="C37" s="25"/>
      <c r="D37" s="25"/>
      <c r="E37" s="25"/>
      <c r="F37" s="18"/>
      <c r="G37" s="18"/>
      <c r="H37" s="18"/>
      <c r="I37" s="18"/>
      <c r="J37" s="13" t="str">
        <f aca="false">IF(OR(D37="",E37=""),"",E37-D37)</f>
        <v/>
      </c>
      <c r="K37" s="13" t="str">
        <f aca="false">IF(OR(C37="",D37=""),"",D37-C37)</f>
        <v/>
      </c>
      <c r="L37" s="13" t="str">
        <f aca="false">IF(A37="","",IF(OR(I37="Devolvida",N(H37)&gt;0),"Sim","Não"))</f>
        <v/>
      </c>
    </row>
    <row r="38" customFormat="false" ht="15" hidden="false" customHeight="false" outlineLevel="0" collapsed="false">
      <c r="A38" s="18"/>
      <c r="B38" s="18"/>
      <c r="C38" s="25"/>
      <c r="D38" s="25"/>
      <c r="E38" s="25"/>
      <c r="F38" s="18"/>
      <c r="G38" s="18"/>
      <c r="H38" s="18"/>
      <c r="I38" s="18"/>
      <c r="J38" s="13" t="str">
        <f aca="false">IF(OR(D38="",E38=""),"",E38-D38)</f>
        <v/>
      </c>
      <c r="K38" s="13" t="str">
        <f aca="false">IF(OR(C38="",D38=""),"",D38-C38)</f>
        <v/>
      </c>
      <c r="L38" s="13" t="str">
        <f aca="false">IF(A38="","",IF(OR(I38="Devolvida",N(H38)&gt;0),"Sim","Não"))</f>
        <v/>
      </c>
    </row>
    <row r="39" customFormat="false" ht="15" hidden="false" customHeight="false" outlineLevel="0" collapsed="false">
      <c r="A39" s="18"/>
      <c r="B39" s="18"/>
      <c r="C39" s="25"/>
      <c r="D39" s="25"/>
      <c r="E39" s="25"/>
      <c r="F39" s="18"/>
      <c r="G39" s="18"/>
      <c r="H39" s="18"/>
      <c r="I39" s="18"/>
      <c r="J39" s="13" t="str">
        <f aca="false">IF(OR(D39="",E39=""),"",E39-D39)</f>
        <v/>
      </c>
      <c r="K39" s="13" t="str">
        <f aca="false">IF(OR(C39="",D39=""),"",D39-C39)</f>
        <v/>
      </c>
      <c r="L39" s="13" t="str">
        <f aca="false">IF(A39="","",IF(OR(I39="Devolvida",N(H39)&gt;0),"Sim","Não"))</f>
        <v/>
      </c>
    </row>
    <row r="40" customFormat="false" ht="15" hidden="false" customHeight="false" outlineLevel="0" collapsed="false">
      <c r="A40" s="18"/>
      <c r="B40" s="18"/>
      <c r="C40" s="25"/>
      <c r="D40" s="25"/>
      <c r="E40" s="25"/>
      <c r="F40" s="18"/>
      <c r="G40" s="18"/>
      <c r="H40" s="18"/>
      <c r="I40" s="18"/>
      <c r="J40" s="13" t="str">
        <f aca="false">IF(OR(D40="",E40=""),"",E40-D40)</f>
        <v/>
      </c>
      <c r="K40" s="13" t="str">
        <f aca="false">IF(OR(C40="",D40=""),"",D40-C40)</f>
        <v/>
      </c>
      <c r="L40" s="13" t="str">
        <f aca="false">IF(A40="","",IF(OR(I40="Devolvida",N(H40)&gt;0),"Sim","Não"))</f>
        <v/>
      </c>
    </row>
    <row r="41" customFormat="false" ht="15" hidden="false" customHeight="false" outlineLevel="0" collapsed="false">
      <c r="A41" s="18"/>
      <c r="B41" s="18"/>
      <c r="C41" s="25"/>
      <c r="D41" s="25"/>
      <c r="E41" s="25"/>
      <c r="F41" s="18"/>
      <c r="G41" s="18"/>
      <c r="H41" s="18"/>
      <c r="I41" s="18"/>
      <c r="J41" s="13" t="str">
        <f aca="false">IF(OR(D41="",E41=""),"",E41-D41)</f>
        <v/>
      </c>
      <c r="K41" s="13" t="str">
        <f aca="false">IF(OR(C41="",D41=""),"",D41-C41)</f>
        <v/>
      </c>
      <c r="L41" s="13" t="str">
        <f aca="false">IF(A41="","",IF(OR(I41="Devolvida",N(H41)&gt;0),"Sim","Não"))</f>
        <v/>
      </c>
    </row>
    <row r="42" customFormat="false" ht="15" hidden="false" customHeight="false" outlineLevel="0" collapsed="false">
      <c r="A42" s="18"/>
      <c r="B42" s="18"/>
      <c r="C42" s="25"/>
      <c r="D42" s="25"/>
      <c r="E42" s="25"/>
      <c r="F42" s="18"/>
      <c r="G42" s="18"/>
      <c r="H42" s="18"/>
      <c r="I42" s="18"/>
      <c r="J42" s="13" t="str">
        <f aca="false">IF(OR(D42="",E42=""),"",E42-D42)</f>
        <v/>
      </c>
      <c r="K42" s="13" t="str">
        <f aca="false">IF(OR(C42="",D42=""),"",D42-C42)</f>
        <v/>
      </c>
      <c r="L42" s="13" t="str">
        <f aca="false">IF(A42="","",IF(OR(I42="Devolvida",N(H42)&gt;0),"Sim","Não"))</f>
        <v/>
      </c>
    </row>
    <row r="43" customFormat="false" ht="15" hidden="false" customHeight="false" outlineLevel="0" collapsed="false">
      <c r="A43" s="18"/>
      <c r="B43" s="18"/>
      <c r="C43" s="25"/>
      <c r="D43" s="25"/>
      <c r="E43" s="25"/>
      <c r="F43" s="18"/>
      <c r="G43" s="18"/>
      <c r="H43" s="18"/>
      <c r="I43" s="18"/>
      <c r="J43" s="13" t="str">
        <f aca="false">IF(OR(D43="",E43=""),"",E43-D43)</f>
        <v/>
      </c>
      <c r="K43" s="13" t="str">
        <f aca="false">IF(OR(C43="",D43=""),"",D43-C43)</f>
        <v/>
      </c>
      <c r="L43" s="13" t="str">
        <f aca="false">IF(A43="","",IF(OR(I43="Devolvida",N(H43)&gt;0),"Sim","Não"))</f>
        <v/>
      </c>
    </row>
    <row r="44" customFormat="false" ht="15" hidden="false" customHeight="false" outlineLevel="0" collapsed="false">
      <c r="A44" s="18"/>
      <c r="B44" s="18"/>
      <c r="C44" s="25"/>
      <c r="D44" s="25"/>
      <c r="E44" s="25"/>
      <c r="F44" s="18"/>
      <c r="G44" s="18"/>
      <c r="H44" s="18"/>
      <c r="I44" s="18"/>
      <c r="J44" s="13" t="str">
        <f aca="false">IF(OR(D44="",E44=""),"",E44-D44)</f>
        <v/>
      </c>
      <c r="K44" s="13" t="str">
        <f aca="false">IF(OR(C44="",D44=""),"",D44-C44)</f>
        <v/>
      </c>
      <c r="L44" s="13" t="str">
        <f aca="false">IF(A44="","",IF(OR(I44="Devolvida",N(H44)&gt;0),"Sim","Não"))</f>
        <v/>
      </c>
    </row>
    <row r="45" customFormat="false" ht="15" hidden="false" customHeight="false" outlineLevel="0" collapsed="false">
      <c r="A45" s="18"/>
      <c r="B45" s="18"/>
      <c r="C45" s="25"/>
      <c r="D45" s="25"/>
      <c r="E45" s="25"/>
      <c r="F45" s="18"/>
      <c r="G45" s="18"/>
      <c r="H45" s="18"/>
      <c r="I45" s="18"/>
      <c r="J45" s="13" t="str">
        <f aca="false">IF(OR(D45="",E45=""),"",E45-D45)</f>
        <v/>
      </c>
      <c r="K45" s="13" t="str">
        <f aca="false">IF(OR(C45="",D45=""),"",D45-C45)</f>
        <v/>
      </c>
      <c r="L45" s="13" t="str">
        <f aca="false">IF(A45="","",IF(OR(I45="Devolvida",N(H45)&gt;0),"Sim","Não"))</f>
        <v/>
      </c>
    </row>
    <row r="46" customFormat="false" ht="15" hidden="false" customHeight="false" outlineLevel="0" collapsed="false">
      <c r="A46" s="18"/>
      <c r="B46" s="18"/>
      <c r="C46" s="25"/>
      <c r="D46" s="25"/>
      <c r="E46" s="25"/>
      <c r="F46" s="18"/>
      <c r="G46" s="18"/>
      <c r="H46" s="18"/>
      <c r="I46" s="18"/>
      <c r="J46" s="13" t="str">
        <f aca="false">IF(OR(D46="",E46=""),"",E46-D46)</f>
        <v/>
      </c>
      <c r="K46" s="13" t="str">
        <f aca="false">IF(OR(C46="",D46=""),"",D46-C46)</f>
        <v/>
      </c>
      <c r="L46" s="13" t="str">
        <f aca="false">IF(A46="","",IF(OR(I46="Devolvida",N(H46)&gt;0),"Sim","Não"))</f>
        <v/>
      </c>
    </row>
    <row r="47" customFormat="false" ht="15" hidden="false" customHeight="false" outlineLevel="0" collapsed="false">
      <c r="A47" s="18"/>
      <c r="B47" s="18"/>
      <c r="C47" s="25"/>
      <c r="D47" s="25"/>
      <c r="E47" s="25"/>
      <c r="F47" s="18"/>
      <c r="G47" s="18"/>
      <c r="H47" s="18"/>
      <c r="I47" s="18"/>
      <c r="J47" s="13" t="str">
        <f aca="false">IF(OR(D47="",E47=""),"",E47-D47)</f>
        <v/>
      </c>
      <c r="K47" s="13" t="str">
        <f aca="false">IF(OR(C47="",D47=""),"",D47-C47)</f>
        <v/>
      </c>
      <c r="L47" s="13" t="str">
        <f aca="false">IF(A47="","",IF(OR(I47="Devolvida",N(H47)&gt;0),"Sim","Não"))</f>
        <v/>
      </c>
    </row>
    <row r="48" customFormat="false" ht="15" hidden="false" customHeight="false" outlineLevel="0" collapsed="false">
      <c r="A48" s="18"/>
      <c r="B48" s="18"/>
      <c r="C48" s="25"/>
      <c r="D48" s="25"/>
      <c r="E48" s="25"/>
      <c r="F48" s="18"/>
      <c r="G48" s="18"/>
      <c r="H48" s="18"/>
      <c r="I48" s="18"/>
      <c r="J48" s="13" t="str">
        <f aca="false">IF(OR(D48="",E48=""),"",E48-D48)</f>
        <v/>
      </c>
      <c r="K48" s="13" t="str">
        <f aca="false">IF(OR(C48="",D48=""),"",D48-C48)</f>
        <v/>
      </c>
      <c r="L48" s="13" t="str">
        <f aca="false">IF(A48="","",IF(OR(I48="Devolvida",N(H48)&gt;0),"Sim","Não"))</f>
        <v/>
      </c>
    </row>
    <row r="49" customFormat="false" ht="15" hidden="false" customHeight="false" outlineLevel="0" collapsed="false">
      <c r="A49" s="18"/>
      <c r="B49" s="18"/>
      <c r="C49" s="25"/>
      <c r="D49" s="25"/>
      <c r="E49" s="25"/>
      <c r="F49" s="18"/>
      <c r="G49" s="18"/>
      <c r="H49" s="18"/>
      <c r="I49" s="18"/>
      <c r="J49" s="13" t="str">
        <f aca="false">IF(OR(D49="",E49=""),"",E49-D49)</f>
        <v/>
      </c>
      <c r="K49" s="13" t="str">
        <f aca="false">IF(OR(C49="",D49=""),"",D49-C49)</f>
        <v/>
      </c>
      <c r="L49" s="13" t="str">
        <f aca="false">IF(A49="","",IF(OR(I49="Devolvida",N(H49)&gt;0),"Sim","Não"))</f>
        <v/>
      </c>
    </row>
    <row r="50" customFormat="false" ht="15" hidden="false" customHeight="false" outlineLevel="0" collapsed="false">
      <c r="A50" s="18"/>
      <c r="B50" s="18"/>
      <c r="C50" s="25"/>
      <c r="D50" s="25"/>
      <c r="E50" s="25"/>
      <c r="F50" s="18"/>
      <c r="G50" s="18"/>
      <c r="H50" s="18"/>
      <c r="I50" s="18"/>
      <c r="J50" s="13" t="str">
        <f aca="false">IF(OR(D50="",E50=""),"",E50-D50)</f>
        <v/>
      </c>
      <c r="K50" s="13" t="str">
        <f aca="false">IF(OR(C50="",D50=""),"",D50-C50)</f>
        <v/>
      </c>
      <c r="L50" s="13" t="str">
        <f aca="false">IF(A50="","",IF(OR(I50="Devolvida",N(H50)&gt;0),"Sim","Não"))</f>
        <v/>
      </c>
    </row>
    <row r="51" customFormat="false" ht="15" hidden="false" customHeight="false" outlineLevel="0" collapsed="false">
      <c r="A51" s="18"/>
      <c r="B51" s="18"/>
      <c r="C51" s="25"/>
      <c r="D51" s="25"/>
      <c r="E51" s="25"/>
      <c r="F51" s="18"/>
      <c r="G51" s="18"/>
      <c r="H51" s="18"/>
      <c r="I51" s="18"/>
      <c r="J51" s="13" t="str">
        <f aca="false">IF(OR(D51="",E51=""),"",E51-D51)</f>
        <v/>
      </c>
      <c r="K51" s="13" t="str">
        <f aca="false">IF(OR(C51="",D51=""),"",D51-C51)</f>
        <v/>
      </c>
      <c r="L51" s="13" t="str">
        <f aca="false">IF(A51="","",IF(OR(I51="Devolvida",N(H51)&gt;0),"Sim","Não"))</f>
        <v/>
      </c>
    </row>
    <row r="52" customFormat="false" ht="15" hidden="false" customHeight="false" outlineLevel="0" collapsed="false">
      <c r="A52" s="18"/>
      <c r="B52" s="18"/>
      <c r="C52" s="25"/>
      <c r="D52" s="25"/>
      <c r="E52" s="25"/>
      <c r="F52" s="18"/>
      <c r="G52" s="18"/>
      <c r="H52" s="18"/>
      <c r="I52" s="18"/>
      <c r="J52" s="13" t="str">
        <f aca="false">IF(OR(D52="",E52=""),"",E52-D52)</f>
        <v/>
      </c>
      <c r="K52" s="13" t="str">
        <f aca="false">IF(OR(C52="",D52=""),"",D52-C52)</f>
        <v/>
      </c>
      <c r="L52" s="13" t="str">
        <f aca="false">IF(A52="","",IF(OR(I52="Devolvida",N(H52)&gt;0),"Sim","Não"))</f>
        <v/>
      </c>
    </row>
    <row r="53" customFormat="false" ht="15" hidden="false" customHeight="false" outlineLevel="0" collapsed="false">
      <c r="A53" s="18"/>
      <c r="B53" s="18"/>
      <c r="C53" s="25"/>
      <c r="D53" s="25"/>
      <c r="E53" s="25"/>
      <c r="F53" s="18"/>
      <c r="G53" s="18"/>
      <c r="H53" s="18"/>
      <c r="I53" s="18"/>
      <c r="J53" s="13" t="str">
        <f aca="false">IF(OR(D53="",E53=""),"",E53-D53)</f>
        <v/>
      </c>
      <c r="K53" s="13" t="str">
        <f aca="false">IF(OR(C53="",D53=""),"",D53-C53)</f>
        <v/>
      </c>
      <c r="L53" s="13" t="str">
        <f aca="false">IF(A53="","",IF(OR(I53="Devolvida",N(H53)&gt;0),"Sim","Não"))</f>
        <v/>
      </c>
    </row>
    <row r="54" customFormat="false" ht="15" hidden="false" customHeight="false" outlineLevel="0" collapsed="false">
      <c r="A54" s="18"/>
      <c r="B54" s="18"/>
      <c r="C54" s="25"/>
      <c r="D54" s="25"/>
      <c r="E54" s="25"/>
      <c r="F54" s="18"/>
      <c r="G54" s="18"/>
      <c r="H54" s="18"/>
      <c r="I54" s="18"/>
      <c r="J54" s="13" t="str">
        <f aca="false">IF(OR(D54="",E54=""),"",E54-D54)</f>
        <v/>
      </c>
      <c r="K54" s="13" t="str">
        <f aca="false">IF(OR(C54="",D54=""),"",D54-C54)</f>
        <v/>
      </c>
      <c r="L54" s="13" t="str">
        <f aca="false">IF(A54="","",IF(OR(I54="Devolvida",N(H54)&gt;0),"Sim","Não"))</f>
        <v/>
      </c>
    </row>
    <row r="55" customFormat="false" ht="15" hidden="false" customHeight="false" outlineLevel="0" collapsed="false">
      <c r="A55" s="18"/>
      <c r="B55" s="18"/>
      <c r="C55" s="25"/>
      <c r="D55" s="25"/>
      <c r="E55" s="25"/>
      <c r="F55" s="18"/>
      <c r="G55" s="18"/>
      <c r="H55" s="18"/>
      <c r="I55" s="18"/>
      <c r="J55" s="13" t="str">
        <f aca="false">IF(OR(D55="",E55=""),"",E55-D55)</f>
        <v/>
      </c>
      <c r="K55" s="13" t="str">
        <f aca="false">IF(OR(C55="",D55=""),"",D55-C55)</f>
        <v/>
      </c>
      <c r="L55" s="13" t="str">
        <f aca="false">IF(A55="","",IF(OR(I55="Devolvida",N(H55)&gt;0),"Sim","Não"))</f>
        <v/>
      </c>
    </row>
    <row r="56" customFormat="false" ht="15" hidden="false" customHeight="false" outlineLevel="0" collapsed="false">
      <c r="A56" s="18"/>
      <c r="B56" s="18"/>
      <c r="C56" s="25"/>
      <c r="D56" s="25"/>
      <c r="E56" s="25"/>
      <c r="F56" s="18"/>
      <c r="G56" s="18"/>
      <c r="H56" s="18"/>
      <c r="I56" s="18"/>
      <c r="J56" s="13" t="str">
        <f aca="false">IF(OR(D56="",E56=""),"",E56-D56)</f>
        <v/>
      </c>
      <c r="K56" s="13" t="str">
        <f aca="false">IF(OR(C56="",D56=""),"",D56-C56)</f>
        <v/>
      </c>
      <c r="L56" s="13" t="str">
        <f aca="false">IF(A56="","",IF(OR(I56="Devolvida",N(H56)&gt;0),"Sim","Não"))</f>
        <v/>
      </c>
    </row>
    <row r="57" customFormat="false" ht="15" hidden="false" customHeight="false" outlineLevel="0" collapsed="false">
      <c r="A57" s="18"/>
      <c r="B57" s="18"/>
      <c r="C57" s="25"/>
      <c r="D57" s="25"/>
      <c r="E57" s="25"/>
      <c r="F57" s="18"/>
      <c r="G57" s="18"/>
      <c r="H57" s="18"/>
      <c r="I57" s="18"/>
      <c r="J57" s="13" t="str">
        <f aca="false">IF(OR(D57="",E57=""),"",E57-D57)</f>
        <v/>
      </c>
      <c r="K57" s="13" t="str">
        <f aca="false">IF(OR(C57="",D57=""),"",D57-C57)</f>
        <v/>
      </c>
      <c r="L57" s="13" t="str">
        <f aca="false">IF(A57="","",IF(OR(I57="Devolvida",N(H57)&gt;0),"Sim","Não"))</f>
        <v/>
      </c>
    </row>
    <row r="58" customFormat="false" ht="15" hidden="false" customHeight="false" outlineLevel="0" collapsed="false">
      <c r="A58" s="18"/>
      <c r="B58" s="18"/>
      <c r="C58" s="25"/>
      <c r="D58" s="25"/>
      <c r="E58" s="25"/>
      <c r="F58" s="18"/>
      <c r="G58" s="18"/>
      <c r="H58" s="18"/>
      <c r="I58" s="18"/>
      <c r="J58" s="13" t="str">
        <f aca="false">IF(OR(D58="",E58=""),"",E58-D58)</f>
        <v/>
      </c>
      <c r="K58" s="13" t="str">
        <f aca="false">IF(OR(C58="",D58=""),"",D58-C58)</f>
        <v/>
      </c>
      <c r="L58" s="13" t="str">
        <f aca="false">IF(A58="","",IF(OR(I58="Devolvida",N(H58)&gt;0),"Sim","Não"))</f>
        <v/>
      </c>
    </row>
    <row r="59" customFormat="false" ht="15" hidden="false" customHeight="false" outlineLevel="0" collapsed="false">
      <c r="A59" s="18"/>
      <c r="B59" s="18"/>
      <c r="C59" s="25"/>
      <c r="D59" s="25"/>
      <c r="E59" s="25"/>
      <c r="F59" s="18"/>
      <c r="G59" s="18"/>
      <c r="H59" s="18"/>
      <c r="I59" s="18"/>
      <c r="J59" s="13" t="str">
        <f aca="false">IF(OR(D59="",E59=""),"",E59-D59)</f>
        <v/>
      </c>
      <c r="K59" s="13" t="str">
        <f aca="false">IF(OR(C59="",D59=""),"",D59-C59)</f>
        <v/>
      </c>
      <c r="L59" s="13" t="str">
        <f aca="false">IF(A59="","",IF(OR(I59="Devolvida",N(H59)&gt;0),"Sim","Não"))</f>
        <v/>
      </c>
    </row>
    <row r="60" customFormat="false" ht="15" hidden="false" customHeight="false" outlineLevel="0" collapsed="false">
      <c r="A60" s="18"/>
      <c r="B60" s="18"/>
      <c r="C60" s="25"/>
      <c r="D60" s="25"/>
      <c r="E60" s="25"/>
      <c r="F60" s="18"/>
      <c r="G60" s="18"/>
      <c r="H60" s="18"/>
      <c r="I60" s="18"/>
      <c r="J60" s="13" t="str">
        <f aca="false">IF(OR(D60="",E60=""),"",E60-D60)</f>
        <v/>
      </c>
      <c r="K60" s="13" t="str">
        <f aca="false">IF(OR(C60="",D60=""),"",D60-C60)</f>
        <v/>
      </c>
      <c r="L60" s="13" t="str">
        <f aca="false">IF(A60="","",IF(OR(I60="Devolvida",N(H60)&gt;0),"Sim","Não"))</f>
        <v/>
      </c>
    </row>
    <row r="61" customFormat="false" ht="15" hidden="false" customHeight="false" outlineLevel="0" collapsed="false">
      <c r="A61" s="18"/>
      <c r="B61" s="18"/>
      <c r="C61" s="25"/>
      <c r="D61" s="25"/>
      <c r="E61" s="25"/>
      <c r="F61" s="18"/>
      <c r="G61" s="18"/>
      <c r="H61" s="18"/>
      <c r="I61" s="18"/>
      <c r="J61" s="13" t="str">
        <f aca="false">IF(OR(D61="",E61=""),"",E61-D61)</f>
        <v/>
      </c>
      <c r="K61" s="13" t="str">
        <f aca="false">IF(OR(C61="",D61=""),"",D61-C61)</f>
        <v/>
      </c>
      <c r="L61" s="13" t="str">
        <f aca="false">IF(A61="","",IF(OR(I61="Devolvida",N(H61)&gt;0),"Sim","Não"))</f>
        <v/>
      </c>
    </row>
    <row r="62" customFormat="false" ht="15" hidden="false" customHeight="false" outlineLevel="0" collapsed="false">
      <c r="A62" s="18"/>
      <c r="B62" s="18"/>
      <c r="C62" s="25"/>
      <c r="D62" s="25"/>
      <c r="E62" s="25"/>
      <c r="F62" s="18"/>
      <c r="G62" s="18"/>
      <c r="H62" s="18"/>
      <c r="I62" s="18"/>
      <c r="J62" s="13" t="str">
        <f aca="false">IF(OR(D62="",E62=""),"",E62-D62)</f>
        <v/>
      </c>
      <c r="K62" s="13" t="str">
        <f aca="false">IF(OR(C62="",D62=""),"",D62-C62)</f>
        <v/>
      </c>
      <c r="L62" s="13" t="str">
        <f aca="false">IF(A62="","",IF(OR(I62="Devolvida",N(H62)&gt;0),"Sim","Não"))</f>
        <v/>
      </c>
    </row>
    <row r="63" customFormat="false" ht="15" hidden="false" customHeight="false" outlineLevel="0" collapsed="false">
      <c r="A63" s="18"/>
      <c r="B63" s="18"/>
      <c r="C63" s="25"/>
      <c r="D63" s="25"/>
      <c r="E63" s="25"/>
      <c r="F63" s="18"/>
      <c r="G63" s="18"/>
      <c r="H63" s="18"/>
      <c r="I63" s="18"/>
      <c r="J63" s="13" t="str">
        <f aca="false">IF(OR(D63="",E63=""),"",E63-D63)</f>
        <v/>
      </c>
      <c r="K63" s="13" t="str">
        <f aca="false">IF(OR(C63="",D63=""),"",D63-C63)</f>
        <v/>
      </c>
      <c r="L63" s="13" t="str">
        <f aca="false">IF(A63="","",IF(OR(I63="Devolvida",N(H63)&gt;0),"Sim","Não"))</f>
        <v/>
      </c>
    </row>
    <row r="64" customFormat="false" ht="15" hidden="false" customHeight="false" outlineLevel="0" collapsed="false">
      <c r="A64" s="18"/>
      <c r="B64" s="18"/>
      <c r="C64" s="25"/>
      <c r="D64" s="25"/>
      <c r="E64" s="25"/>
      <c r="F64" s="18"/>
      <c r="G64" s="18"/>
      <c r="H64" s="18"/>
      <c r="I64" s="18"/>
      <c r="J64" s="13" t="str">
        <f aca="false">IF(OR(D64="",E64=""),"",E64-D64)</f>
        <v/>
      </c>
      <c r="K64" s="13" t="str">
        <f aca="false">IF(OR(C64="",D64=""),"",D64-C64)</f>
        <v/>
      </c>
      <c r="L64" s="13" t="str">
        <f aca="false">IF(A64="","",IF(OR(I64="Devolvida",N(H64)&gt;0),"Sim","Não"))</f>
        <v/>
      </c>
    </row>
    <row r="65" customFormat="false" ht="15" hidden="false" customHeight="false" outlineLevel="0" collapsed="false">
      <c r="A65" s="18"/>
      <c r="B65" s="18"/>
      <c r="C65" s="25"/>
      <c r="D65" s="25"/>
      <c r="E65" s="25"/>
      <c r="F65" s="18"/>
      <c r="G65" s="18"/>
      <c r="H65" s="18"/>
      <c r="I65" s="18"/>
      <c r="J65" s="13" t="str">
        <f aca="false">IF(OR(D65="",E65=""),"",E65-D65)</f>
        <v/>
      </c>
      <c r="K65" s="13" t="str">
        <f aca="false">IF(OR(C65="",D65=""),"",D65-C65)</f>
        <v/>
      </c>
      <c r="L65" s="13" t="str">
        <f aca="false">IF(A65="","",IF(OR(I65="Devolvida",N(H65)&gt;0),"Sim","Não"))</f>
        <v/>
      </c>
    </row>
    <row r="66" customFormat="false" ht="15" hidden="false" customHeight="false" outlineLevel="0" collapsed="false">
      <c r="A66" s="18"/>
      <c r="B66" s="18"/>
      <c r="C66" s="25"/>
      <c r="D66" s="25"/>
      <c r="E66" s="25"/>
      <c r="F66" s="18"/>
      <c r="G66" s="18"/>
      <c r="H66" s="18"/>
      <c r="I66" s="18"/>
      <c r="J66" s="13" t="str">
        <f aca="false">IF(OR(D66="",E66=""),"",E66-D66)</f>
        <v/>
      </c>
      <c r="K66" s="13" t="str">
        <f aca="false">IF(OR(C66="",D66=""),"",D66-C66)</f>
        <v/>
      </c>
      <c r="L66" s="13" t="str">
        <f aca="false">IF(A66="","",IF(OR(I66="Devolvida",N(H66)&gt;0),"Sim","Não"))</f>
        <v/>
      </c>
    </row>
    <row r="67" customFormat="false" ht="15" hidden="false" customHeight="false" outlineLevel="0" collapsed="false">
      <c r="A67" s="18"/>
      <c r="B67" s="18"/>
      <c r="C67" s="25"/>
      <c r="D67" s="25"/>
      <c r="E67" s="25"/>
      <c r="F67" s="18"/>
      <c r="G67" s="18"/>
      <c r="H67" s="18"/>
      <c r="I67" s="18"/>
      <c r="J67" s="13" t="str">
        <f aca="false">IF(OR(D67="",E67=""),"",E67-D67)</f>
        <v/>
      </c>
      <c r="K67" s="13" t="str">
        <f aca="false">IF(OR(C67="",D67=""),"",D67-C67)</f>
        <v/>
      </c>
      <c r="L67" s="13" t="str">
        <f aca="false">IF(A67="","",IF(OR(I67="Devolvida",N(H67)&gt;0),"Sim","Não"))</f>
        <v/>
      </c>
    </row>
    <row r="68" customFormat="false" ht="15" hidden="false" customHeight="false" outlineLevel="0" collapsed="false">
      <c r="A68" s="18"/>
      <c r="B68" s="18"/>
      <c r="C68" s="25"/>
      <c r="D68" s="25"/>
      <c r="E68" s="25"/>
      <c r="F68" s="18"/>
      <c r="G68" s="18"/>
      <c r="H68" s="18"/>
      <c r="I68" s="18"/>
      <c r="J68" s="13" t="str">
        <f aca="false">IF(OR(D68="",E68=""),"",E68-D68)</f>
        <v/>
      </c>
      <c r="K68" s="13" t="str">
        <f aca="false">IF(OR(C68="",D68=""),"",D68-C68)</f>
        <v/>
      </c>
      <c r="L68" s="13" t="str">
        <f aca="false">IF(A68="","",IF(OR(I68="Devolvida",N(H68)&gt;0),"Sim","Não"))</f>
        <v/>
      </c>
    </row>
    <row r="69" customFormat="false" ht="15" hidden="false" customHeight="false" outlineLevel="0" collapsed="false">
      <c r="A69" s="18"/>
      <c r="B69" s="18"/>
      <c r="C69" s="25"/>
      <c r="D69" s="25"/>
      <c r="E69" s="25"/>
      <c r="F69" s="18"/>
      <c r="G69" s="18"/>
      <c r="H69" s="18"/>
      <c r="I69" s="18"/>
      <c r="J69" s="13" t="str">
        <f aca="false">IF(OR(D69="",E69=""),"",E69-D69)</f>
        <v/>
      </c>
      <c r="K69" s="13" t="str">
        <f aca="false">IF(OR(C69="",D69=""),"",D69-C69)</f>
        <v/>
      </c>
      <c r="L69" s="13" t="str">
        <f aca="false">IF(A69="","",IF(OR(I69="Devolvida",N(H69)&gt;0),"Sim","Não"))</f>
        <v/>
      </c>
    </row>
    <row r="70" customFormat="false" ht="15" hidden="false" customHeight="false" outlineLevel="0" collapsed="false">
      <c r="A70" s="18"/>
      <c r="B70" s="18"/>
      <c r="C70" s="25"/>
      <c r="D70" s="25"/>
      <c r="E70" s="25"/>
      <c r="F70" s="18"/>
      <c r="G70" s="18"/>
      <c r="H70" s="18"/>
      <c r="I70" s="18"/>
      <c r="J70" s="13" t="str">
        <f aca="false">IF(OR(D70="",E70=""),"",E70-D70)</f>
        <v/>
      </c>
      <c r="K70" s="13" t="str">
        <f aca="false">IF(OR(C70="",D70=""),"",D70-C70)</f>
        <v/>
      </c>
      <c r="L70" s="13" t="str">
        <f aca="false">IF(A70="","",IF(OR(I70="Devolvida",N(H70)&gt;0),"Sim","Não"))</f>
        <v/>
      </c>
    </row>
    <row r="71" customFormat="false" ht="15" hidden="false" customHeight="false" outlineLevel="0" collapsed="false">
      <c r="A71" s="18"/>
      <c r="B71" s="18"/>
      <c r="C71" s="25"/>
      <c r="D71" s="25"/>
      <c r="E71" s="25"/>
      <c r="F71" s="18"/>
      <c r="G71" s="18"/>
      <c r="H71" s="18"/>
      <c r="I71" s="18"/>
      <c r="J71" s="13" t="str">
        <f aca="false">IF(OR(D71="",E71=""),"",E71-D71)</f>
        <v/>
      </c>
      <c r="K71" s="13" t="str">
        <f aca="false">IF(OR(C71="",D71=""),"",D71-C71)</f>
        <v/>
      </c>
      <c r="L71" s="13" t="str">
        <f aca="false">IF(A71="","",IF(OR(I71="Devolvida",N(H71)&gt;0),"Sim","Não"))</f>
        <v/>
      </c>
    </row>
    <row r="72" customFormat="false" ht="15" hidden="false" customHeight="false" outlineLevel="0" collapsed="false">
      <c r="A72" s="18"/>
      <c r="B72" s="18"/>
      <c r="C72" s="25"/>
      <c r="D72" s="25"/>
      <c r="E72" s="25"/>
      <c r="F72" s="18"/>
      <c r="G72" s="18"/>
      <c r="H72" s="18"/>
      <c r="I72" s="18"/>
      <c r="J72" s="13" t="str">
        <f aca="false">IF(OR(D72="",E72=""),"",E72-D72)</f>
        <v/>
      </c>
      <c r="K72" s="13" t="str">
        <f aca="false">IF(OR(C72="",D72=""),"",D72-C72)</f>
        <v/>
      </c>
      <c r="L72" s="13" t="str">
        <f aca="false">IF(A72="","",IF(OR(I72="Devolvida",N(H72)&gt;0),"Sim","Não"))</f>
        <v/>
      </c>
    </row>
    <row r="73" customFormat="false" ht="15" hidden="false" customHeight="false" outlineLevel="0" collapsed="false">
      <c r="A73" s="18"/>
      <c r="B73" s="18"/>
      <c r="C73" s="25"/>
      <c r="D73" s="25"/>
      <c r="E73" s="25"/>
      <c r="F73" s="18"/>
      <c r="G73" s="18"/>
      <c r="H73" s="18"/>
      <c r="I73" s="18"/>
      <c r="J73" s="13" t="str">
        <f aca="false">IF(OR(D73="",E73=""),"",E73-D73)</f>
        <v/>
      </c>
      <c r="K73" s="13" t="str">
        <f aca="false">IF(OR(C73="",D73=""),"",D73-C73)</f>
        <v/>
      </c>
      <c r="L73" s="13" t="str">
        <f aca="false">IF(A73="","",IF(OR(I73="Devolvida",N(H73)&gt;0),"Sim","Não"))</f>
        <v/>
      </c>
    </row>
    <row r="74" customFormat="false" ht="15" hidden="false" customHeight="false" outlineLevel="0" collapsed="false">
      <c r="A74" s="18"/>
      <c r="B74" s="18"/>
      <c r="C74" s="25"/>
      <c r="D74" s="25"/>
      <c r="E74" s="25"/>
      <c r="F74" s="18"/>
      <c r="G74" s="18"/>
      <c r="H74" s="18"/>
      <c r="I74" s="18"/>
      <c r="J74" s="13" t="str">
        <f aca="false">IF(OR(D74="",E74=""),"",E74-D74)</f>
        <v/>
      </c>
      <c r="K74" s="13" t="str">
        <f aca="false">IF(OR(C74="",D74=""),"",D74-C74)</f>
        <v/>
      </c>
      <c r="L74" s="13" t="str">
        <f aca="false">IF(A74="","",IF(OR(I74="Devolvida",N(H74)&gt;0),"Sim","Não"))</f>
        <v/>
      </c>
    </row>
    <row r="75" customFormat="false" ht="15" hidden="false" customHeight="false" outlineLevel="0" collapsed="false">
      <c r="A75" s="18"/>
      <c r="B75" s="18"/>
      <c r="C75" s="25"/>
      <c r="D75" s="25"/>
      <c r="E75" s="25"/>
      <c r="F75" s="18"/>
      <c r="G75" s="18"/>
      <c r="H75" s="18"/>
      <c r="I75" s="18"/>
      <c r="J75" s="13" t="str">
        <f aca="false">IF(OR(D75="",E75=""),"",E75-D75)</f>
        <v/>
      </c>
      <c r="K75" s="13" t="str">
        <f aca="false">IF(OR(C75="",D75=""),"",D75-C75)</f>
        <v/>
      </c>
      <c r="L75" s="13" t="str">
        <f aca="false">IF(A75="","",IF(OR(I75="Devolvida",N(H75)&gt;0),"Sim","Não"))</f>
        <v/>
      </c>
    </row>
    <row r="76" customFormat="false" ht="15" hidden="false" customHeight="false" outlineLevel="0" collapsed="false">
      <c r="A76" s="18"/>
      <c r="B76" s="18"/>
      <c r="C76" s="25"/>
      <c r="D76" s="25"/>
      <c r="E76" s="25"/>
      <c r="F76" s="18"/>
      <c r="G76" s="18"/>
      <c r="H76" s="18"/>
      <c r="I76" s="18"/>
      <c r="J76" s="13" t="str">
        <f aca="false">IF(OR(D76="",E76=""),"",E76-D76)</f>
        <v/>
      </c>
      <c r="K76" s="13" t="str">
        <f aca="false">IF(OR(C76="",D76=""),"",D76-C76)</f>
        <v/>
      </c>
      <c r="L76" s="13" t="str">
        <f aca="false">IF(A76="","",IF(OR(I76="Devolvida",N(H76)&gt;0),"Sim","Não"))</f>
        <v/>
      </c>
    </row>
    <row r="77" customFormat="false" ht="15" hidden="false" customHeight="false" outlineLevel="0" collapsed="false">
      <c r="A77" s="18"/>
      <c r="B77" s="18"/>
      <c r="C77" s="25"/>
      <c r="D77" s="25"/>
      <c r="E77" s="25"/>
      <c r="F77" s="18"/>
      <c r="G77" s="18"/>
      <c r="H77" s="18"/>
      <c r="I77" s="18"/>
      <c r="J77" s="13" t="str">
        <f aca="false">IF(OR(D77="",E77=""),"",E77-D77)</f>
        <v/>
      </c>
      <c r="K77" s="13" t="str">
        <f aca="false">IF(OR(C77="",D77=""),"",D77-C77)</f>
        <v/>
      </c>
      <c r="L77" s="13" t="str">
        <f aca="false">IF(A77="","",IF(OR(I77="Devolvida",N(H77)&gt;0),"Sim","Não"))</f>
        <v/>
      </c>
    </row>
    <row r="78" customFormat="false" ht="15" hidden="false" customHeight="false" outlineLevel="0" collapsed="false">
      <c r="A78" s="18"/>
      <c r="B78" s="18"/>
      <c r="C78" s="25"/>
      <c r="D78" s="25"/>
      <c r="E78" s="25"/>
      <c r="F78" s="18"/>
      <c r="G78" s="18"/>
      <c r="H78" s="18"/>
      <c r="I78" s="18"/>
      <c r="J78" s="13" t="str">
        <f aca="false">IF(OR(D78="",E78=""),"",E78-D78)</f>
        <v/>
      </c>
      <c r="K78" s="13" t="str">
        <f aca="false">IF(OR(C78="",D78=""),"",D78-C78)</f>
        <v/>
      </c>
      <c r="L78" s="13" t="str">
        <f aca="false">IF(A78="","",IF(OR(I78="Devolvida",N(H78)&gt;0),"Sim","Não"))</f>
        <v/>
      </c>
    </row>
    <row r="79" customFormat="false" ht="15" hidden="false" customHeight="false" outlineLevel="0" collapsed="false">
      <c r="A79" s="18"/>
      <c r="B79" s="18"/>
      <c r="C79" s="25"/>
      <c r="D79" s="25"/>
      <c r="E79" s="25"/>
      <c r="F79" s="18"/>
      <c r="G79" s="18"/>
      <c r="H79" s="18"/>
      <c r="I79" s="18"/>
      <c r="J79" s="13" t="str">
        <f aca="false">IF(OR(D79="",E79=""),"",E79-D79)</f>
        <v/>
      </c>
      <c r="K79" s="13" t="str">
        <f aca="false">IF(OR(C79="",D79=""),"",D79-C79)</f>
        <v/>
      </c>
      <c r="L79" s="13" t="str">
        <f aca="false">IF(A79="","",IF(OR(I79="Devolvida",N(H79)&gt;0),"Sim","Não"))</f>
        <v/>
      </c>
    </row>
    <row r="80" customFormat="false" ht="15" hidden="false" customHeight="false" outlineLevel="0" collapsed="false">
      <c r="A80" s="18"/>
      <c r="B80" s="18"/>
      <c r="C80" s="25"/>
      <c r="D80" s="25"/>
      <c r="E80" s="25"/>
      <c r="F80" s="18"/>
      <c r="G80" s="18"/>
      <c r="H80" s="18"/>
      <c r="I80" s="18"/>
      <c r="J80" s="13" t="str">
        <f aca="false">IF(OR(D80="",E80=""),"",E80-D80)</f>
        <v/>
      </c>
      <c r="K80" s="13" t="str">
        <f aca="false">IF(OR(C80="",D80=""),"",D80-C80)</f>
        <v/>
      </c>
      <c r="L80" s="13" t="str">
        <f aca="false">IF(A80="","",IF(OR(I80="Devolvida",N(H80)&gt;0),"Sim","Não"))</f>
        <v/>
      </c>
    </row>
    <row r="81" customFormat="false" ht="15" hidden="false" customHeight="false" outlineLevel="0" collapsed="false">
      <c r="A81" s="18"/>
      <c r="B81" s="18"/>
      <c r="C81" s="25"/>
      <c r="D81" s="25"/>
      <c r="E81" s="25"/>
      <c r="F81" s="18"/>
      <c r="G81" s="18"/>
      <c r="H81" s="18"/>
      <c r="I81" s="18"/>
      <c r="J81" s="13" t="str">
        <f aca="false">IF(OR(D81="",E81=""),"",E81-D81)</f>
        <v/>
      </c>
      <c r="K81" s="13" t="str">
        <f aca="false">IF(OR(C81="",D81=""),"",D81-C81)</f>
        <v/>
      </c>
      <c r="L81" s="13" t="str">
        <f aca="false">IF(A81="","",IF(OR(I81="Devolvida",N(H81)&gt;0),"Sim","Não"))</f>
        <v/>
      </c>
    </row>
    <row r="82" customFormat="false" ht="15" hidden="false" customHeight="false" outlineLevel="0" collapsed="false">
      <c r="A82" s="18"/>
      <c r="B82" s="18"/>
      <c r="C82" s="25"/>
      <c r="D82" s="25"/>
      <c r="E82" s="25"/>
      <c r="F82" s="18"/>
      <c r="G82" s="18"/>
      <c r="H82" s="18"/>
      <c r="I82" s="18"/>
      <c r="J82" s="13" t="str">
        <f aca="false">IF(OR(D82="",E82=""),"",E82-D82)</f>
        <v/>
      </c>
      <c r="K82" s="13" t="str">
        <f aca="false">IF(OR(C82="",D82=""),"",D82-C82)</f>
        <v/>
      </c>
      <c r="L82" s="13" t="str">
        <f aca="false">IF(A82="","",IF(OR(I82="Devolvida",N(H82)&gt;0),"Sim","Não"))</f>
        <v/>
      </c>
    </row>
    <row r="83" customFormat="false" ht="15" hidden="false" customHeight="false" outlineLevel="0" collapsed="false">
      <c r="A83" s="18"/>
      <c r="B83" s="18"/>
      <c r="C83" s="25"/>
      <c r="D83" s="25"/>
      <c r="E83" s="25"/>
      <c r="F83" s="18"/>
      <c r="G83" s="18"/>
      <c r="H83" s="18"/>
      <c r="I83" s="18"/>
      <c r="J83" s="13" t="str">
        <f aca="false">IF(OR(D83="",E83=""),"",E83-D83)</f>
        <v/>
      </c>
      <c r="K83" s="13" t="str">
        <f aca="false">IF(OR(C83="",D83=""),"",D83-C83)</f>
        <v/>
      </c>
      <c r="L83" s="13" t="str">
        <f aca="false">IF(A83="","",IF(OR(I83="Devolvida",N(H83)&gt;0),"Sim","Não"))</f>
        <v/>
      </c>
    </row>
    <row r="84" customFormat="false" ht="15" hidden="false" customHeight="false" outlineLevel="0" collapsed="false">
      <c r="A84" s="18"/>
      <c r="B84" s="18"/>
      <c r="C84" s="25"/>
      <c r="D84" s="25"/>
      <c r="E84" s="25"/>
      <c r="F84" s="18"/>
      <c r="G84" s="18"/>
      <c r="H84" s="18"/>
      <c r="I84" s="18"/>
      <c r="J84" s="13" t="str">
        <f aca="false">IF(OR(D84="",E84=""),"",E84-D84)</f>
        <v/>
      </c>
      <c r="K84" s="13" t="str">
        <f aca="false">IF(OR(C84="",D84=""),"",D84-C84)</f>
        <v/>
      </c>
      <c r="L84" s="13" t="str">
        <f aca="false">IF(A84="","",IF(OR(I84="Devolvida",N(H84)&gt;0),"Sim","Não"))</f>
        <v/>
      </c>
    </row>
    <row r="85" customFormat="false" ht="15" hidden="false" customHeight="false" outlineLevel="0" collapsed="false">
      <c r="A85" s="18"/>
      <c r="B85" s="18"/>
      <c r="C85" s="25"/>
      <c r="D85" s="25"/>
      <c r="E85" s="25"/>
      <c r="F85" s="18"/>
      <c r="G85" s="18"/>
      <c r="H85" s="18"/>
      <c r="I85" s="18"/>
      <c r="J85" s="13" t="str">
        <f aca="false">IF(OR(D85="",E85=""),"",E85-D85)</f>
        <v/>
      </c>
      <c r="K85" s="13" t="str">
        <f aca="false">IF(OR(C85="",D85=""),"",D85-C85)</f>
        <v/>
      </c>
      <c r="L85" s="13" t="str">
        <f aca="false">IF(A85="","",IF(OR(I85="Devolvida",N(H85)&gt;0),"Sim","Não"))</f>
        <v/>
      </c>
    </row>
    <row r="86" customFormat="false" ht="15" hidden="false" customHeight="false" outlineLevel="0" collapsed="false">
      <c r="A86" s="18"/>
      <c r="B86" s="18"/>
      <c r="C86" s="25"/>
      <c r="D86" s="25"/>
      <c r="E86" s="25"/>
      <c r="F86" s="18"/>
      <c r="G86" s="18"/>
      <c r="H86" s="18"/>
      <c r="I86" s="18"/>
      <c r="J86" s="13" t="str">
        <f aca="false">IF(OR(D86="",E86=""),"",E86-D86)</f>
        <v/>
      </c>
      <c r="K86" s="13" t="str">
        <f aca="false">IF(OR(C86="",D86=""),"",D86-C86)</f>
        <v/>
      </c>
      <c r="L86" s="13" t="str">
        <f aca="false">IF(A86="","",IF(OR(I86="Devolvida",N(H86)&gt;0),"Sim","Não"))</f>
        <v/>
      </c>
    </row>
    <row r="87" customFormat="false" ht="15" hidden="false" customHeight="false" outlineLevel="0" collapsed="false">
      <c r="A87" s="18"/>
      <c r="B87" s="18"/>
      <c r="C87" s="25"/>
      <c r="D87" s="25"/>
      <c r="E87" s="25"/>
      <c r="F87" s="18"/>
      <c r="G87" s="18"/>
      <c r="H87" s="18"/>
      <c r="I87" s="18"/>
      <c r="J87" s="13" t="str">
        <f aca="false">IF(OR(D87="",E87=""),"",E87-D87)</f>
        <v/>
      </c>
      <c r="K87" s="13" t="str">
        <f aca="false">IF(OR(C87="",D87=""),"",D87-C87)</f>
        <v/>
      </c>
      <c r="L87" s="13" t="str">
        <f aca="false">IF(A87="","",IF(OR(I87="Devolvida",N(H87)&gt;0),"Sim","Não"))</f>
        <v/>
      </c>
    </row>
    <row r="88" customFormat="false" ht="15" hidden="false" customHeight="false" outlineLevel="0" collapsed="false">
      <c r="A88" s="18"/>
      <c r="B88" s="18"/>
      <c r="C88" s="25"/>
      <c r="D88" s="25"/>
      <c r="E88" s="25"/>
      <c r="F88" s="18"/>
      <c r="G88" s="18"/>
      <c r="H88" s="18"/>
      <c r="I88" s="18"/>
      <c r="J88" s="13" t="str">
        <f aca="false">IF(OR(D88="",E88=""),"",E88-D88)</f>
        <v/>
      </c>
      <c r="K88" s="13" t="str">
        <f aca="false">IF(OR(C88="",D88=""),"",D88-C88)</f>
        <v/>
      </c>
      <c r="L88" s="13" t="str">
        <f aca="false">IF(A88="","",IF(OR(I88="Devolvida",N(H88)&gt;0),"Sim","Não"))</f>
        <v/>
      </c>
    </row>
    <row r="89" customFormat="false" ht="15" hidden="false" customHeight="false" outlineLevel="0" collapsed="false">
      <c r="A89" s="18"/>
      <c r="B89" s="18"/>
      <c r="C89" s="25"/>
      <c r="D89" s="25"/>
      <c r="E89" s="25"/>
      <c r="F89" s="18"/>
      <c r="G89" s="18"/>
      <c r="H89" s="18"/>
      <c r="I89" s="18"/>
      <c r="J89" s="13" t="str">
        <f aca="false">IF(OR(D89="",E89=""),"",E89-D89)</f>
        <v/>
      </c>
      <c r="K89" s="13" t="str">
        <f aca="false">IF(OR(C89="",D89=""),"",D89-C89)</f>
        <v/>
      </c>
      <c r="L89" s="13" t="str">
        <f aca="false">IF(A89="","",IF(OR(I89="Devolvida",N(H89)&gt;0),"Sim","Não"))</f>
        <v/>
      </c>
    </row>
    <row r="90" customFormat="false" ht="15" hidden="false" customHeight="false" outlineLevel="0" collapsed="false">
      <c r="A90" s="18"/>
      <c r="B90" s="18"/>
      <c r="C90" s="25"/>
      <c r="D90" s="25"/>
      <c r="E90" s="25"/>
      <c r="F90" s="18"/>
      <c r="G90" s="18"/>
      <c r="H90" s="18"/>
      <c r="I90" s="18"/>
      <c r="J90" s="13" t="str">
        <f aca="false">IF(OR(D90="",E90=""),"",E90-D90)</f>
        <v/>
      </c>
      <c r="K90" s="13" t="str">
        <f aca="false">IF(OR(C90="",D90=""),"",D90-C90)</f>
        <v/>
      </c>
      <c r="L90" s="13" t="str">
        <f aca="false">IF(A90="","",IF(OR(I90="Devolvida",N(H90)&gt;0),"Sim","Não"))</f>
        <v/>
      </c>
    </row>
    <row r="91" customFormat="false" ht="15" hidden="false" customHeight="false" outlineLevel="0" collapsed="false">
      <c r="A91" s="18"/>
      <c r="B91" s="18"/>
      <c r="C91" s="25"/>
      <c r="D91" s="25"/>
      <c r="E91" s="25"/>
      <c r="F91" s="18"/>
      <c r="G91" s="18"/>
      <c r="H91" s="18"/>
      <c r="I91" s="18"/>
      <c r="J91" s="13" t="str">
        <f aca="false">IF(OR(D91="",E91=""),"",E91-D91)</f>
        <v/>
      </c>
      <c r="K91" s="13" t="str">
        <f aca="false">IF(OR(C91="",D91=""),"",D91-C91)</f>
        <v/>
      </c>
      <c r="L91" s="13" t="str">
        <f aca="false">IF(A91="","",IF(OR(I91="Devolvida",N(H91)&gt;0),"Sim","Não"))</f>
        <v/>
      </c>
    </row>
    <row r="92" customFormat="false" ht="15" hidden="false" customHeight="false" outlineLevel="0" collapsed="false">
      <c r="A92" s="18"/>
      <c r="B92" s="18"/>
      <c r="C92" s="25"/>
      <c r="D92" s="25"/>
      <c r="E92" s="25"/>
      <c r="F92" s="18"/>
      <c r="G92" s="18"/>
      <c r="H92" s="18"/>
      <c r="I92" s="18"/>
      <c r="J92" s="13" t="str">
        <f aca="false">IF(OR(D92="",E92=""),"",E92-D92)</f>
        <v/>
      </c>
      <c r="K92" s="13" t="str">
        <f aca="false">IF(OR(C92="",D92=""),"",D92-C92)</f>
        <v/>
      </c>
      <c r="L92" s="13" t="str">
        <f aca="false">IF(A92="","",IF(OR(I92="Devolvida",N(H92)&gt;0),"Sim","Não"))</f>
        <v/>
      </c>
    </row>
    <row r="93" customFormat="false" ht="15" hidden="false" customHeight="false" outlineLevel="0" collapsed="false">
      <c r="A93" s="18"/>
      <c r="B93" s="18"/>
      <c r="C93" s="25"/>
      <c r="D93" s="25"/>
      <c r="E93" s="25"/>
      <c r="F93" s="18"/>
      <c r="G93" s="18"/>
      <c r="H93" s="18"/>
      <c r="I93" s="18"/>
      <c r="J93" s="13" t="str">
        <f aca="false">IF(OR(D93="",E93=""),"",E93-D93)</f>
        <v/>
      </c>
      <c r="K93" s="13" t="str">
        <f aca="false">IF(OR(C93="",D93=""),"",D93-C93)</f>
        <v/>
      </c>
      <c r="L93" s="13" t="str">
        <f aca="false">IF(A93="","",IF(OR(I93="Devolvida",N(H93)&gt;0),"Sim","Não"))</f>
        <v/>
      </c>
    </row>
    <row r="94" customFormat="false" ht="15" hidden="false" customHeight="false" outlineLevel="0" collapsed="false">
      <c r="A94" s="18"/>
      <c r="B94" s="18"/>
      <c r="C94" s="25"/>
      <c r="D94" s="25"/>
      <c r="E94" s="25"/>
      <c r="F94" s="18"/>
      <c r="G94" s="18"/>
      <c r="H94" s="18"/>
      <c r="I94" s="18"/>
      <c r="J94" s="13" t="str">
        <f aca="false">IF(OR(D94="",E94=""),"",E94-D94)</f>
        <v/>
      </c>
      <c r="K94" s="13" t="str">
        <f aca="false">IF(OR(C94="",D94=""),"",D94-C94)</f>
        <v/>
      </c>
      <c r="L94" s="13" t="str">
        <f aca="false">IF(A94="","",IF(OR(I94="Devolvida",N(H94)&gt;0),"Sim","Não"))</f>
        <v/>
      </c>
    </row>
    <row r="95" customFormat="false" ht="15" hidden="false" customHeight="false" outlineLevel="0" collapsed="false">
      <c r="A95" s="18"/>
      <c r="B95" s="18"/>
      <c r="C95" s="25"/>
      <c r="D95" s="25"/>
      <c r="E95" s="25"/>
      <c r="F95" s="18"/>
      <c r="G95" s="18"/>
      <c r="H95" s="18"/>
      <c r="I95" s="18"/>
      <c r="J95" s="13" t="str">
        <f aca="false">IF(OR(D95="",E95=""),"",E95-D95)</f>
        <v/>
      </c>
      <c r="K95" s="13" t="str">
        <f aca="false">IF(OR(C95="",D95=""),"",D95-C95)</f>
        <v/>
      </c>
      <c r="L95" s="13" t="str">
        <f aca="false">IF(A95="","",IF(OR(I95="Devolvida",N(H95)&gt;0),"Sim","Não"))</f>
        <v/>
      </c>
    </row>
    <row r="96" customFormat="false" ht="15" hidden="false" customHeight="false" outlineLevel="0" collapsed="false">
      <c r="A96" s="18"/>
      <c r="B96" s="18"/>
      <c r="C96" s="25"/>
      <c r="D96" s="25"/>
      <c r="E96" s="25"/>
      <c r="F96" s="18"/>
      <c r="G96" s="18"/>
      <c r="H96" s="18"/>
      <c r="I96" s="18"/>
      <c r="J96" s="13" t="str">
        <f aca="false">IF(OR(D96="",E96=""),"",E96-D96)</f>
        <v/>
      </c>
      <c r="K96" s="13" t="str">
        <f aca="false">IF(OR(C96="",D96=""),"",D96-C96)</f>
        <v/>
      </c>
      <c r="L96" s="13" t="str">
        <f aca="false">IF(A96="","",IF(OR(I96="Devolvida",N(H96)&gt;0),"Sim","Não"))</f>
        <v/>
      </c>
    </row>
    <row r="97" customFormat="false" ht="15" hidden="false" customHeight="false" outlineLevel="0" collapsed="false">
      <c r="A97" s="18"/>
      <c r="B97" s="18"/>
      <c r="C97" s="25"/>
      <c r="D97" s="25"/>
      <c r="E97" s="25"/>
      <c r="F97" s="18"/>
      <c r="G97" s="18"/>
      <c r="H97" s="18"/>
      <c r="I97" s="18"/>
      <c r="J97" s="13" t="str">
        <f aca="false">IF(OR(D97="",E97=""),"",E97-D97)</f>
        <v/>
      </c>
      <c r="K97" s="13" t="str">
        <f aca="false">IF(OR(C97="",D97=""),"",D97-C97)</f>
        <v/>
      </c>
      <c r="L97" s="13" t="str">
        <f aca="false">IF(A97="","",IF(OR(I97="Devolvida",N(H97)&gt;0),"Sim","Não"))</f>
        <v/>
      </c>
    </row>
    <row r="98" customFormat="false" ht="15" hidden="false" customHeight="false" outlineLevel="0" collapsed="false">
      <c r="A98" s="18"/>
      <c r="B98" s="18"/>
      <c r="C98" s="25"/>
      <c r="D98" s="25"/>
      <c r="E98" s="25"/>
      <c r="F98" s="18"/>
      <c r="G98" s="18"/>
      <c r="H98" s="18"/>
      <c r="I98" s="18"/>
      <c r="J98" s="13" t="str">
        <f aca="false">IF(OR(D98="",E98=""),"",E98-D98)</f>
        <v/>
      </c>
      <c r="K98" s="13" t="str">
        <f aca="false">IF(OR(C98="",D98=""),"",D98-C98)</f>
        <v/>
      </c>
      <c r="L98" s="13" t="str">
        <f aca="false">IF(A98="","",IF(OR(I98="Devolvida",N(H98)&gt;0),"Sim","Não"))</f>
        <v/>
      </c>
    </row>
    <row r="99" customFormat="false" ht="15" hidden="false" customHeight="false" outlineLevel="0" collapsed="false">
      <c r="A99" s="18"/>
      <c r="B99" s="18"/>
      <c r="C99" s="25"/>
      <c r="D99" s="25"/>
      <c r="E99" s="25"/>
      <c r="F99" s="18"/>
      <c r="G99" s="18"/>
      <c r="H99" s="18"/>
      <c r="I99" s="18"/>
      <c r="J99" s="13" t="str">
        <f aca="false">IF(OR(D99="",E99=""),"",E99-D99)</f>
        <v/>
      </c>
      <c r="K99" s="13" t="str">
        <f aca="false">IF(OR(C99="",D99=""),"",D99-C99)</f>
        <v/>
      </c>
      <c r="L99" s="13" t="str">
        <f aca="false">IF(A99="","",IF(OR(I99="Devolvida",N(H99)&gt;0),"Sim","Não"))</f>
        <v/>
      </c>
    </row>
    <row r="100" customFormat="false" ht="15" hidden="false" customHeight="false" outlineLevel="0" collapsed="false">
      <c r="A100" s="18"/>
      <c r="B100" s="18"/>
      <c r="C100" s="25"/>
      <c r="D100" s="25"/>
      <c r="E100" s="25"/>
      <c r="F100" s="18"/>
      <c r="G100" s="18"/>
      <c r="H100" s="18"/>
      <c r="I100" s="18"/>
      <c r="J100" s="13" t="str">
        <f aca="false">IF(OR(D100="",E100=""),"",E100-D100)</f>
        <v/>
      </c>
      <c r="K100" s="13" t="str">
        <f aca="false">IF(OR(C100="",D100=""),"",D100-C100)</f>
        <v/>
      </c>
      <c r="L100" s="13" t="str">
        <f aca="false">IF(A100="","",IF(OR(I100="Devolvida",N(H100)&gt;0),"Sim","Não"))</f>
        <v/>
      </c>
    </row>
    <row r="101" customFormat="false" ht="15" hidden="false" customHeight="false" outlineLevel="0" collapsed="false">
      <c r="A101" s="18"/>
      <c r="B101" s="18"/>
      <c r="C101" s="25"/>
      <c r="D101" s="25"/>
      <c r="E101" s="25"/>
      <c r="F101" s="18"/>
      <c r="G101" s="18"/>
      <c r="H101" s="18"/>
      <c r="I101" s="18"/>
      <c r="J101" s="13" t="str">
        <f aca="false">IF(OR(D101="",E101=""),"",E101-D101)</f>
        <v/>
      </c>
      <c r="K101" s="13" t="str">
        <f aca="false">IF(OR(C101="",D101=""),"",D101-C101)</f>
        <v/>
      </c>
      <c r="L101" s="13" t="str">
        <f aca="false">IF(A101="","",IF(OR(I101="Devolvida",N(H101)&gt;0),"Sim","Não"))</f>
        <v/>
      </c>
    </row>
    <row r="102" customFormat="false" ht="15" hidden="false" customHeight="false" outlineLevel="0" collapsed="false">
      <c r="A102" s="18"/>
      <c r="B102" s="18"/>
      <c r="C102" s="25"/>
      <c r="D102" s="25"/>
      <c r="E102" s="25"/>
      <c r="F102" s="18"/>
      <c r="G102" s="18"/>
      <c r="H102" s="18"/>
      <c r="I102" s="18"/>
      <c r="J102" s="13" t="str">
        <f aca="false">IF(OR(D102="",E102=""),"",E102-D102)</f>
        <v/>
      </c>
      <c r="K102" s="13" t="str">
        <f aca="false">IF(OR(C102="",D102=""),"",D102-C102)</f>
        <v/>
      </c>
      <c r="L102" s="13" t="str">
        <f aca="false">IF(A102="","",IF(OR(I102="Devolvida",N(H102)&gt;0),"Sim","Não"))</f>
        <v/>
      </c>
    </row>
    <row r="103" customFormat="false" ht="15" hidden="false" customHeight="false" outlineLevel="0" collapsed="false">
      <c r="A103" s="18"/>
      <c r="B103" s="18"/>
      <c r="C103" s="25"/>
      <c r="D103" s="25"/>
      <c r="E103" s="25"/>
      <c r="F103" s="18"/>
      <c r="G103" s="18"/>
      <c r="H103" s="18"/>
      <c r="I103" s="18"/>
      <c r="J103" s="13" t="str">
        <f aca="false">IF(OR(D103="",E103=""),"",E103-D103)</f>
        <v/>
      </c>
      <c r="K103" s="13" t="str">
        <f aca="false">IF(OR(C103="",D103=""),"",D103-C103)</f>
        <v/>
      </c>
      <c r="L103" s="13" t="str">
        <f aca="false">IF(A103="","",IF(OR(I103="Devolvida",N(H103)&gt;0),"Sim","Não"))</f>
        <v/>
      </c>
    </row>
    <row r="104" customFormat="false" ht="15" hidden="false" customHeight="false" outlineLevel="0" collapsed="false">
      <c r="A104" s="18"/>
      <c r="B104" s="18"/>
      <c r="C104" s="25"/>
      <c r="D104" s="25"/>
      <c r="E104" s="25"/>
      <c r="F104" s="18"/>
      <c r="G104" s="18"/>
      <c r="H104" s="18"/>
      <c r="I104" s="18"/>
      <c r="J104" s="13" t="str">
        <f aca="false">IF(OR(D104="",E104=""),"",E104-D104)</f>
        <v/>
      </c>
      <c r="K104" s="13" t="str">
        <f aca="false">IF(OR(C104="",D104=""),"",D104-C104)</f>
        <v/>
      </c>
      <c r="L104" s="13" t="str">
        <f aca="false">IF(A104="","",IF(OR(I104="Devolvida",N(H104)&gt;0),"Sim","Não"))</f>
        <v/>
      </c>
    </row>
    <row r="105" customFormat="false" ht="15" hidden="false" customHeight="false" outlineLevel="0" collapsed="false">
      <c r="A105" s="18"/>
      <c r="B105" s="18"/>
      <c r="C105" s="25"/>
      <c r="D105" s="25"/>
      <c r="E105" s="25"/>
      <c r="F105" s="18"/>
      <c r="G105" s="18"/>
      <c r="H105" s="18"/>
      <c r="I105" s="18"/>
      <c r="J105" s="13" t="str">
        <f aca="false">IF(OR(D105="",E105=""),"",E105-D105)</f>
        <v/>
      </c>
      <c r="K105" s="13" t="str">
        <f aca="false">IF(OR(C105="",D105=""),"",D105-C105)</f>
        <v/>
      </c>
      <c r="L105" s="13" t="str">
        <f aca="false">IF(A105="","",IF(OR(I105="Devolvida",N(H105)&gt;0),"Sim","Não"))</f>
        <v/>
      </c>
    </row>
    <row r="106" customFormat="false" ht="15" hidden="false" customHeight="false" outlineLevel="0" collapsed="false">
      <c r="A106" s="18"/>
      <c r="B106" s="18"/>
      <c r="C106" s="25"/>
      <c r="D106" s="25"/>
      <c r="E106" s="25"/>
      <c r="F106" s="18"/>
      <c r="G106" s="18"/>
      <c r="H106" s="18"/>
      <c r="I106" s="18"/>
      <c r="J106" s="13" t="str">
        <f aca="false">IF(OR(D106="",E106=""),"",E106-D106)</f>
        <v/>
      </c>
      <c r="K106" s="13" t="str">
        <f aca="false">IF(OR(C106="",D106=""),"",D106-C106)</f>
        <v/>
      </c>
      <c r="L106" s="13" t="str">
        <f aca="false">IF(A106="","",IF(OR(I106="Devolvida",N(H106)&gt;0),"Sim","Não"))</f>
        <v/>
      </c>
    </row>
    <row r="107" customFormat="false" ht="15" hidden="false" customHeight="false" outlineLevel="0" collapsed="false">
      <c r="A107" s="18"/>
      <c r="B107" s="18"/>
      <c r="C107" s="25"/>
      <c r="D107" s="25"/>
      <c r="E107" s="25"/>
      <c r="F107" s="18"/>
      <c r="G107" s="18"/>
      <c r="H107" s="18"/>
      <c r="I107" s="18"/>
      <c r="J107" s="13" t="str">
        <f aca="false">IF(OR(D107="",E107=""),"",E107-D107)</f>
        <v/>
      </c>
      <c r="K107" s="13" t="str">
        <f aca="false">IF(OR(C107="",D107=""),"",D107-C107)</f>
        <v/>
      </c>
      <c r="L107" s="13" t="str">
        <f aca="false">IF(A107="","",IF(OR(I107="Devolvida",N(H107)&gt;0),"Sim","Não"))</f>
        <v/>
      </c>
    </row>
    <row r="108" customFormat="false" ht="15" hidden="false" customHeight="false" outlineLevel="0" collapsed="false">
      <c r="A108" s="18"/>
      <c r="B108" s="18"/>
      <c r="C108" s="25"/>
      <c r="D108" s="25"/>
      <c r="E108" s="25"/>
      <c r="F108" s="18"/>
      <c r="G108" s="18"/>
      <c r="H108" s="18"/>
      <c r="I108" s="18"/>
      <c r="J108" s="13" t="str">
        <f aca="false">IF(OR(D108="",E108=""),"",E108-D108)</f>
        <v/>
      </c>
      <c r="K108" s="13" t="str">
        <f aca="false">IF(OR(C108="",D108=""),"",D108-C108)</f>
        <v/>
      </c>
      <c r="L108" s="13" t="str">
        <f aca="false">IF(A108="","",IF(OR(I108="Devolvida",N(H108)&gt;0),"Sim","Não"))</f>
        <v/>
      </c>
    </row>
    <row r="109" customFormat="false" ht="15" hidden="false" customHeight="false" outlineLevel="0" collapsed="false">
      <c r="A109" s="18"/>
      <c r="B109" s="18"/>
      <c r="C109" s="25"/>
      <c r="D109" s="25"/>
      <c r="E109" s="25"/>
      <c r="F109" s="18"/>
      <c r="G109" s="18"/>
      <c r="H109" s="18"/>
      <c r="I109" s="18"/>
      <c r="J109" s="13" t="str">
        <f aca="false">IF(OR(D109="",E109=""),"",E109-D109)</f>
        <v/>
      </c>
      <c r="K109" s="13" t="str">
        <f aca="false">IF(OR(C109="",D109=""),"",D109-C109)</f>
        <v/>
      </c>
      <c r="L109" s="13" t="str">
        <f aca="false">IF(A109="","",IF(OR(I109="Devolvida",N(H109)&gt;0),"Sim","Não"))</f>
        <v/>
      </c>
    </row>
    <row r="110" customFormat="false" ht="15" hidden="false" customHeight="false" outlineLevel="0" collapsed="false">
      <c r="A110" s="18"/>
      <c r="B110" s="18"/>
      <c r="C110" s="25"/>
      <c r="D110" s="25"/>
      <c r="E110" s="25"/>
      <c r="F110" s="18"/>
      <c r="G110" s="18"/>
      <c r="H110" s="18"/>
      <c r="I110" s="18"/>
      <c r="J110" s="13" t="str">
        <f aca="false">IF(OR(D110="",E110=""),"",E110-D110)</f>
        <v/>
      </c>
      <c r="K110" s="13" t="str">
        <f aca="false">IF(OR(C110="",D110=""),"",D110-C110)</f>
        <v/>
      </c>
      <c r="L110" s="13" t="str">
        <f aca="false">IF(A110="","",IF(OR(I110="Devolvida",N(H110)&gt;0),"Sim","Não"))</f>
        <v/>
      </c>
    </row>
    <row r="111" customFormat="false" ht="15" hidden="false" customHeight="false" outlineLevel="0" collapsed="false">
      <c r="A111" s="18"/>
      <c r="B111" s="18"/>
      <c r="C111" s="25"/>
      <c r="D111" s="25"/>
      <c r="E111" s="25"/>
      <c r="F111" s="18"/>
      <c r="G111" s="18"/>
      <c r="H111" s="18"/>
      <c r="I111" s="18"/>
      <c r="J111" s="13" t="str">
        <f aca="false">IF(OR(D111="",E111=""),"",E111-D111)</f>
        <v/>
      </c>
      <c r="K111" s="13" t="str">
        <f aca="false">IF(OR(C111="",D111=""),"",D111-C111)</f>
        <v/>
      </c>
      <c r="L111" s="13" t="str">
        <f aca="false">IF(A111="","",IF(OR(I111="Devolvida",N(H111)&gt;0),"Sim","Não"))</f>
        <v/>
      </c>
    </row>
    <row r="112" customFormat="false" ht="15" hidden="false" customHeight="false" outlineLevel="0" collapsed="false">
      <c r="A112" s="18"/>
      <c r="B112" s="18"/>
      <c r="C112" s="25"/>
      <c r="D112" s="25"/>
      <c r="E112" s="25"/>
      <c r="F112" s="18"/>
      <c r="G112" s="18"/>
      <c r="H112" s="18"/>
      <c r="I112" s="18"/>
      <c r="J112" s="13" t="str">
        <f aca="false">IF(OR(D112="",E112=""),"",E112-D112)</f>
        <v/>
      </c>
      <c r="K112" s="13" t="str">
        <f aca="false">IF(OR(C112="",D112=""),"",D112-C112)</f>
        <v/>
      </c>
      <c r="L112" s="13" t="str">
        <f aca="false">IF(A112="","",IF(OR(I112="Devolvida",N(H112)&gt;0),"Sim","Não"))</f>
        <v/>
      </c>
    </row>
    <row r="113" customFormat="false" ht="15" hidden="false" customHeight="false" outlineLevel="0" collapsed="false">
      <c r="A113" s="18"/>
      <c r="B113" s="18"/>
      <c r="C113" s="25"/>
      <c r="D113" s="25"/>
      <c r="E113" s="25"/>
      <c r="F113" s="18"/>
      <c r="G113" s="18"/>
      <c r="H113" s="18"/>
      <c r="I113" s="18"/>
      <c r="J113" s="13" t="str">
        <f aca="false">IF(OR(D113="",E113=""),"",E113-D113)</f>
        <v/>
      </c>
      <c r="K113" s="13" t="str">
        <f aca="false">IF(OR(C113="",D113=""),"",D113-C113)</f>
        <v/>
      </c>
      <c r="L113" s="13" t="str">
        <f aca="false">IF(A113="","",IF(OR(I113="Devolvida",N(H113)&gt;0),"Sim","Não"))</f>
        <v/>
      </c>
    </row>
    <row r="114" customFormat="false" ht="15" hidden="false" customHeight="false" outlineLevel="0" collapsed="false">
      <c r="A114" s="18"/>
      <c r="B114" s="18"/>
      <c r="C114" s="25"/>
      <c r="D114" s="25"/>
      <c r="E114" s="25"/>
      <c r="F114" s="18"/>
      <c r="G114" s="18"/>
      <c r="H114" s="18"/>
      <c r="I114" s="18"/>
      <c r="J114" s="13" t="str">
        <f aca="false">IF(OR(D114="",E114=""),"",E114-D114)</f>
        <v/>
      </c>
      <c r="K114" s="13" t="str">
        <f aca="false">IF(OR(C114="",D114=""),"",D114-C114)</f>
        <v/>
      </c>
      <c r="L114" s="13" t="str">
        <f aca="false">IF(A114="","",IF(OR(I114="Devolvida",N(H114)&gt;0),"Sim","Não"))</f>
        <v/>
      </c>
    </row>
    <row r="115" customFormat="false" ht="15" hidden="false" customHeight="false" outlineLevel="0" collapsed="false">
      <c r="A115" s="18"/>
      <c r="B115" s="18"/>
      <c r="C115" s="25"/>
      <c r="D115" s="25"/>
      <c r="E115" s="25"/>
      <c r="F115" s="18"/>
      <c r="G115" s="18"/>
      <c r="H115" s="18"/>
      <c r="I115" s="18"/>
      <c r="J115" s="13" t="str">
        <f aca="false">IF(OR(D115="",E115=""),"",E115-D115)</f>
        <v/>
      </c>
      <c r="K115" s="13" t="str">
        <f aca="false">IF(OR(C115="",D115=""),"",D115-C115)</f>
        <v/>
      </c>
      <c r="L115" s="13" t="str">
        <f aca="false">IF(A115="","",IF(OR(I115="Devolvida",N(H115)&gt;0),"Sim","Não"))</f>
        <v/>
      </c>
    </row>
    <row r="116" customFormat="false" ht="15" hidden="false" customHeight="false" outlineLevel="0" collapsed="false">
      <c r="A116" s="18"/>
      <c r="B116" s="18"/>
      <c r="C116" s="25"/>
      <c r="D116" s="25"/>
      <c r="E116" s="25"/>
      <c r="F116" s="18"/>
      <c r="G116" s="18"/>
      <c r="H116" s="18"/>
      <c r="I116" s="18"/>
      <c r="J116" s="13" t="str">
        <f aca="false">IF(OR(D116="",E116=""),"",E116-D116)</f>
        <v/>
      </c>
      <c r="K116" s="13" t="str">
        <f aca="false">IF(OR(C116="",D116=""),"",D116-C116)</f>
        <v/>
      </c>
      <c r="L116" s="13" t="str">
        <f aca="false">IF(A116="","",IF(OR(I116="Devolvida",N(H116)&gt;0),"Sim","Não"))</f>
        <v/>
      </c>
    </row>
    <row r="117" customFormat="false" ht="15" hidden="false" customHeight="false" outlineLevel="0" collapsed="false">
      <c r="A117" s="18"/>
      <c r="B117" s="18"/>
      <c r="C117" s="25"/>
      <c r="D117" s="25"/>
      <c r="E117" s="25"/>
      <c r="F117" s="18"/>
      <c r="G117" s="18"/>
      <c r="H117" s="18"/>
      <c r="I117" s="18"/>
      <c r="J117" s="13" t="str">
        <f aca="false">IF(OR(D117="",E117=""),"",E117-D117)</f>
        <v/>
      </c>
      <c r="K117" s="13" t="str">
        <f aca="false">IF(OR(C117="",D117=""),"",D117-C117)</f>
        <v/>
      </c>
      <c r="L117" s="13" t="str">
        <f aca="false">IF(A117="","",IF(OR(I117="Devolvida",N(H117)&gt;0),"Sim","Não"))</f>
        <v/>
      </c>
    </row>
    <row r="118" customFormat="false" ht="15" hidden="false" customHeight="false" outlineLevel="0" collapsed="false">
      <c r="A118" s="18"/>
      <c r="B118" s="18"/>
      <c r="C118" s="25"/>
      <c r="D118" s="25"/>
      <c r="E118" s="25"/>
      <c r="F118" s="18"/>
      <c r="G118" s="18"/>
      <c r="H118" s="18"/>
      <c r="I118" s="18"/>
      <c r="J118" s="13" t="str">
        <f aca="false">IF(OR(D118="",E118=""),"",E118-D118)</f>
        <v/>
      </c>
      <c r="K118" s="13" t="str">
        <f aca="false">IF(OR(C118="",D118=""),"",D118-C118)</f>
        <v/>
      </c>
      <c r="L118" s="13" t="str">
        <f aca="false">IF(A118="","",IF(OR(I118="Devolvida",N(H118)&gt;0),"Sim","Não"))</f>
        <v/>
      </c>
    </row>
    <row r="119" customFormat="false" ht="15" hidden="false" customHeight="false" outlineLevel="0" collapsed="false">
      <c r="A119" s="18"/>
      <c r="B119" s="18"/>
      <c r="C119" s="25"/>
      <c r="D119" s="25"/>
      <c r="E119" s="25"/>
      <c r="F119" s="18"/>
      <c r="G119" s="18"/>
      <c r="H119" s="18"/>
      <c r="I119" s="18"/>
      <c r="J119" s="13" t="str">
        <f aca="false">IF(OR(D119="",E119=""),"",E119-D119)</f>
        <v/>
      </c>
      <c r="K119" s="13" t="str">
        <f aca="false">IF(OR(C119="",D119=""),"",D119-C119)</f>
        <v/>
      </c>
      <c r="L119" s="13" t="str">
        <f aca="false">IF(A119="","",IF(OR(I119="Devolvida",N(H119)&gt;0),"Sim","Não"))</f>
        <v/>
      </c>
    </row>
    <row r="120" customFormat="false" ht="15" hidden="false" customHeight="false" outlineLevel="0" collapsed="false">
      <c r="A120" s="18"/>
      <c r="B120" s="18"/>
      <c r="C120" s="25"/>
      <c r="D120" s="25"/>
      <c r="E120" s="25"/>
      <c r="F120" s="18"/>
      <c r="G120" s="18"/>
      <c r="H120" s="18"/>
      <c r="I120" s="18"/>
      <c r="J120" s="13" t="str">
        <f aca="false">IF(OR(D120="",E120=""),"",E120-D120)</f>
        <v/>
      </c>
      <c r="K120" s="13" t="str">
        <f aca="false">IF(OR(C120="",D120=""),"",D120-C120)</f>
        <v/>
      </c>
      <c r="L120" s="13" t="str">
        <f aca="false">IF(A120="","",IF(OR(I120="Devolvida",N(H120)&gt;0),"Sim","Não"))</f>
        <v/>
      </c>
    </row>
    <row r="121" customFormat="false" ht="15" hidden="false" customHeight="false" outlineLevel="0" collapsed="false">
      <c r="A121" s="18"/>
      <c r="B121" s="18"/>
      <c r="C121" s="25"/>
      <c r="D121" s="25"/>
      <c r="E121" s="25"/>
      <c r="F121" s="18"/>
      <c r="G121" s="18"/>
      <c r="H121" s="18"/>
      <c r="I121" s="18"/>
      <c r="J121" s="13" t="str">
        <f aca="false">IF(OR(D121="",E121=""),"",E121-D121)</f>
        <v/>
      </c>
      <c r="K121" s="13" t="str">
        <f aca="false">IF(OR(C121="",D121=""),"",D121-C121)</f>
        <v/>
      </c>
      <c r="L121" s="13" t="str">
        <f aca="false">IF(A121="","",IF(OR(I121="Devolvida",N(H121)&gt;0),"Sim","Não"))</f>
        <v/>
      </c>
    </row>
    <row r="122" customFormat="false" ht="15" hidden="false" customHeight="false" outlineLevel="0" collapsed="false">
      <c r="A122" s="18"/>
      <c r="B122" s="18"/>
      <c r="C122" s="25"/>
      <c r="D122" s="25"/>
      <c r="E122" s="25"/>
      <c r="F122" s="18"/>
      <c r="G122" s="18"/>
      <c r="H122" s="18"/>
      <c r="I122" s="18"/>
      <c r="J122" s="13" t="str">
        <f aca="false">IF(OR(D122="",E122=""),"",E122-D122)</f>
        <v/>
      </c>
      <c r="K122" s="13" t="str">
        <f aca="false">IF(OR(C122="",D122=""),"",D122-C122)</f>
        <v/>
      </c>
      <c r="L122" s="13" t="str">
        <f aca="false">IF(A122="","",IF(OR(I122="Devolvida",N(H122)&gt;0),"Sim","Não"))</f>
        <v/>
      </c>
    </row>
    <row r="123" customFormat="false" ht="15" hidden="false" customHeight="false" outlineLevel="0" collapsed="false">
      <c r="A123" s="18"/>
      <c r="B123" s="18"/>
      <c r="C123" s="25"/>
      <c r="D123" s="25"/>
      <c r="E123" s="25"/>
      <c r="F123" s="18"/>
      <c r="G123" s="18"/>
      <c r="H123" s="18"/>
      <c r="I123" s="18"/>
      <c r="J123" s="13" t="str">
        <f aca="false">IF(OR(D123="",E123=""),"",E123-D123)</f>
        <v/>
      </c>
      <c r="K123" s="13" t="str">
        <f aca="false">IF(OR(C123="",D123=""),"",D123-C123)</f>
        <v/>
      </c>
      <c r="L123" s="13" t="str">
        <f aca="false">IF(A123="","",IF(OR(I123="Devolvida",N(H123)&gt;0),"Sim","Não"))</f>
        <v/>
      </c>
    </row>
    <row r="124" customFormat="false" ht="15" hidden="false" customHeight="false" outlineLevel="0" collapsed="false">
      <c r="A124" s="18"/>
      <c r="B124" s="18"/>
      <c r="C124" s="25"/>
      <c r="D124" s="25"/>
      <c r="E124" s="25"/>
      <c r="F124" s="18"/>
      <c r="G124" s="18"/>
      <c r="H124" s="18"/>
      <c r="I124" s="18"/>
      <c r="J124" s="13" t="str">
        <f aca="false">IF(OR(D124="",E124=""),"",E124-D124)</f>
        <v/>
      </c>
      <c r="K124" s="13" t="str">
        <f aca="false">IF(OR(C124="",D124=""),"",D124-C124)</f>
        <v/>
      </c>
      <c r="L124" s="13" t="str">
        <f aca="false">IF(A124="","",IF(OR(I124="Devolvida",N(H124)&gt;0),"Sim","Não"))</f>
        <v/>
      </c>
    </row>
    <row r="125" customFormat="false" ht="15" hidden="false" customHeight="false" outlineLevel="0" collapsed="false">
      <c r="A125" s="18"/>
      <c r="B125" s="18"/>
      <c r="C125" s="25"/>
      <c r="D125" s="25"/>
      <c r="E125" s="25"/>
      <c r="F125" s="18"/>
      <c r="G125" s="18"/>
      <c r="H125" s="18"/>
      <c r="I125" s="18"/>
      <c r="J125" s="13" t="str">
        <f aca="false">IF(OR(D125="",E125=""),"",E125-D125)</f>
        <v/>
      </c>
      <c r="K125" s="13" t="str">
        <f aca="false">IF(OR(C125="",D125=""),"",D125-C125)</f>
        <v/>
      </c>
      <c r="L125" s="13" t="str">
        <f aca="false">IF(A125="","",IF(OR(I125="Devolvida",N(H125)&gt;0),"Sim","Não"))</f>
        <v/>
      </c>
    </row>
    <row r="126" customFormat="false" ht="15" hidden="false" customHeight="false" outlineLevel="0" collapsed="false">
      <c r="A126" s="18"/>
      <c r="B126" s="18"/>
      <c r="C126" s="25"/>
      <c r="D126" s="25"/>
      <c r="E126" s="25"/>
      <c r="F126" s="18"/>
      <c r="G126" s="18"/>
      <c r="H126" s="18"/>
      <c r="I126" s="18"/>
      <c r="J126" s="13" t="str">
        <f aca="false">IF(OR(D126="",E126=""),"",E126-D126)</f>
        <v/>
      </c>
      <c r="K126" s="13" t="str">
        <f aca="false">IF(OR(C126="",D126=""),"",D126-C126)</f>
        <v/>
      </c>
      <c r="L126" s="13" t="str">
        <f aca="false">IF(A126="","",IF(OR(I126="Devolvida",N(H126)&gt;0),"Sim","Não"))</f>
        <v/>
      </c>
    </row>
    <row r="127" customFormat="false" ht="15" hidden="false" customHeight="false" outlineLevel="0" collapsed="false">
      <c r="A127" s="18"/>
      <c r="B127" s="18"/>
      <c r="C127" s="25"/>
      <c r="D127" s="25"/>
      <c r="E127" s="25"/>
      <c r="F127" s="18"/>
      <c r="G127" s="18"/>
      <c r="H127" s="18"/>
      <c r="I127" s="18"/>
      <c r="J127" s="13" t="str">
        <f aca="false">IF(OR(D127="",E127=""),"",E127-D127)</f>
        <v/>
      </c>
      <c r="K127" s="13" t="str">
        <f aca="false">IF(OR(C127="",D127=""),"",D127-C127)</f>
        <v/>
      </c>
      <c r="L127" s="13" t="str">
        <f aca="false">IF(A127="","",IF(OR(I127="Devolvida",N(H127)&gt;0),"Sim","Não"))</f>
        <v/>
      </c>
    </row>
    <row r="128" customFormat="false" ht="15" hidden="false" customHeight="false" outlineLevel="0" collapsed="false">
      <c r="A128" s="18"/>
      <c r="B128" s="18"/>
      <c r="C128" s="25"/>
      <c r="D128" s="25"/>
      <c r="E128" s="25"/>
      <c r="F128" s="18"/>
      <c r="G128" s="18"/>
      <c r="H128" s="18"/>
      <c r="I128" s="18"/>
      <c r="J128" s="13" t="str">
        <f aca="false">IF(OR(D128="",E128=""),"",E128-D128)</f>
        <v/>
      </c>
      <c r="K128" s="13" t="str">
        <f aca="false">IF(OR(C128="",D128=""),"",D128-C128)</f>
        <v/>
      </c>
      <c r="L128" s="13" t="str">
        <f aca="false">IF(A128="","",IF(OR(I128="Devolvida",N(H128)&gt;0),"Sim","Não"))</f>
        <v/>
      </c>
    </row>
    <row r="129" customFormat="false" ht="15" hidden="false" customHeight="false" outlineLevel="0" collapsed="false">
      <c r="A129" s="18"/>
      <c r="B129" s="18"/>
      <c r="C129" s="25"/>
      <c r="D129" s="25"/>
      <c r="E129" s="25"/>
      <c r="F129" s="18"/>
      <c r="G129" s="18"/>
      <c r="H129" s="18"/>
      <c r="I129" s="18"/>
      <c r="J129" s="13" t="str">
        <f aca="false">IF(OR(D129="",E129=""),"",E129-D129)</f>
        <v/>
      </c>
      <c r="K129" s="13" t="str">
        <f aca="false">IF(OR(C129="",D129=""),"",D129-C129)</f>
        <v/>
      </c>
      <c r="L129" s="13" t="str">
        <f aca="false">IF(A129="","",IF(OR(I129="Devolvida",N(H129)&gt;0),"Sim","Não"))</f>
        <v/>
      </c>
    </row>
    <row r="130" customFormat="false" ht="15" hidden="false" customHeight="false" outlineLevel="0" collapsed="false">
      <c r="A130" s="18"/>
      <c r="B130" s="18"/>
      <c r="C130" s="25"/>
      <c r="D130" s="25"/>
      <c r="E130" s="25"/>
      <c r="F130" s="18"/>
      <c r="G130" s="18"/>
      <c r="H130" s="18"/>
      <c r="I130" s="18"/>
      <c r="J130" s="13" t="str">
        <f aca="false">IF(OR(D130="",E130=""),"",E130-D130)</f>
        <v/>
      </c>
      <c r="K130" s="13" t="str">
        <f aca="false">IF(OR(C130="",D130=""),"",D130-C130)</f>
        <v/>
      </c>
      <c r="L130" s="13" t="str">
        <f aca="false">IF(A130="","",IF(OR(I130="Devolvida",N(H130)&gt;0),"Sim","Não"))</f>
        <v/>
      </c>
    </row>
    <row r="131" customFormat="false" ht="15" hidden="false" customHeight="false" outlineLevel="0" collapsed="false">
      <c r="A131" s="18"/>
      <c r="B131" s="18"/>
      <c r="C131" s="25"/>
      <c r="D131" s="25"/>
      <c r="E131" s="25"/>
      <c r="F131" s="18"/>
      <c r="G131" s="18"/>
      <c r="H131" s="18"/>
      <c r="I131" s="18"/>
      <c r="J131" s="13" t="str">
        <f aca="false">IF(OR(D131="",E131=""),"",E131-D131)</f>
        <v/>
      </c>
      <c r="K131" s="13" t="str">
        <f aca="false">IF(OR(C131="",D131=""),"",D131-C131)</f>
        <v/>
      </c>
      <c r="L131" s="13" t="str">
        <f aca="false">IF(A131="","",IF(OR(I131="Devolvida",N(H131)&gt;0),"Sim","Não"))</f>
        <v/>
      </c>
    </row>
    <row r="132" customFormat="false" ht="15" hidden="false" customHeight="false" outlineLevel="0" collapsed="false">
      <c r="A132" s="18"/>
      <c r="B132" s="18"/>
      <c r="C132" s="25"/>
      <c r="D132" s="25"/>
      <c r="E132" s="25"/>
      <c r="F132" s="18"/>
      <c r="G132" s="18"/>
      <c r="H132" s="18"/>
      <c r="I132" s="18"/>
      <c r="J132" s="13" t="str">
        <f aca="false">IF(OR(D132="",E132=""),"",E132-D132)</f>
        <v/>
      </c>
      <c r="K132" s="13" t="str">
        <f aca="false">IF(OR(C132="",D132=""),"",D132-C132)</f>
        <v/>
      </c>
      <c r="L132" s="13" t="str">
        <f aca="false">IF(A132="","",IF(OR(I132="Devolvida",N(H132)&gt;0),"Sim","Não"))</f>
        <v/>
      </c>
    </row>
    <row r="133" customFormat="false" ht="15" hidden="false" customHeight="false" outlineLevel="0" collapsed="false">
      <c r="A133" s="18"/>
      <c r="B133" s="18"/>
      <c r="C133" s="25"/>
      <c r="D133" s="25"/>
      <c r="E133" s="25"/>
      <c r="F133" s="18"/>
      <c r="G133" s="18"/>
      <c r="H133" s="18"/>
      <c r="I133" s="18"/>
      <c r="J133" s="13" t="str">
        <f aca="false">IF(OR(D133="",E133=""),"",E133-D133)</f>
        <v/>
      </c>
      <c r="K133" s="13" t="str">
        <f aca="false">IF(OR(C133="",D133=""),"",D133-C133)</f>
        <v/>
      </c>
      <c r="L133" s="13" t="str">
        <f aca="false">IF(A133="","",IF(OR(I133="Devolvida",N(H133)&gt;0),"Sim","Não"))</f>
        <v/>
      </c>
    </row>
    <row r="134" customFormat="false" ht="15" hidden="false" customHeight="false" outlineLevel="0" collapsed="false">
      <c r="A134" s="18"/>
      <c r="B134" s="18"/>
      <c r="C134" s="25"/>
      <c r="D134" s="25"/>
      <c r="E134" s="25"/>
      <c r="F134" s="18"/>
      <c r="G134" s="18"/>
      <c r="H134" s="18"/>
      <c r="I134" s="18"/>
      <c r="J134" s="13" t="str">
        <f aca="false">IF(OR(D134="",E134=""),"",E134-D134)</f>
        <v/>
      </c>
      <c r="K134" s="13" t="str">
        <f aca="false">IF(OR(C134="",D134=""),"",D134-C134)</f>
        <v/>
      </c>
      <c r="L134" s="13" t="str">
        <f aca="false">IF(A134="","",IF(OR(I134="Devolvida",N(H134)&gt;0),"Sim","Não"))</f>
        <v/>
      </c>
    </row>
    <row r="135" customFormat="false" ht="15" hidden="false" customHeight="false" outlineLevel="0" collapsed="false">
      <c r="A135" s="18"/>
      <c r="B135" s="18"/>
      <c r="C135" s="25"/>
      <c r="D135" s="25"/>
      <c r="E135" s="25"/>
      <c r="F135" s="18"/>
      <c r="G135" s="18"/>
      <c r="H135" s="18"/>
      <c r="I135" s="18"/>
      <c r="J135" s="13" t="str">
        <f aca="false">IF(OR(D135="",E135=""),"",E135-D135)</f>
        <v/>
      </c>
      <c r="K135" s="13" t="str">
        <f aca="false">IF(OR(C135="",D135=""),"",D135-C135)</f>
        <v/>
      </c>
      <c r="L135" s="13" t="str">
        <f aca="false">IF(A135="","",IF(OR(I135="Devolvida",N(H135)&gt;0),"Sim","Não"))</f>
        <v/>
      </c>
    </row>
    <row r="136" customFormat="false" ht="15" hidden="false" customHeight="false" outlineLevel="0" collapsed="false">
      <c r="A136" s="18"/>
      <c r="B136" s="18"/>
      <c r="C136" s="25"/>
      <c r="D136" s="25"/>
      <c r="E136" s="25"/>
      <c r="F136" s="18"/>
      <c r="G136" s="18"/>
      <c r="H136" s="18"/>
      <c r="I136" s="18"/>
      <c r="J136" s="13" t="str">
        <f aca="false">IF(OR(D136="",E136=""),"",E136-D136)</f>
        <v/>
      </c>
      <c r="K136" s="13" t="str">
        <f aca="false">IF(OR(C136="",D136=""),"",D136-C136)</f>
        <v/>
      </c>
      <c r="L136" s="13" t="str">
        <f aca="false">IF(A136="","",IF(OR(I136="Devolvida",N(H136)&gt;0),"Sim","Não"))</f>
        <v/>
      </c>
    </row>
    <row r="137" customFormat="false" ht="15" hidden="false" customHeight="false" outlineLevel="0" collapsed="false">
      <c r="A137" s="18"/>
      <c r="B137" s="18"/>
      <c r="C137" s="25"/>
      <c r="D137" s="25"/>
      <c r="E137" s="25"/>
      <c r="F137" s="18"/>
      <c r="G137" s="18"/>
      <c r="H137" s="18"/>
      <c r="I137" s="18"/>
      <c r="J137" s="13" t="str">
        <f aca="false">IF(OR(D137="",E137=""),"",E137-D137)</f>
        <v/>
      </c>
      <c r="K137" s="13" t="str">
        <f aca="false">IF(OR(C137="",D137=""),"",D137-C137)</f>
        <v/>
      </c>
      <c r="L137" s="13" t="str">
        <f aca="false">IF(A137="","",IF(OR(I137="Devolvida",N(H137)&gt;0),"Sim","Não"))</f>
        <v/>
      </c>
    </row>
    <row r="138" customFormat="false" ht="15" hidden="false" customHeight="false" outlineLevel="0" collapsed="false">
      <c r="A138" s="18"/>
      <c r="B138" s="18"/>
      <c r="C138" s="25"/>
      <c r="D138" s="25"/>
      <c r="E138" s="25"/>
      <c r="F138" s="18"/>
      <c r="G138" s="18"/>
      <c r="H138" s="18"/>
      <c r="I138" s="18"/>
      <c r="J138" s="13" t="str">
        <f aca="false">IF(OR(D138="",E138=""),"",E138-D138)</f>
        <v/>
      </c>
      <c r="K138" s="13" t="str">
        <f aca="false">IF(OR(C138="",D138=""),"",D138-C138)</f>
        <v/>
      </c>
      <c r="L138" s="13" t="str">
        <f aca="false">IF(A138="","",IF(OR(I138="Devolvida",N(H138)&gt;0),"Sim","Não"))</f>
        <v/>
      </c>
    </row>
    <row r="139" customFormat="false" ht="15" hidden="false" customHeight="false" outlineLevel="0" collapsed="false">
      <c r="A139" s="18"/>
      <c r="B139" s="18"/>
      <c r="C139" s="25"/>
      <c r="D139" s="25"/>
      <c r="E139" s="25"/>
      <c r="F139" s="18"/>
      <c r="G139" s="18"/>
      <c r="H139" s="18"/>
      <c r="I139" s="18"/>
      <c r="J139" s="13" t="str">
        <f aca="false">IF(OR(D139="",E139=""),"",E139-D139)</f>
        <v/>
      </c>
      <c r="K139" s="13" t="str">
        <f aca="false">IF(OR(C139="",D139=""),"",D139-C139)</f>
        <v/>
      </c>
      <c r="L139" s="13" t="str">
        <f aca="false">IF(A139="","",IF(OR(I139="Devolvida",N(H139)&gt;0),"Sim","Não"))</f>
        <v/>
      </c>
    </row>
    <row r="140" customFormat="false" ht="15" hidden="false" customHeight="false" outlineLevel="0" collapsed="false">
      <c r="A140" s="18"/>
      <c r="B140" s="18"/>
      <c r="C140" s="25"/>
      <c r="D140" s="25"/>
      <c r="E140" s="25"/>
      <c r="F140" s="18"/>
      <c r="G140" s="18"/>
      <c r="H140" s="18"/>
      <c r="I140" s="18"/>
      <c r="J140" s="13" t="str">
        <f aca="false">IF(OR(D140="",E140=""),"",E140-D140)</f>
        <v/>
      </c>
      <c r="K140" s="13" t="str">
        <f aca="false">IF(OR(C140="",D140=""),"",D140-C140)</f>
        <v/>
      </c>
      <c r="L140" s="13" t="str">
        <f aca="false">IF(A140="","",IF(OR(I140="Devolvida",N(H140)&gt;0),"Sim","Não"))</f>
        <v/>
      </c>
    </row>
    <row r="141" customFormat="false" ht="15" hidden="false" customHeight="false" outlineLevel="0" collapsed="false">
      <c r="A141" s="18"/>
      <c r="B141" s="18"/>
      <c r="C141" s="25"/>
      <c r="D141" s="25"/>
      <c r="E141" s="25"/>
      <c r="F141" s="18"/>
      <c r="G141" s="18"/>
      <c r="H141" s="18"/>
      <c r="I141" s="18"/>
      <c r="J141" s="13" t="str">
        <f aca="false">IF(OR(D141="",E141=""),"",E141-D141)</f>
        <v/>
      </c>
      <c r="K141" s="13" t="str">
        <f aca="false">IF(OR(C141="",D141=""),"",D141-C141)</f>
        <v/>
      </c>
      <c r="L141" s="13" t="str">
        <f aca="false">IF(A141="","",IF(OR(I141="Devolvida",N(H141)&gt;0),"Sim","Não"))</f>
        <v/>
      </c>
    </row>
    <row r="142" customFormat="false" ht="15" hidden="false" customHeight="false" outlineLevel="0" collapsed="false">
      <c r="A142" s="18"/>
      <c r="B142" s="18"/>
      <c r="C142" s="25"/>
      <c r="D142" s="25"/>
      <c r="E142" s="25"/>
      <c r="F142" s="18"/>
      <c r="G142" s="18"/>
      <c r="H142" s="18"/>
      <c r="I142" s="18"/>
      <c r="J142" s="13" t="str">
        <f aca="false">IF(OR(D142="",E142=""),"",E142-D142)</f>
        <v/>
      </c>
      <c r="K142" s="13" t="str">
        <f aca="false">IF(OR(C142="",D142=""),"",D142-C142)</f>
        <v/>
      </c>
      <c r="L142" s="13" t="str">
        <f aca="false">IF(A142="","",IF(OR(I142="Devolvida",N(H142)&gt;0),"Sim","Não"))</f>
        <v/>
      </c>
    </row>
    <row r="143" customFormat="false" ht="15" hidden="false" customHeight="false" outlineLevel="0" collapsed="false">
      <c r="A143" s="18"/>
      <c r="B143" s="18"/>
      <c r="C143" s="25"/>
      <c r="D143" s="25"/>
      <c r="E143" s="25"/>
      <c r="F143" s="18"/>
      <c r="G143" s="18"/>
      <c r="H143" s="18"/>
      <c r="I143" s="18"/>
      <c r="J143" s="13" t="str">
        <f aca="false">IF(OR(D143="",E143=""),"",E143-D143)</f>
        <v/>
      </c>
      <c r="K143" s="13" t="str">
        <f aca="false">IF(OR(C143="",D143=""),"",D143-C143)</f>
        <v/>
      </c>
      <c r="L143" s="13" t="str">
        <f aca="false">IF(A143="","",IF(OR(I143="Devolvida",N(H143)&gt;0),"Sim","Não"))</f>
        <v/>
      </c>
    </row>
    <row r="144" customFormat="false" ht="15" hidden="false" customHeight="false" outlineLevel="0" collapsed="false">
      <c r="A144" s="18"/>
      <c r="B144" s="18"/>
      <c r="C144" s="25"/>
      <c r="D144" s="25"/>
      <c r="E144" s="25"/>
      <c r="F144" s="18"/>
      <c r="G144" s="18"/>
      <c r="H144" s="18"/>
      <c r="I144" s="18"/>
      <c r="J144" s="13" t="str">
        <f aca="false">IF(OR(D144="",E144=""),"",E144-D144)</f>
        <v/>
      </c>
      <c r="K144" s="13" t="str">
        <f aca="false">IF(OR(C144="",D144=""),"",D144-C144)</f>
        <v/>
      </c>
      <c r="L144" s="13" t="str">
        <f aca="false">IF(A144="","",IF(OR(I144="Devolvida",N(H144)&gt;0),"Sim","Não"))</f>
        <v/>
      </c>
    </row>
    <row r="145" customFormat="false" ht="15" hidden="false" customHeight="false" outlineLevel="0" collapsed="false">
      <c r="A145" s="18"/>
      <c r="B145" s="18"/>
      <c r="C145" s="25"/>
      <c r="D145" s="25"/>
      <c r="E145" s="25"/>
      <c r="F145" s="18"/>
      <c r="G145" s="18"/>
      <c r="H145" s="18"/>
      <c r="I145" s="18"/>
      <c r="J145" s="13" t="str">
        <f aca="false">IF(OR(D145="",E145=""),"",E145-D145)</f>
        <v/>
      </c>
      <c r="K145" s="13" t="str">
        <f aca="false">IF(OR(C145="",D145=""),"",D145-C145)</f>
        <v/>
      </c>
      <c r="L145" s="13" t="str">
        <f aca="false">IF(A145="","",IF(OR(I145="Devolvida",N(H145)&gt;0),"Sim","Não"))</f>
        <v/>
      </c>
    </row>
    <row r="146" customFormat="false" ht="15" hidden="false" customHeight="false" outlineLevel="0" collapsed="false">
      <c r="A146" s="18"/>
      <c r="B146" s="18"/>
      <c r="C146" s="25"/>
      <c r="D146" s="25"/>
      <c r="E146" s="25"/>
      <c r="F146" s="18"/>
      <c r="G146" s="18"/>
      <c r="H146" s="18"/>
      <c r="I146" s="18"/>
      <c r="J146" s="13" t="str">
        <f aca="false">IF(OR(D146="",E146=""),"",E146-D146)</f>
        <v/>
      </c>
      <c r="K146" s="13" t="str">
        <f aca="false">IF(OR(C146="",D146=""),"",D146-C146)</f>
        <v/>
      </c>
      <c r="L146" s="13" t="str">
        <f aca="false">IF(A146="","",IF(OR(I146="Devolvida",N(H146)&gt;0),"Sim","Não"))</f>
        <v/>
      </c>
    </row>
    <row r="147" customFormat="false" ht="15" hidden="false" customHeight="false" outlineLevel="0" collapsed="false">
      <c r="A147" s="18"/>
      <c r="B147" s="18"/>
      <c r="C147" s="25"/>
      <c r="D147" s="25"/>
      <c r="E147" s="25"/>
      <c r="F147" s="18"/>
      <c r="G147" s="18"/>
      <c r="H147" s="18"/>
      <c r="I147" s="18"/>
      <c r="J147" s="13" t="str">
        <f aca="false">IF(OR(D147="",E147=""),"",E147-D147)</f>
        <v/>
      </c>
      <c r="K147" s="13" t="str">
        <f aca="false">IF(OR(C147="",D147=""),"",D147-C147)</f>
        <v/>
      </c>
      <c r="L147" s="13" t="str">
        <f aca="false">IF(A147="","",IF(OR(I147="Devolvida",N(H147)&gt;0),"Sim","Não"))</f>
        <v/>
      </c>
    </row>
    <row r="148" customFormat="false" ht="15" hidden="false" customHeight="false" outlineLevel="0" collapsed="false">
      <c r="A148" s="18"/>
      <c r="B148" s="18"/>
      <c r="C148" s="25"/>
      <c r="D148" s="25"/>
      <c r="E148" s="25"/>
      <c r="F148" s="18"/>
      <c r="G148" s="18"/>
      <c r="H148" s="18"/>
      <c r="I148" s="18"/>
      <c r="J148" s="13" t="str">
        <f aca="false">IF(OR(D148="",E148=""),"",E148-D148)</f>
        <v/>
      </c>
      <c r="K148" s="13" t="str">
        <f aca="false">IF(OR(C148="",D148=""),"",D148-C148)</f>
        <v/>
      </c>
      <c r="L148" s="13" t="str">
        <f aca="false">IF(A148="","",IF(OR(I148="Devolvida",N(H148)&gt;0),"Sim","Não"))</f>
        <v/>
      </c>
    </row>
    <row r="149" customFormat="false" ht="15" hidden="false" customHeight="false" outlineLevel="0" collapsed="false">
      <c r="A149" s="18"/>
      <c r="B149" s="18"/>
      <c r="C149" s="25"/>
      <c r="D149" s="25"/>
      <c r="E149" s="25"/>
      <c r="F149" s="18"/>
      <c r="G149" s="18"/>
      <c r="H149" s="18"/>
      <c r="I149" s="18"/>
      <c r="J149" s="13" t="str">
        <f aca="false">IF(OR(D149="",E149=""),"",E149-D149)</f>
        <v/>
      </c>
      <c r="K149" s="13" t="str">
        <f aca="false">IF(OR(C149="",D149=""),"",D149-C149)</f>
        <v/>
      </c>
      <c r="L149" s="13" t="str">
        <f aca="false">IF(A149="","",IF(OR(I149="Devolvida",N(H149)&gt;0),"Sim","Não"))</f>
        <v/>
      </c>
    </row>
    <row r="150" customFormat="false" ht="15" hidden="false" customHeight="false" outlineLevel="0" collapsed="false">
      <c r="A150" s="18"/>
      <c r="B150" s="18"/>
      <c r="C150" s="25"/>
      <c r="D150" s="25"/>
      <c r="E150" s="25"/>
      <c r="F150" s="18"/>
      <c r="G150" s="18"/>
      <c r="H150" s="18"/>
      <c r="I150" s="18"/>
      <c r="J150" s="13" t="str">
        <f aca="false">IF(OR(D150="",E150=""),"",E150-D150)</f>
        <v/>
      </c>
      <c r="K150" s="13" t="str">
        <f aca="false">IF(OR(C150="",D150=""),"",D150-C150)</f>
        <v/>
      </c>
      <c r="L150" s="13" t="str">
        <f aca="false">IF(A150="","",IF(OR(I150="Devolvida",N(H150)&gt;0),"Sim","Não"))</f>
        <v/>
      </c>
    </row>
    <row r="151" customFormat="false" ht="15" hidden="false" customHeight="false" outlineLevel="0" collapsed="false">
      <c r="A151" s="18"/>
      <c r="B151" s="18"/>
      <c r="C151" s="25"/>
      <c r="D151" s="25"/>
      <c r="E151" s="25"/>
      <c r="F151" s="18"/>
      <c r="G151" s="18"/>
      <c r="H151" s="18"/>
      <c r="I151" s="18"/>
      <c r="J151" s="13" t="str">
        <f aca="false">IF(OR(D151="",E151=""),"",E151-D151)</f>
        <v/>
      </c>
      <c r="K151" s="13" t="str">
        <f aca="false">IF(OR(C151="",D151=""),"",D151-C151)</f>
        <v/>
      </c>
      <c r="L151" s="13" t="str">
        <f aca="false">IF(A151="","",IF(OR(I151="Devolvida",N(H151)&gt;0),"Sim","Não"))</f>
        <v/>
      </c>
    </row>
    <row r="152" customFormat="false" ht="15" hidden="false" customHeight="false" outlineLevel="0" collapsed="false">
      <c r="A152" s="18"/>
      <c r="B152" s="18"/>
      <c r="C152" s="25"/>
      <c r="D152" s="25"/>
      <c r="E152" s="25"/>
      <c r="F152" s="18"/>
      <c r="G152" s="18"/>
      <c r="H152" s="18"/>
      <c r="I152" s="18"/>
      <c r="J152" s="13" t="str">
        <f aca="false">IF(OR(D152="",E152=""),"",E152-D152)</f>
        <v/>
      </c>
      <c r="K152" s="13" t="str">
        <f aca="false">IF(OR(C152="",D152=""),"",D152-C152)</f>
        <v/>
      </c>
      <c r="L152" s="13" t="str">
        <f aca="false">IF(A152="","",IF(OR(I152="Devolvida",N(H152)&gt;0),"Sim","Não"))</f>
        <v/>
      </c>
    </row>
    <row r="153" customFormat="false" ht="15" hidden="false" customHeight="false" outlineLevel="0" collapsed="false">
      <c r="A153" s="18"/>
      <c r="B153" s="18"/>
      <c r="C153" s="25"/>
      <c r="D153" s="25"/>
      <c r="E153" s="25"/>
      <c r="F153" s="18"/>
      <c r="G153" s="18"/>
      <c r="H153" s="18"/>
      <c r="I153" s="18"/>
      <c r="J153" s="13" t="str">
        <f aca="false">IF(OR(D153="",E153=""),"",E153-D153)</f>
        <v/>
      </c>
      <c r="K153" s="13" t="str">
        <f aca="false">IF(OR(C153="",D153=""),"",D153-C153)</f>
        <v/>
      </c>
      <c r="L153" s="13" t="str">
        <f aca="false">IF(A153="","",IF(OR(I153="Devolvida",N(H153)&gt;0),"Sim","Não"))</f>
        <v/>
      </c>
    </row>
    <row r="154" customFormat="false" ht="15" hidden="false" customHeight="false" outlineLevel="0" collapsed="false">
      <c r="A154" s="18"/>
      <c r="B154" s="18"/>
      <c r="C154" s="25"/>
      <c r="D154" s="25"/>
      <c r="E154" s="25"/>
      <c r="F154" s="18"/>
      <c r="G154" s="18"/>
      <c r="H154" s="18"/>
      <c r="I154" s="18"/>
      <c r="J154" s="13" t="str">
        <f aca="false">IF(OR(D154="",E154=""),"",E154-D154)</f>
        <v/>
      </c>
      <c r="K154" s="13" t="str">
        <f aca="false">IF(OR(C154="",D154=""),"",D154-C154)</f>
        <v/>
      </c>
      <c r="L154" s="13" t="str">
        <f aca="false">IF(A154="","",IF(OR(I154="Devolvida",N(H154)&gt;0),"Sim","Não"))</f>
        <v/>
      </c>
    </row>
    <row r="155" customFormat="false" ht="15" hidden="false" customHeight="false" outlineLevel="0" collapsed="false">
      <c r="A155" s="18"/>
      <c r="B155" s="18"/>
      <c r="C155" s="25"/>
      <c r="D155" s="25"/>
      <c r="E155" s="25"/>
      <c r="F155" s="18"/>
      <c r="G155" s="18"/>
      <c r="H155" s="18"/>
      <c r="I155" s="18"/>
      <c r="J155" s="13" t="str">
        <f aca="false">IF(OR(D155="",E155=""),"",E155-D155)</f>
        <v/>
      </c>
      <c r="K155" s="13" t="str">
        <f aca="false">IF(OR(C155="",D155=""),"",D155-C155)</f>
        <v/>
      </c>
      <c r="L155" s="13" t="str">
        <f aca="false">IF(A155="","",IF(OR(I155="Devolvida",N(H155)&gt;0),"Sim","Não"))</f>
        <v/>
      </c>
    </row>
    <row r="156" customFormat="false" ht="15" hidden="false" customHeight="false" outlineLevel="0" collapsed="false">
      <c r="A156" s="18"/>
      <c r="B156" s="18"/>
      <c r="C156" s="25"/>
      <c r="D156" s="25"/>
      <c r="E156" s="25"/>
      <c r="F156" s="18"/>
      <c r="G156" s="18"/>
      <c r="H156" s="18"/>
      <c r="I156" s="18"/>
      <c r="J156" s="13" t="str">
        <f aca="false">IF(OR(D156="",E156=""),"",E156-D156)</f>
        <v/>
      </c>
      <c r="K156" s="13" t="str">
        <f aca="false">IF(OR(C156="",D156=""),"",D156-C156)</f>
        <v/>
      </c>
      <c r="L156" s="13" t="str">
        <f aca="false">IF(A156="","",IF(OR(I156="Devolvida",N(H156)&gt;0),"Sim","Não"))</f>
        <v/>
      </c>
    </row>
    <row r="157" customFormat="false" ht="15" hidden="false" customHeight="false" outlineLevel="0" collapsed="false">
      <c r="A157" s="18"/>
      <c r="B157" s="18"/>
      <c r="C157" s="25"/>
      <c r="D157" s="25"/>
      <c r="E157" s="25"/>
      <c r="F157" s="18"/>
      <c r="G157" s="18"/>
      <c r="H157" s="18"/>
      <c r="I157" s="18"/>
      <c r="J157" s="13" t="str">
        <f aca="false">IF(OR(D157="",E157=""),"",E157-D157)</f>
        <v/>
      </c>
      <c r="K157" s="13" t="str">
        <f aca="false">IF(OR(C157="",D157=""),"",D157-C157)</f>
        <v/>
      </c>
      <c r="L157" s="13" t="str">
        <f aca="false">IF(A157="","",IF(OR(I157="Devolvida",N(H157)&gt;0),"Sim","Não"))</f>
        <v/>
      </c>
    </row>
    <row r="158" customFormat="false" ht="15" hidden="false" customHeight="false" outlineLevel="0" collapsed="false">
      <c r="A158" s="18"/>
      <c r="B158" s="18"/>
      <c r="C158" s="25"/>
      <c r="D158" s="25"/>
      <c r="E158" s="25"/>
      <c r="F158" s="18"/>
      <c r="G158" s="18"/>
      <c r="H158" s="18"/>
      <c r="I158" s="18"/>
      <c r="J158" s="13" t="str">
        <f aca="false">IF(OR(D158="",E158=""),"",E158-D158)</f>
        <v/>
      </c>
      <c r="K158" s="13" t="str">
        <f aca="false">IF(OR(C158="",D158=""),"",D158-C158)</f>
        <v/>
      </c>
      <c r="L158" s="13" t="str">
        <f aca="false">IF(A158="","",IF(OR(I158="Devolvida",N(H158)&gt;0),"Sim","Não"))</f>
        <v/>
      </c>
    </row>
    <row r="159" customFormat="false" ht="15" hidden="false" customHeight="false" outlineLevel="0" collapsed="false">
      <c r="A159" s="18"/>
      <c r="B159" s="18"/>
      <c r="C159" s="25"/>
      <c r="D159" s="25"/>
      <c r="E159" s="25"/>
      <c r="F159" s="18"/>
      <c r="G159" s="18"/>
      <c r="H159" s="18"/>
      <c r="I159" s="18"/>
      <c r="J159" s="13" t="str">
        <f aca="false">IF(OR(D159="",E159=""),"",E159-D159)</f>
        <v/>
      </c>
      <c r="K159" s="13" t="str">
        <f aca="false">IF(OR(C159="",D159=""),"",D159-C159)</f>
        <v/>
      </c>
      <c r="L159" s="13" t="str">
        <f aca="false">IF(A159="","",IF(OR(I159="Devolvida",N(H159)&gt;0),"Sim","Não"))</f>
        <v/>
      </c>
    </row>
    <row r="160" customFormat="false" ht="15" hidden="false" customHeight="false" outlineLevel="0" collapsed="false">
      <c r="A160" s="18"/>
      <c r="B160" s="18"/>
      <c r="C160" s="25"/>
      <c r="D160" s="25"/>
      <c r="E160" s="25"/>
      <c r="F160" s="18"/>
      <c r="G160" s="18"/>
      <c r="H160" s="18"/>
      <c r="I160" s="18"/>
      <c r="J160" s="13" t="str">
        <f aca="false">IF(OR(D160="",E160=""),"",E160-D160)</f>
        <v/>
      </c>
      <c r="K160" s="13" t="str">
        <f aca="false">IF(OR(C160="",D160=""),"",D160-C160)</f>
        <v/>
      </c>
      <c r="L160" s="13" t="str">
        <f aca="false">IF(A160="","",IF(OR(I160="Devolvida",N(H160)&gt;0),"Sim","Não"))</f>
        <v/>
      </c>
    </row>
    <row r="161" customFormat="false" ht="15" hidden="false" customHeight="false" outlineLevel="0" collapsed="false">
      <c r="A161" s="18"/>
      <c r="B161" s="18"/>
      <c r="C161" s="25"/>
      <c r="D161" s="25"/>
      <c r="E161" s="25"/>
      <c r="F161" s="18"/>
      <c r="G161" s="18"/>
      <c r="H161" s="18"/>
      <c r="I161" s="18"/>
      <c r="J161" s="13" t="str">
        <f aca="false">IF(OR(D161="",E161=""),"",E161-D161)</f>
        <v/>
      </c>
      <c r="K161" s="13" t="str">
        <f aca="false">IF(OR(C161="",D161=""),"",D161-C161)</f>
        <v/>
      </c>
      <c r="L161" s="13" t="str">
        <f aca="false">IF(A161="","",IF(OR(I161="Devolvida",N(H161)&gt;0),"Sim","Não"))</f>
        <v/>
      </c>
    </row>
    <row r="162" customFormat="false" ht="15" hidden="false" customHeight="false" outlineLevel="0" collapsed="false">
      <c r="A162" s="18"/>
      <c r="B162" s="18"/>
      <c r="C162" s="25"/>
      <c r="D162" s="25"/>
      <c r="E162" s="25"/>
      <c r="F162" s="18"/>
      <c r="G162" s="18"/>
      <c r="H162" s="18"/>
      <c r="I162" s="18"/>
      <c r="J162" s="13" t="str">
        <f aca="false">IF(OR(D162="",E162=""),"",E162-D162)</f>
        <v/>
      </c>
      <c r="K162" s="13" t="str">
        <f aca="false">IF(OR(C162="",D162=""),"",D162-C162)</f>
        <v/>
      </c>
      <c r="L162" s="13" t="str">
        <f aca="false">IF(A162="","",IF(OR(I162="Devolvida",N(H162)&gt;0),"Sim","Não"))</f>
        <v/>
      </c>
    </row>
    <row r="163" customFormat="false" ht="15" hidden="false" customHeight="false" outlineLevel="0" collapsed="false">
      <c r="A163" s="18"/>
      <c r="B163" s="18"/>
      <c r="C163" s="25"/>
      <c r="D163" s="25"/>
      <c r="E163" s="25"/>
      <c r="F163" s="18"/>
      <c r="G163" s="18"/>
      <c r="H163" s="18"/>
      <c r="I163" s="18"/>
      <c r="J163" s="13" t="str">
        <f aca="false">IF(OR(D163="",E163=""),"",E163-D163)</f>
        <v/>
      </c>
      <c r="K163" s="13" t="str">
        <f aca="false">IF(OR(C163="",D163=""),"",D163-C163)</f>
        <v/>
      </c>
      <c r="L163" s="13" t="str">
        <f aca="false">IF(A163="","",IF(OR(I163="Devolvida",N(H163)&gt;0),"Sim","Não"))</f>
        <v/>
      </c>
    </row>
    <row r="164" customFormat="false" ht="15" hidden="false" customHeight="false" outlineLevel="0" collapsed="false">
      <c r="A164" s="18"/>
      <c r="B164" s="18"/>
      <c r="C164" s="25"/>
      <c r="D164" s="25"/>
      <c r="E164" s="25"/>
      <c r="F164" s="18"/>
      <c r="G164" s="18"/>
      <c r="H164" s="18"/>
      <c r="I164" s="18"/>
      <c r="J164" s="13" t="str">
        <f aca="false">IF(OR(D164="",E164=""),"",E164-D164)</f>
        <v/>
      </c>
      <c r="K164" s="13" t="str">
        <f aca="false">IF(OR(C164="",D164=""),"",D164-C164)</f>
        <v/>
      </c>
      <c r="L164" s="13" t="str">
        <f aca="false">IF(A164="","",IF(OR(I164="Devolvida",N(H164)&gt;0),"Sim","Não"))</f>
        <v/>
      </c>
    </row>
    <row r="165" customFormat="false" ht="15" hidden="false" customHeight="false" outlineLevel="0" collapsed="false">
      <c r="A165" s="18"/>
      <c r="B165" s="18"/>
      <c r="C165" s="25"/>
      <c r="D165" s="25"/>
      <c r="E165" s="25"/>
      <c r="F165" s="18"/>
      <c r="G165" s="18"/>
      <c r="H165" s="18"/>
      <c r="I165" s="18"/>
      <c r="J165" s="13" t="str">
        <f aca="false">IF(OR(D165="",E165=""),"",E165-D165)</f>
        <v/>
      </c>
      <c r="K165" s="13" t="str">
        <f aca="false">IF(OR(C165="",D165=""),"",D165-C165)</f>
        <v/>
      </c>
      <c r="L165" s="13" t="str">
        <f aca="false">IF(A165="","",IF(OR(I165="Devolvida",N(H165)&gt;0),"Sim","Não"))</f>
        <v/>
      </c>
    </row>
    <row r="166" customFormat="false" ht="15" hidden="false" customHeight="false" outlineLevel="0" collapsed="false">
      <c r="A166" s="18"/>
      <c r="B166" s="18"/>
      <c r="C166" s="25"/>
      <c r="D166" s="25"/>
      <c r="E166" s="25"/>
      <c r="F166" s="18"/>
      <c r="G166" s="18"/>
      <c r="H166" s="18"/>
      <c r="I166" s="18"/>
      <c r="J166" s="13" t="str">
        <f aca="false">IF(OR(D166="",E166=""),"",E166-D166)</f>
        <v/>
      </c>
      <c r="K166" s="13" t="str">
        <f aca="false">IF(OR(C166="",D166=""),"",D166-C166)</f>
        <v/>
      </c>
      <c r="L166" s="13" t="str">
        <f aca="false">IF(A166="","",IF(OR(I166="Devolvida",N(H166)&gt;0),"Sim","Não"))</f>
        <v/>
      </c>
    </row>
    <row r="167" customFormat="false" ht="15" hidden="false" customHeight="false" outlineLevel="0" collapsed="false">
      <c r="A167" s="18"/>
      <c r="B167" s="18"/>
      <c r="C167" s="25"/>
      <c r="D167" s="25"/>
      <c r="E167" s="25"/>
      <c r="F167" s="18"/>
      <c r="G167" s="18"/>
      <c r="H167" s="18"/>
      <c r="I167" s="18"/>
      <c r="J167" s="13" t="str">
        <f aca="false">IF(OR(D167="",E167=""),"",E167-D167)</f>
        <v/>
      </c>
      <c r="K167" s="13" t="str">
        <f aca="false">IF(OR(C167="",D167=""),"",D167-C167)</f>
        <v/>
      </c>
      <c r="L167" s="13" t="str">
        <f aca="false">IF(A167="","",IF(OR(I167="Devolvida",N(H167)&gt;0),"Sim","Não"))</f>
        <v/>
      </c>
    </row>
    <row r="168" customFormat="false" ht="15" hidden="false" customHeight="false" outlineLevel="0" collapsed="false">
      <c r="A168" s="18"/>
      <c r="B168" s="18"/>
      <c r="C168" s="25"/>
      <c r="D168" s="25"/>
      <c r="E168" s="25"/>
      <c r="F168" s="18"/>
      <c r="G168" s="18"/>
      <c r="H168" s="18"/>
      <c r="I168" s="18"/>
      <c r="J168" s="13" t="str">
        <f aca="false">IF(OR(D168="",E168=""),"",E168-D168)</f>
        <v/>
      </c>
      <c r="K168" s="13" t="str">
        <f aca="false">IF(OR(C168="",D168=""),"",D168-C168)</f>
        <v/>
      </c>
      <c r="L168" s="13" t="str">
        <f aca="false">IF(A168="","",IF(OR(I168="Devolvida",N(H168)&gt;0),"Sim","Não"))</f>
        <v/>
      </c>
    </row>
    <row r="169" customFormat="false" ht="15" hidden="false" customHeight="false" outlineLevel="0" collapsed="false">
      <c r="A169" s="18"/>
      <c r="B169" s="18"/>
      <c r="C169" s="25"/>
      <c r="D169" s="25"/>
      <c r="E169" s="25"/>
      <c r="F169" s="18"/>
      <c r="G169" s="18"/>
      <c r="H169" s="18"/>
      <c r="I169" s="18"/>
      <c r="J169" s="13" t="str">
        <f aca="false">IF(OR(D169="",E169=""),"",E169-D169)</f>
        <v/>
      </c>
      <c r="K169" s="13" t="str">
        <f aca="false">IF(OR(C169="",D169=""),"",D169-C169)</f>
        <v/>
      </c>
      <c r="L169" s="13" t="str">
        <f aca="false">IF(A169="","",IF(OR(I169="Devolvida",N(H169)&gt;0),"Sim","Não"))</f>
        <v/>
      </c>
    </row>
    <row r="170" customFormat="false" ht="15" hidden="false" customHeight="false" outlineLevel="0" collapsed="false">
      <c r="A170" s="18"/>
      <c r="B170" s="18"/>
      <c r="C170" s="25"/>
      <c r="D170" s="25"/>
      <c r="E170" s="25"/>
      <c r="F170" s="18"/>
      <c r="G170" s="18"/>
      <c r="H170" s="18"/>
      <c r="I170" s="18"/>
      <c r="J170" s="13" t="str">
        <f aca="false">IF(OR(D170="",E170=""),"",E170-D170)</f>
        <v/>
      </c>
      <c r="K170" s="13" t="str">
        <f aca="false">IF(OR(C170="",D170=""),"",D170-C170)</f>
        <v/>
      </c>
      <c r="L170" s="13" t="str">
        <f aca="false">IF(A170="","",IF(OR(I170="Devolvida",N(H170)&gt;0),"Sim","Não"))</f>
        <v/>
      </c>
    </row>
    <row r="171" customFormat="false" ht="15" hidden="false" customHeight="false" outlineLevel="0" collapsed="false">
      <c r="A171" s="18"/>
      <c r="B171" s="18"/>
      <c r="C171" s="25"/>
      <c r="D171" s="25"/>
      <c r="E171" s="25"/>
      <c r="F171" s="18"/>
      <c r="G171" s="18"/>
      <c r="H171" s="18"/>
      <c r="I171" s="18"/>
      <c r="J171" s="13" t="str">
        <f aca="false">IF(OR(D171="",E171=""),"",E171-D171)</f>
        <v/>
      </c>
      <c r="K171" s="13" t="str">
        <f aca="false">IF(OR(C171="",D171=""),"",D171-C171)</f>
        <v/>
      </c>
      <c r="L171" s="13" t="str">
        <f aca="false">IF(A171="","",IF(OR(I171="Devolvida",N(H171)&gt;0),"Sim","Não"))</f>
        <v/>
      </c>
    </row>
    <row r="172" customFormat="false" ht="15" hidden="false" customHeight="false" outlineLevel="0" collapsed="false">
      <c r="A172" s="18"/>
      <c r="B172" s="18"/>
      <c r="C172" s="25"/>
      <c r="D172" s="25"/>
      <c r="E172" s="25"/>
      <c r="F172" s="18"/>
      <c r="G172" s="18"/>
      <c r="H172" s="18"/>
      <c r="I172" s="18"/>
      <c r="J172" s="13" t="str">
        <f aca="false">IF(OR(D172="",E172=""),"",E172-D172)</f>
        <v/>
      </c>
      <c r="K172" s="13" t="str">
        <f aca="false">IF(OR(C172="",D172=""),"",D172-C172)</f>
        <v/>
      </c>
      <c r="L172" s="13" t="str">
        <f aca="false">IF(A172="","",IF(OR(I172="Devolvida",N(H172)&gt;0),"Sim","Não"))</f>
        <v/>
      </c>
    </row>
    <row r="173" customFormat="false" ht="15" hidden="false" customHeight="false" outlineLevel="0" collapsed="false">
      <c r="A173" s="18"/>
      <c r="B173" s="18"/>
      <c r="C173" s="25"/>
      <c r="D173" s="25"/>
      <c r="E173" s="25"/>
      <c r="F173" s="18"/>
      <c r="G173" s="18"/>
      <c r="H173" s="18"/>
      <c r="I173" s="18"/>
      <c r="J173" s="13" t="str">
        <f aca="false">IF(OR(D173="",E173=""),"",E173-D173)</f>
        <v/>
      </c>
      <c r="K173" s="13" t="str">
        <f aca="false">IF(OR(C173="",D173=""),"",D173-C173)</f>
        <v/>
      </c>
      <c r="L173" s="13" t="str">
        <f aca="false">IF(A173="","",IF(OR(I173="Devolvida",N(H173)&gt;0),"Sim","Não"))</f>
        <v/>
      </c>
    </row>
    <row r="174" customFormat="false" ht="15" hidden="false" customHeight="false" outlineLevel="0" collapsed="false">
      <c r="A174" s="18"/>
      <c r="B174" s="18"/>
      <c r="C174" s="25"/>
      <c r="D174" s="25"/>
      <c r="E174" s="25"/>
      <c r="F174" s="18"/>
      <c r="G174" s="18"/>
      <c r="H174" s="18"/>
      <c r="I174" s="18"/>
      <c r="J174" s="13" t="str">
        <f aca="false">IF(OR(D174="",E174=""),"",E174-D174)</f>
        <v/>
      </c>
      <c r="K174" s="13" t="str">
        <f aca="false">IF(OR(C174="",D174=""),"",D174-C174)</f>
        <v/>
      </c>
      <c r="L174" s="13" t="str">
        <f aca="false">IF(A174="","",IF(OR(I174="Devolvida",N(H174)&gt;0),"Sim","Não"))</f>
        <v/>
      </c>
    </row>
    <row r="175" customFormat="false" ht="15" hidden="false" customHeight="false" outlineLevel="0" collapsed="false">
      <c r="A175" s="18"/>
      <c r="B175" s="18"/>
      <c r="C175" s="25"/>
      <c r="D175" s="25"/>
      <c r="E175" s="25"/>
      <c r="F175" s="18"/>
      <c r="G175" s="18"/>
      <c r="H175" s="18"/>
      <c r="I175" s="18"/>
      <c r="J175" s="13" t="str">
        <f aca="false">IF(OR(D175="",E175=""),"",E175-D175)</f>
        <v/>
      </c>
      <c r="K175" s="13" t="str">
        <f aca="false">IF(OR(C175="",D175=""),"",D175-C175)</f>
        <v/>
      </c>
      <c r="L175" s="13" t="str">
        <f aca="false">IF(A175="","",IF(OR(I175="Devolvida",N(H175)&gt;0),"Sim","Não"))</f>
        <v/>
      </c>
    </row>
    <row r="176" customFormat="false" ht="15" hidden="false" customHeight="false" outlineLevel="0" collapsed="false">
      <c r="A176" s="18"/>
      <c r="B176" s="18"/>
      <c r="C176" s="25"/>
      <c r="D176" s="25"/>
      <c r="E176" s="25"/>
      <c r="F176" s="18"/>
      <c r="G176" s="18"/>
      <c r="H176" s="18"/>
      <c r="I176" s="18"/>
      <c r="J176" s="13" t="str">
        <f aca="false">IF(OR(D176="",E176=""),"",E176-D176)</f>
        <v/>
      </c>
      <c r="K176" s="13" t="str">
        <f aca="false">IF(OR(C176="",D176=""),"",D176-C176)</f>
        <v/>
      </c>
      <c r="L176" s="13" t="str">
        <f aca="false">IF(A176="","",IF(OR(I176="Devolvida",N(H176)&gt;0),"Sim","Não"))</f>
        <v/>
      </c>
    </row>
    <row r="177" customFormat="false" ht="15" hidden="false" customHeight="false" outlineLevel="0" collapsed="false">
      <c r="A177" s="18"/>
      <c r="B177" s="18"/>
      <c r="C177" s="25"/>
      <c r="D177" s="25"/>
      <c r="E177" s="25"/>
      <c r="F177" s="18"/>
      <c r="G177" s="18"/>
      <c r="H177" s="18"/>
      <c r="I177" s="18"/>
      <c r="J177" s="13" t="str">
        <f aca="false">IF(OR(D177="",E177=""),"",E177-D177)</f>
        <v/>
      </c>
      <c r="K177" s="13" t="str">
        <f aca="false">IF(OR(C177="",D177=""),"",D177-C177)</f>
        <v/>
      </c>
      <c r="L177" s="13" t="str">
        <f aca="false">IF(A177="","",IF(OR(I177="Devolvida",N(H177)&gt;0),"Sim","Não"))</f>
        <v/>
      </c>
    </row>
    <row r="178" customFormat="false" ht="15" hidden="false" customHeight="false" outlineLevel="0" collapsed="false">
      <c r="A178" s="18"/>
      <c r="B178" s="18"/>
      <c r="C178" s="25"/>
      <c r="D178" s="25"/>
      <c r="E178" s="25"/>
      <c r="F178" s="18"/>
      <c r="G178" s="18"/>
      <c r="H178" s="18"/>
      <c r="I178" s="18"/>
      <c r="J178" s="13" t="str">
        <f aca="false">IF(OR(D178="",E178=""),"",E178-D178)</f>
        <v/>
      </c>
      <c r="K178" s="13" t="str">
        <f aca="false">IF(OR(C178="",D178=""),"",D178-C178)</f>
        <v/>
      </c>
      <c r="L178" s="13" t="str">
        <f aca="false">IF(A178="","",IF(OR(I178="Devolvida",N(H178)&gt;0),"Sim","Não"))</f>
        <v/>
      </c>
    </row>
    <row r="179" customFormat="false" ht="15" hidden="false" customHeight="false" outlineLevel="0" collapsed="false">
      <c r="A179" s="18"/>
      <c r="B179" s="18"/>
      <c r="C179" s="25"/>
      <c r="D179" s="25"/>
      <c r="E179" s="25"/>
      <c r="F179" s="18"/>
      <c r="G179" s="18"/>
      <c r="H179" s="18"/>
      <c r="I179" s="18"/>
      <c r="J179" s="13" t="str">
        <f aca="false">IF(OR(D179="",E179=""),"",E179-D179)</f>
        <v/>
      </c>
      <c r="K179" s="13" t="str">
        <f aca="false">IF(OR(C179="",D179=""),"",D179-C179)</f>
        <v/>
      </c>
      <c r="L179" s="13" t="str">
        <f aca="false">IF(A179="","",IF(OR(I179="Devolvida",N(H179)&gt;0),"Sim","Não"))</f>
        <v/>
      </c>
    </row>
    <row r="180" customFormat="false" ht="15" hidden="false" customHeight="false" outlineLevel="0" collapsed="false">
      <c r="A180" s="18"/>
      <c r="B180" s="18"/>
      <c r="C180" s="25"/>
      <c r="D180" s="25"/>
      <c r="E180" s="25"/>
      <c r="F180" s="18"/>
      <c r="G180" s="18"/>
      <c r="H180" s="18"/>
      <c r="I180" s="18"/>
      <c r="J180" s="13" t="str">
        <f aca="false">IF(OR(D180="",E180=""),"",E180-D180)</f>
        <v/>
      </c>
      <c r="K180" s="13" t="str">
        <f aca="false">IF(OR(C180="",D180=""),"",D180-C180)</f>
        <v/>
      </c>
      <c r="L180" s="13" t="str">
        <f aca="false">IF(A180="","",IF(OR(I180="Devolvida",N(H180)&gt;0),"Sim","Não"))</f>
        <v/>
      </c>
    </row>
    <row r="181" customFormat="false" ht="15" hidden="false" customHeight="false" outlineLevel="0" collapsed="false">
      <c r="A181" s="18"/>
      <c r="B181" s="18"/>
      <c r="C181" s="25"/>
      <c r="D181" s="25"/>
      <c r="E181" s="25"/>
      <c r="F181" s="18"/>
      <c r="G181" s="18"/>
      <c r="H181" s="18"/>
      <c r="I181" s="18"/>
      <c r="J181" s="13" t="str">
        <f aca="false">IF(OR(D181="",E181=""),"",E181-D181)</f>
        <v/>
      </c>
      <c r="K181" s="13" t="str">
        <f aca="false">IF(OR(C181="",D181=""),"",D181-C181)</f>
        <v/>
      </c>
      <c r="L181" s="13" t="str">
        <f aca="false">IF(A181="","",IF(OR(I181="Devolvida",N(H181)&gt;0),"Sim","Não"))</f>
        <v/>
      </c>
    </row>
    <row r="182" customFormat="false" ht="15" hidden="false" customHeight="false" outlineLevel="0" collapsed="false">
      <c r="A182" s="18"/>
      <c r="B182" s="18"/>
      <c r="C182" s="25"/>
      <c r="D182" s="25"/>
      <c r="E182" s="25"/>
      <c r="F182" s="18"/>
      <c r="G182" s="18"/>
      <c r="H182" s="18"/>
      <c r="I182" s="18"/>
      <c r="J182" s="13" t="str">
        <f aca="false">IF(OR(D182="",E182=""),"",E182-D182)</f>
        <v/>
      </c>
      <c r="K182" s="13" t="str">
        <f aca="false">IF(OR(C182="",D182=""),"",D182-C182)</f>
        <v/>
      </c>
      <c r="L182" s="13" t="str">
        <f aca="false">IF(A182="","",IF(OR(I182="Devolvida",N(H182)&gt;0),"Sim","Não"))</f>
        <v/>
      </c>
    </row>
    <row r="183" customFormat="false" ht="15" hidden="false" customHeight="false" outlineLevel="0" collapsed="false">
      <c r="A183" s="18"/>
      <c r="B183" s="18"/>
      <c r="C183" s="25"/>
      <c r="D183" s="25"/>
      <c r="E183" s="25"/>
      <c r="F183" s="18"/>
      <c r="G183" s="18"/>
      <c r="H183" s="18"/>
      <c r="I183" s="18"/>
      <c r="J183" s="13" t="str">
        <f aca="false">IF(OR(D183="",E183=""),"",E183-D183)</f>
        <v/>
      </c>
      <c r="K183" s="13" t="str">
        <f aca="false">IF(OR(C183="",D183=""),"",D183-C183)</f>
        <v/>
      </c>
      <c r="L183" s="13" t="str">
        <f aca="false">IF(A183="","",IF(OR(I183="Devolvida",N(H183)&gt;0),"Sim","Não"))</f>
        <v/>
      </c>
    </row>
    <row r="184" customFormat="false" ht="15" hidden="false" customHeight="false" outlineLevel="0" collapsed="false">
      <c r="A184" s="18"/>
      <c r="B184" s="18"/>
      <c r="C184" s="25"/>
      <c r="D184" s="25"/>
      <c r="E184" s="25"/>
      <c r="F184" s="18"/>
      <c r="G184" s="18"/>
      <c r="H184" s="18"/>
      <c r="I184" s="18"/>
      <c r="J184" s="13" t="str">
        <f aca="false">IF(OR(D184="",E184=""),"",E184-D184)</f>
        <v/>
      </c>
      <c r="K184" s="13" t="str">
        <f aca="false">IF(OR(C184="",D184=""),"",D184-C184)</f>
        <v/>
      </c>
      <c r="L184" s="13" t="str">
        <f aca="false">IF(A184="","",IF(OR(I184="Devolvida",N(H184)&gt;0),"Sim","Não"))</f>
        <v/>
      </c>
    </row>
    <row r="185" customFormat="false" ht="15" hidden="false" customHeight="false" outlineLevel="0" collapsed="false">
      <c r="A185" s="18"/>
      <c r="B185" s="18"/>
      <c r="C185" s="25"/>
      <c r="D185" s="25"/>
      <c r="E185" s="25"/>
      <c r="F185" s="18"/>
      <c r="G185" s="18"/>
      <c r="H185" s="18"/>
      <c r="I185" s="18"/>
      <c r="J185" s="13" t="str">
        <f aca="false">IF(OR(D185="",E185=""),"",E185-D185)</f>
        <v/>
      </c>
      <c r="K185" s="13" t="str">
        <f aca="false">IF(OR(C185="",D185=""),"",D185-C185)</f>
        <v/>
      </c>
      <c r="L185" s="13" t="str">
        <f aca="false">IF(A185="","",IF(OR(I185="Devolvida",N(H185)&gt;0),"Sim","Não"))</f>
        <v/>
      </c>
    </row>
    <row r="186" customFormat="false" ht="15" hidden="false" customHeight="false" outlineLevel="0" collapsed="false">
      <c r="A186" s="18"/>
      <c r="B186" s="18"/>
      <c r="C186" s="25"/>
      <c r="D186" s="25"/>
      <c r="E186" s="25"/>
      <c r="F186" s="18"/>
      <c r="G186" s="18"/>
      <c r="H186" s="18"/>
      <c r="I186" s="18"/>
      <c r="J186" s="13" t="str">
        <f aca="false">IF(OR(D186="",E186=""),"",E186-D186)</f>
        <v/>
      </c>
      <c r="K186" s="13" t="str">
        <f aca="false">IF(OR(C186="",D186=""),"",D186-C186)</f>
        <v/>
      </c>
      <c r="L186" s="13" t="str">
        <f aca="false">IF(A186="","",IF(OR(I186="Devolvida",N(H186)&gt;0),"Sim","Não"))</f>
        <v/>
      </c>
    </row>
    <row r="187" customFormat="false" ht="15" hidden="false" customHeight="false" outlineLevel="0" collapsed="false">
      <c r="A187" s="18"/>
      <c r="B187" s="18"/>
      <c r="C187" s="25"/>
      <c r="D187" s="25"/>
      <c r="E187" s="25"/>
      <c r="F187" s="18"/>
      <c r="G187" s="18"/>
      <c r="H187" s="18"/>
      <c r="I187" s="18"/>
      <c r="J187" s="13" t="str">
        <f aca="false">IF(OR(D187="",E187=""),"",E187-D187)</f>
        <v/>
      </c>
      <c r="K187" s="13" t="str">
        <f aca="false">IF(OR(C187="",D187=""),"",D187-C187)</f>
        <v/>
      </c>
      <c r="L187" s="13" t="str">
        <f aca="false">IF(A187="","",IF(OR(I187="Devolvida",N(H187)&gt;0),"Sim","Não"))</f>
        <v/>
      </c>
    </row>
    <row r="188" customFormat="false" ht="15" hidden="false" customHeight="false" outlineLevel="0" collapsed="false">
      <c r="A188" s="18"/>
      <c r="B188" s="18"/>
      <c r="C188" s="25"/>
      <c r="D188" s="25"/>
      <c r="E188" s="25"/>
      <c r="F188" s="18"/>
      <c r="G188" s="18"/>
      <c r="H188" s="18"/>
      <c r="I188" s="18"/>
      <c r="J188" s="13" t="str">
        <f aca="false">IF(OR(D188="",E188=""),"",E188-D188)</f>
        <v/>
      </c>
      <c r="K188" s="13" t="str">
        <f aca="false">IF(OR(C188="",D188=""),"",D188-C188)</f>
        <v/>
      </c>
      <c r="L188" s="13" t="str">
        <f aca="false">IF(A188="","",IF(OR(I188="Devolvida",N(H188)&gt;0),"Sim","Não"))</f>
        <v/>
      </c>
    </row>
    <row r="189" customFormat="false" ht="15" hidden="false" customHeight="false" outlineLevel="0" collapsed="false">
      <c r="A189" s="18"/>
      <c r="B189" s="18"/>
      <c r="C189" s="25"/>
      <c r="D189" s="25"/>
      <c r="E189" s="25"/>
      <c r="F189" s="18"/>
      <c r="G189" s="18"/>
      <c r="H189" s="18"/>
      <c r="I189" s="18"/>
      <c r="J189" s="13" t="str">
        <f aca="false">IF(OR(D189="",E189=""),"",E189-D189)</f>
        <v/>
      </c>
      <c r="K189" s="13" t="str">
        <f aca="false">IF(OR(C189="",D189=""),"",D189-C189)</f>
        <v/>
      </c>
      <c r="L189" s="13" t="str">
        <f aca="false">IF(A189="","",IF(OR(I189="Devolvida",N(H189)&gt;0),"Sim","Não"))</f>
        <v/>
      </c>
    </row>
    <row r="190" customFormat="false" ht="15" hidden="false" customHeight="false" outlineLevel="0" collapsed="false">
      <c r="A190" s="18"/>
      <c r="B190" s="18"/>
      <c r="C190" s="25"/>
      <c r="D190" s="25"/>
      <c r="E190" s="25"/>
      <c r="F190" s="18"/>
      <c r="G190" s="18"/>
      <c r="H190" s="18"/>
      <c r="I190" s="18"/>
      <c r="J190" s="13" t="str">
        <f aca="false">IF(OR(D190="",E190=""),"",E190-D190)</f>
        <v/>
      </c>
      <c r="K190" s="13" t="str">
        <f aca="false">IF(OR(C190="",D190=""),"",D190-C190)</f>
        <v/>
      </c>
      <c r="L190" s="13" t="str">
        <f aca="false">IF(A190="","",IF(OR(I190="Devolvida",N(H190)&gt;0),"Sim","Não"))</f>
        <v/>
      </c>
    </row>
    <row r="191" customFormat="false" ht="15" hidden="false" customHeight="false" outlineLevel="0" collapsed="false">
      <c r="A191" s="18"/>
      <c r="B191" s="18"/>
      <c r="C191" s="25"/>
      <c r="D191" s="25"/>
      <c r="E191" s="25"/>
      <c r="F191" s="18"/>
      <c r="G191" s="18"/>
      <c r="H191" s="18"/>
      <c r="I191" s="18"/>
      <c r="J191" s="13" t="str">
        <f aca="false">IF(OR(D191="",E191=""),"",E191-D191)</f>
        <v/>
      </c>
      <c r="K191" s="13" t="str">
        <f aca="false">IF(OR(C191="",D191=""),"",D191-C191)</f>
        <v/>
      </c>
      <c r="L191" s="13" t="str">
        <f aca="false">IF(A191="","",IF(OR(I191="Devolvida",N(H191)&gt;0),"Sim","Não"))</f>
        <v/>
      </c>
    </row>
    <row r="192" customFormat="false" ht="15" hidden="false" customHeight="false" outlineLevel="0" collapsed="false">
      <c r="A192" s="18"/>
      <c r="B192" s="18"/>
      <c r="C192" s="25"/>
      <c r="D192" s="25"/>
      <c r="E192" s="25"/>
      <c r="F192" s="18"/>
      <c r="G192" s="18"/>
      <c r="H192" s="18"/>
      <c r="I192" s="18"/>
      <c r="J192" s="13" t="str">
        <f aca="false">IF(OR(D192="",E192=""),"",E192-D192)</f>
        <v/>
      </c>
      <c r="K192" s="13" t="str">
        <f aca="false">IF(OR(C192="",D192=""),"",D192-C192)</f>
        <v/>
      </c>
      <c r="L192" s="13" t="str">
        <f aca="false">IF(A192="","",IF(OR(I192="Devolvida",N(H192)&gt;0),"Sim","Não"))</f>
        <v/>
      </c>
    </row>
    <row r="193" customFormat="false" ht="15" hidden="false" customHeight="false" outlineLevel="0" collapsed="false">
      <c r="A193" s="18"/>
      <c r="B193" s="18"/>
      <c r="C193" s="25"/>
      <c r="D193" s="25"/>
      <c r="E193" s="25"/>
      <c r="F193" s="18"/>
      <c r="G193" s="18"/>
      <c r="H193" s="18"/>
      <c r="I193" s="18"/>
      <c r="J193" s="13" t="str">
        <f aca="false">IF(OR(D193="",E193=""),"",E193-D193)</f>
        <v/>
      </c>
      <c r="K193" s="13" t="str">
        <f aca="false">IF(OR(C193="",D193=""),"",D193-C193)</f>
        <v/>
      </c>
      <c r="L193" s="13" t="str">
        <f aca="false">IF(A193="","",IF(OR(I193="Devolvida",N(H193)&gt;0),"Sim","Não"))</f>
        <v/>
      </c>
    </row>
    <row r="194" customFormat="false" ht="15" hidden="false" customHeight="false" outlineLevel="0" collapsed="false">
      <c r="A194" s="18"/>
      <c r="B194" s="18"/>
      <c r="C194" s="25"/>
      <c r="D194" s="25"/>
      <c r="E194" s="25"/>
      <c r="F194" s="18"/>
      <c r="G194" s="18"/>
      <c r="H194" s="18"/>
      <c r="I194" s="18"/>
      <c r="J194" s="13" t="str">
        <f aca="false">IF(OR(D194="",E194=""),"",E194-D194)</f>
        <v/>
      </c>
      <c r="K194" s="13" t="str">
        <f aca="false">IF(OR(C194="",D194=""),"",D194-C194)</f>
        <v/>
      </c>
      <c r="L194" s="13" t="str">
        <f aca="false">IF(A194="","",IF(OR(I194="Devolvida",N(H194)&gt;0),"Sim","Não"))</f>
        <v/>
      </c>
    </row>
    <row r="195" customFormat="false" ht="15" hidden="false" customHeight="false" outlineLevel="0" collapsed="false">
      <c r="A195" s="18"/>
      <c r="B195" s="18"/>
      <c r="C195" s="25"/>
      <c r="D195" s="25"/>
      <c r="E195" s="25"/>
      <c r="F195" s="18"/>
      <c r="G195" s="18"/>
      <c r="H195" s="18"/>
      <c r="I195" s="18"/>
      <c r="J195" s="13" t="str">
        <f aca="false">IF(OR(D195="",E195=""),"",E195-D195)</f>
        <v/>
      </c>
      <c r="K195" s="13" t="str">
        <f aca="false">IF(OR(C195="",D195=""),"",D195-C195)</f>
        <v/>
      </c>
      <c r="L195" s="13" t="str">
        <f aca="false">IF(A195="","",IF(OR(I195="Devolvida",N(H195)&gt;0),"Sim","Não"))</f>
        <v/>
      </c>
    </row>
    <row r="196" customFormat="false" ht="15" hidden="false" customHeight="false" outlineLevel="0" collapsed="false">
      <c r="A196" s="18"/>
      <c r="B196" s="18"/>
      <c r="C196" s="25"/>
      <c r="D196" s="25"/>
      <c r="E196" s="25"/>
      <c r="F196" s="18"/>
      <c r="G196" s="18"/>
      <c r="H196" s="18"/>
      <c r="I196" s="18"/>
      <c r="J196" s="13" t="str">
        <f aca="false">IF(OR(D196="",E196=""),"",E196-D196)</f>
        <v/>
      </c>
      <c r="K196" s="13" t="str">
        <f aca="false">IF(OR(C196="",D196=""),"",D196-C196)</f>
        <v/>
      </c>
      <c r="L196" s="13" t="str">
        <f aca="false">IF(A196="","",IF(OR(I196="Devolvida",N(H196)&gt;0),"Sim","Não"))</f>
        <v/>
      </c>
    </row>
    <row r="197" customFormat="false" ht="15" hidden="false" customHeight="false" outlineLevel="0" collapsed="false">
      <c r="A197" s="18"/>
      <c r="B197" s="18"/>
      <c r="C197" s="25"/>
      <c r="D197" s="25"/>
      <c r="E197" s="25"/>
      <c r="F197" s="18"/>
      <c r="G197" s="18"/>
      <c r="H197" s="18"/>
      <c r="I197" s="18"/>
      <c r="J197" s="13" t="str">
        <f aca="false">IF(OR(D197="",E197=""),"",E197-D197)</f>
        <v/>
      </c>
      <c r="K197" s="13" t="str">
        <f aca="false">IF(OR(C197="",D197=""),"",D197-C197)</f>
        <v/>
      </c>
      <c r="L197" s="13" t="str">
        <f aca="false">IF(A197="","",IF(OR(I197="Devolvida",N(H197)&gt;0),"Sim","Não"))</f>
        <v/>
      </c>
    </row>
    <row r="198" customFormat="false" ht="15" hidden="false" customHeight="false" outlineLevel="0" collapsed="false">
      <c r="A198" s="18"/>
      <c r="B198" s="18"/>
      <c r="C198" s="25"/>
      <c r="D198" s="25"/>
      <c r="E198" s="25"/>
      <c r="F198" s="18"/>
      <c r="G198" s="18"/>
      <c r="H198" s="18"/>
      <c r="I198" s="18"/>
      <c r="J198" s="13" t="str">
        <f aca="false">IF(OR(D198="",E198=""),"",E198-D198)</f>
        <v/>
      </c>
      <c r="K198" s="13" t="str">
        <f aca="false">IF(OR(C198="",D198=""),"",D198-C198)</f>
        <v/>
      </c>
      <c r="L198" s="13" t="str">
        <f aca="false">IF(A198="","",IF(OR(I198="Devolvida",N(H198)&gt;0),"Sim","Não"))</f>
        <v/>
      </c>
    </row>
    <row r="199" customFormat="false" ht="15" hidden="false" customHeight="false" outlineLevel="0" collapsed="false">
      <c r="A199" s="18"/>
      <c r="B199" s="18"/>
      <c r="C199" s="25"/>
      <c r="D199" s="25"/>
      <c r="E199" s="25"/>
      <c r="F199" s="18"/>
      <c r="G199" s="18"/>
      <c r="H199" s="18"/>
      <c r="I199" s="18"/>
      <c r="J199" s="13" t="str">
        <f aca="false">IF(OR(D199="",E199=""),"",E199-D199)</f>
        <v/>
      </c>
      <c r="K199" s="13" t="str">
        <f aca="false">IF(OR(C199="",D199=""),"",D199-C199)</f>
        <v/>
      </c>
      <c r="L199" s="13" t="str">
        <f aca="false">IF(A199="","",IF(OR(I199="Devolvida",N(H199)&gt;0),"Sim","Não"))</f>
        <v/>
      </c>
    </row>
    <row r="200" customFormat="false" ht="15" hidden="false" customHeight="false" outlineLevel="0" collapsed="false">
      <c r="A200" s="18"/>
      <c r="B200" s="18"/>
      <c r="C200" s="25"/>
      <c r="D200" s="25"/>
      <c r="E200" s="25"/>
      <c r="F200" s="18"/>
      <c r="G200" s="18"/>
      <c r="H200" s="18"/>
      <c r="I200" s="18"/>
      <c r="J200" s="13" t="str">
        <f aca="false">IF(OR(D200="",E200=""),"",E200-D200)</f>
        <v/>
      </c>
      <c r="K200" s="13" t="str">
        <f aca="false">IF(OR(C200="",D200=""),"",D200-C200)</f>
        <v/>
      </c>
      <c r="L200" s="13" t="str">
        <f aca="false">IF(A200="","",IF(OR(I200="Devolvida",N(H200)&gt;0),"Sim","Não"))</f>
        <v/>
      </c>
    </row>
    <row r="201" customFormat="false" ht="15" hidden="false" customHeight="false" outlineLevel="0" collapsed="false">
      <c r="A201" s="18"/>
      <c r="B201" s="18"/>
      <c r="C201" s="25"/>
      <c r="D201" s="25"/>
      <c r="E201" s="25"/>
      <c r="F201" s="18"/>
      <c r="G201" s="18"/>
      <c r="H201" s="18"/>
      <c r="I201" s="18"/>
      <c r="J201" s="13" t="str">
        <f aca="false">IF(OR(D201="",E201=""),"",E201-D201)</f>
        <v/>
      </c>
      <c r="K201" s="13" t="str">
        <f aca="false">IF(OR(C201="",D201=""),"",D201-C201)</f>
        <v/>
      </c>
      <c r="L201" s="13" t="str">
        <f aca="false">IF(A201="","",IF(OR(I201="Devolvida",N(H201)&gt;0),"Sim","Não"))</f>
        <v/>
      </c>
    </row>
    <row r="202" customFormat="false" ht="15" hidden="false" customHeight="false" outlineLevel="0" collapsed="false">
      <c r="A202" s="18"/>
      <c r="B202" s="18"/>
      <c r="C202" s="25"/>
      <c r="D202" s="25"/>
      <c r="E202" s="25"/>
      <c r="F202" s="18"/>
      <c r="G202" s="18"/>
      <c r="H202" s="18"/>
      <c r="I202" s="18"/>
      <c r="J202" s="13" t="str">
        <f aca="false">IF(OR(D202="",E202=""),"",E202-D202)</f>
        <v/>
      </c>
      <c r="K202" s="13" t="str">
        <f aca="false">IF(OR(C202="",D202=""),"",D202-C202)</f>
        <v/>
      </c>
      <c r="L202" s="13" t="str">
        <f aca="false">IF(A202="","",IF(OR(I202="Devolvida",N(H202)&gt;0),"Sim","Não"))</f>
        <v/>
      </c>
    </row>
    <row r="203" customFormat="false" ht="15" hidden="false" customHeight="false" outlineLevel="0" collapsed="false">
      <c r="A203" s="18"/>
      <c r="B203" s="18"/>
      <c r="C203" s="25"/>
      <c r="D203" s="25"/>
      <c r="E203" s="25"/>
      <c r="F203" s="18"/>
      <c r="G203" s="18"/>
      <c r="H203" s="18"/>
      <c r="I203" s="18"/>
      <c r="J203" s="13" t="str">
        <f aca="false">IF(OR(D203="",E203=""),"",E203-D203)</f>
        <v/>
      </c>
      <c r="K203" s="13" t="str">
        <f aca="false">IF(OR(C203="",D203=""),"",D203-C203)</f>
        <v/>
      </c>
      <c r="L203" s="13" t="str">
        <f aca="false">IF(A203="","",IF(OR(I203="Devolvida",N(H203)&gt;0),"Sim","Não"))</f>
        <v/>
      </c>
    </row>
    <row r="204" customFormat="false" ht="15" hidden="false" customHeight="false" outlineLevel="0" collapsed="false">
      <c r="A204" s="18"/>
      <c r="B204" s="18"/>
      <c r="C204" s="25"/>
      <c r="D204" s="25"/>
      <c r="E204" s="25"/>
      <c r="F204" s="18"/>
      <c r="G204" s="18"/>
      <c r="H204" s="18"/>
      <c r="I204" s="18"/>
      <c r="J204" s="13" t="str">
        <f aca="false">IF(OR(D204="",E204=""),"",E204-D204)</f>
        <v/>
      </c>
      <c r="K204" s="13" t="str">
        <f aca="false">IF(OR(C204="",D204=""),"",D204-C204)</f>
        <v/>
      </c>
      <c r="L204" s="13" t="str">
        <f aca="false">IF(A204="","",IF(OR(I204="Devolvida",N(H204)&gt;0),"Sim","Não"))</f>
        <v/>
      </c>
    </row>
    <row r="205" customFormat="false" ht="15" hidden="false" customHeight="false" outlineLevel="0" collapsed="false">
      <c r="A205" s="18"/>
      <c r="B205" s="18"/>
      <c r="C205" s="25"/>
      <c r="D205" s="25"/>
      <c r="E205" s="25"/>
      <c r="F205" s="18"/>
      <c r="G205" s="18"/>
      <c r="H205" s="18"/>
      <c r="I205" s="18"/>
      <c r="J205" s="13" t="str">
        <f aca="false">IF(OR(D205="",E205=""),"",E205-D205)</f>
        <v/>
      </c>
      <c r="K205" s="13" t="str">
        <f aca="false">IF(OR(C205="",D205=""),"",D205-C205)</f>
        <v/>
      </c>
      <c r="L205" s="13" t="str">
        <f aca="false">IF(A205="","",IF(OR(I205="Devolvida",N(H205)&gt;0),"Sim","Não"))</f>
        <v/>
      </c>
    </row>
    <row r="206" customFormat="false" ht="15" hidden="false" customHeight="false" outlineLevel="0" collapsed="false">
      <c r="A206" s="18"/>
      <c r="B206" s="18"/>
      <c r="C206" s="25"/>
      <c r="D206" s="25"/>
      <c r="E206" s="25"/>
      <c r="F206" s="18"/>
      <c r="G206" s="18"/>
      <c r="H206" s="18"/>
      <c r="I206" s="18"/>
      <c r="J206" s="13" t="str">
        <f aca="false">IF(OR(D206="",E206=""),"",E206-D206)</f>
        <v/>
      </c>
      <c r="K206" s="13" t="str">
        <f aca="false">IF(OR(C206="",D206=""),"",D206-C206)</f>
        <v/>
      </c>
      <c r="L206" s="13" t="str">
        <f aca="false">IF(A206="","",IF(OR(I206="Devolvida",N(H206)&gt;0),"Sim","Não"))</f>
        <v/>
      </c>
    </row>
    <row r="207" customFormat="false" ht="15" hidden="false" customHeight="false" outlineLevel="0" collapsed="false">
      <c r="A207" s="18"/>
      <c r="B207" s="18"/>
      <c r="C207" s="25"/>
      <c r="D207" s="25"/>
      <c r="E207" s="25"/>
      <c r="F207" s="18"/>
      <c r="G207" s="18"/>
      <c r="H207" s="18"/>
      <c r="I207" s="18"/>
      <c r="J207" s="13" t="str">
        <f aca="false">IF(OR(D207="",E207=""),"",E207-D207)</f>
        <v/>
      </c>
      <c r="K207" s="13" t="str">
        <f aca="false">IF(OR(C207="",D207=""),"",D207-C207)</f>
        <v/>
      </c>
      <c r="L207" s="13" t="str">
        <f aca="false">IF(A207="","",IF(OR(I207="Devolvida",N(H207)&gt;0),"Sim","Não"))</f>
        <v/>
      </c>
    </row>
    <row r="208" customFormat="false" ht="15" hidden="false" customHeight="false" outlineLevel="0" collapsed="false">
      <c r="A208" s="18"/>
      <c r="B208" s="18"/>
      <c r="C208" s="25"/>
      <c r="D208" s="25"/>
      <c r="E208" s="25"/>
      <c r="F208" s="18"/>
      <c r="G208" s="18"/>
      <c r="H208" s="18"/>
      <c r="I208" s="18"/>
      <c r="J208" s="13" t="str">
        <f aca="false">IF(OR(D208="",E208=""),"",E208-D208)</f>
        <v/>
      </c>
      <c r="K208" s="13" t="str">
        <f aca="false">IF(OR(C208="",D208=""),"",D208-C208)</f>
        <v/>
      </c>
      <c r="L208" s="13" t="str">
        <f aca="false">IF(A208="","",IF(OR(I208="Devolvida",N(H208)&gt;0),"Sim","Não"))</f>
        <v/>
      </c>
    </row>
    <row r="209" customFormat="false" ht="15" hidden="false" customHeight="false" outlineLevel="0" collapsed="false">
      <c r="A209" s="18"/>
      <c r="B209" s="18"/>
      <c r="C209" s="25"/>
      <c r="D209" s="25"/>
      <c r="E209" s="25"/>
      <c r="F209" s="18"/>
      <c r="G209" s="18"/>
      <c r="H209" s="18"/>
      <c r="I209" s="18"/>
      <c r="J209" s="13" t="str">
        <f aca="false">IF(OR(D209="",E209=""),"",E209-D209)</f>
        <v/>
      </c>
      <c r="K209" s="13" t="str">
        <f aca="false">IF(OR(C209="",D209=""),"",D209-C209)</f>
        <v/>
      </c>
      <c r="L209" s="13" t="str">
        <f aca="false">IF(A209="","",IF(OR(I209="Devolvida",N(H209)&gt;0),"Sim","Não"))</f>
        <v/>
      </c>
    </row>
    <row r="210" customFormat="false" ht="15" hidden="false" customHeight="false" outlineLevel="0" collapsed="false">
      <c r="A210" s="18"/>
      <c r="B210" s="18"/>
      <c r="C210" s="25"/>
      <c r="D210" s="25"/>
      <c r="E210" s="25"/>
      <c r="F210" s="18"/>
      <c r="G210" s="18"/>
      <c r="H210" s="18"/>
      <c r="I210" s="18"/>
      <c r="J210" s="13" t="str">
        <f aca="false">IF(OR(D210="",E210=""),"",E210-D210)</f>
        <v/>
      </c>
      <c r="K210" s="13" t="str">
        <f aca="false">IF(OR(C210="",D210=""),"",D210-C210)</f>
        <v/>
      </c>
      <c r="L210" s="13" t="str">
        <f aca="false">IF(A210="","",IF(OR(I210="Devolvida",N(H210)&gt;0),"Sim","Não"))</f>
        <v/>
      </c>
    </row>
    <row r="211" customFormat="false" ht="15" hidden="false" customHeight="false" outlineLevel="0" collapsed="false">
      <c r="A211" s="18"/>
      <c r="B211" s="18"/>
      <c r="C211" s="25"/>
      <c r="D211" s="25"/>
      <c r="E211" s="25"/>
      <c r="F211" s="18"/>
      <c r="G211" s="18"/>
      <c r="H211" s="18"/>
      <c r="I211" s="18"/>
      <c r="J211" s="13" t="str">
        <f aca="false">IF(OR(D211="",E211=""),"",E211-D211)</f>
        <v/>
      </c>
      <c r="K211" s="13" t="str">
        <f aca="false">IF(OR(C211="",D211=""),"",D211-C211)</f>
        <v/>
      </c>
      <c r="L211" s="13" t="str">
        <f aca="false">IF(A211="","",IF(OR(I211="Devolvida",N(H211)&gt;0),"Sim","Não"))</f>
        <v/>
      </c>
    </row>
    <row r="212" customFormat="false" ht="15" hidden="false" customHeight="false" outlineLevel="0" collapsed="false">
      <c r="A212" s="18"/>
      <c r="B212" s="18"/>
      <c r="C212" s="25"/>
      <c r="D212" s="25"/>
      <c r="E212" s="25"/>
      <c r="F212" s="18"/>
      <c r="G212" s="18"/>
      <c r="H212" s="18"/>
      <c r="I212" s="18"/>
      <c r="J212" s="13" t="str">
        <f aca="false">IF(OR(D212="",E212=""),"",E212-D212)</f>
        <v/>
      </c>
      <c r="K212" s="13" t="str">
        <f aca="false">IF(OR(C212="",D212=""),"",D212-C212)</f>
        <v/>
      </c>
      <c r="L212" s="13" t="str">
        <f aca="false">IF(A212="","",IF(OR(I212="Devolvida",N(H212)&gt;0),"Sim","Não"))</f>
        <v/>
      </c>
    </row>
    <row r="213" customFormat="false" ht="15" hidden="false" customHeight="false" outlineLevel="0" collapsed="false">
      <c r="A213" s="18"/>
      <c r="B213" s="18"/>
      <c r="C213" s="25"/>
      <c r="D213" s="25"/>
      <c r="E213" s="25"/>
      <c r="F213" s="18"/>
      <c r="G213" s="18"/>
      <c r="H213" s="18"/>
      <c r="I213" s="18"/>
      <c r="J213" s="13" t="str">
        <f aca="false">IF(OR(D213="",E213=""),"",E213-D213)</f>
        <v/>
      </c>
      <c r="K213" s="13" t="str">
        <f aca="false">IF(OR(C213="",D213=""),"",D213-C213)</f>
        <v/>
      </c>
      <c r="L213" s="13" t="str">
        <f aca="false">IF(A213="","",IF(OR(I213="Devolvida",N(H213)&gt;0),"Sim","Não"))</f>
        <v/>
      </c>
    </row>
    <row r="214" customFormat="false" ht="15" hidden="false" customHeight="false" outlineLevel="0" collapsed="false">
      <c r="A214" s="18"/>
      <c r="B214" s="18"/>
      <c r="C214" s="25"/>
      <c r="D214" s="25"/>
      <c r="E214" s="25"/>
      <c r="F214" s="18"/>
      <c r="G214" s="18"/>
      <c r="H214" s="18"/>
      <c r="I214" s="18"/>
      <c r="J214" s="13" t="str">
        <f aca="false">IF(OR(D214="",E214=""),"",E214-D214)</f>
        <v/>
      </c>
      <c r="K214" s="13" t="str">
        <f aca="false">IF(OR(C214="",D214=""),"",D214-C214)</f>
        <v/>
      </c>
      <c r="L214" s="13" t="str">
        <f aca="false">IF(A214="","",IF(OR(I214="Devolvida",N(H214)&gt;0),"Sim","Não"))</f>
        <v/>
      </c>
    </row>
    <row r="215" customFormat="false" ht="15" hidden="false" customHeight="false" outlineLevel="0" collapsed="false">
      <c r="A215" s="18"/>
      <c r="B215" s="18"/>
      <c r="C215" s="25"/>
      <c r="D215" s="25"/>
      <c r="E215" s="25"/>
      <c r="F215" s="18"/>
      <c r="G215" s="18"/>
      <c r="H215" s="18"/>
      <c r="I215" s="18"/>
      <c r="J215" s="13" t="str">
        <f aca="false">IF(OR(D215="",E215=""),"",E215-D215)</f>
        <v/>
      </c>
      <c r="K215" s="13" t="str">
        <f aca="false">IF(OR(C215="",D215=""),"",D215-C215)</f>
        <v/>
      </c>
      <c r="L215" s="13" t="str">
        <f aca="false">IF(A215="","",IF(OR(I215="Devolvida",N(H215)&gt;0),"Sim","Não"))</f>
        <v/>
      </c>
    </row>
    <row r="216" customFormat="false" ht="15" hidden="false" customHeight="false" outlineLevel="0" collapsed="false">
      <c r="A216" s="18"/>
      <c r="B216" s="18"/>
      <c r="C216" s="25"/>
      <c r="D216" s="25"/>
      <c r="E216" s="25"/>
      <c r="F216" s="18"/>
      <c r="G216" s="18"/>
      <c r="H216" s="18"/>
      <c r="I216" s="18"/>
      <c r="J216" s="13" t="str">
        <f aca="false">IF(OR(D216="",E216=""),"",E216-D216)</f>
        <v/>
      </c>
      <c r="K216" s="13" t="str">
        <f aca="false">IF(OR(C216="",D216=""),"",D216-C216)</f>
        <v/>
      </c>
      <c r="L216" s="13" t="str">
        <f aca="false">IF(A216="","",IF(OR(I216="Devolvida",N(H216)&gt;0),"Sim","Não"))</f>
        <v/>
      </c>
    </row>
    <row r="217" customFormat="false" ht="15" hidden="false" customHeight="false" outlineLevel="0" collapsed="false">
      <c r="A217" s="18"/>
      <c r="B217" s="18"/>
      <c r="C217" s="25"/>
      <c r="D217" s="25"/>
      <c r="E217" s="25"/>
      <c r="F217" s="18"/>
      <c r="G217" s="18"/>
      <c r="H217" s="18"/>
      <c r="I217" s="18"/>
      <c r="J217" s="13" t="str">
        <f aca="false">IF(OR(D217="",E217=""),"",E217-D217)</f>
        <v/>
      </c>
      <c r="K217" s="13" t="str">
        <f aca="false">IF(OR(C217="",D217=""),"",D217-C217)</f>
        <v/>
      </c>
      <c r="L217" s="13" t="str">
        <f aca="false">IF(A217="","",IF(OR(I217="Devolvida",N(H217)&gt;0),"Sim","Não"))</f>
        <v/>
      </c>
    </row>
    <row r="218" customFormat="false" ht="15" hidden="false" customHeight="false" outlineLevel="0" collapsed="false">
      <c r="A218" s="18"/>
      <c r="B218" s="18"/>
      <c r="C218" s="25"/>
      <c r="D218" s="25"/>
      <c r="E218" s="25"/>
      <c r="F218" s="18"/>
      <c r="G218" s="18"/>
      <c r="H218" s="18"/>
      <c r="I218" s="18"/>
      <c r="J218" s="13" t="str">
        <f aca="false">IF(OR(D218="",E218=""),"",E218-D218)</f>
        <v/>
      </c>
      <c r="K218" s="13" t="str">
        <f aca="false">IF(OR(C218="",D218=""),"",D218-C218)</f>
        <v/>
      </c>
      <c r="L218" s="13" t="str">
        <f aca="false">IF(A218="","",IF(OR(I218="Devolvida",N(H218)&gt;0),"Sim","Não"))</f>
        <v/>
      </c>
    </row>
    <row r="219" customFormat="false" ht="15" hidden="false" customHeight="false" outlineLevel="0" collapsed="false">
      <c r="A219" s="18"/>
      <c r="B219" s="18"/>
      <c r="C219" s="25"/>
      <c r="D219" s="25"/>
      <c r="E219" s="25"/>
      <c r="F219" s="18"/>
      <c r="G219" s="18"/>
      <c r="H219" s="18"/>
      <c r="I219" s="18"/>
      <c r="J219" s="13" t="str">
        <f aca="false">IF(OR(D219="",E219=""),"",E219-D219)</f>
        <v/>
      </c>
      <c r="K219" s="13" t="str">
        <f aca="false">IF(OR(C219="",D219=""),"",D219-C219)</f>
        <v/>
      </c>
      <c r="L219" s="13" t="str">
        <f aca="false">IF(A219="","",IF(OR(I219="Devolvida",N(H219)&gt;0),"Sim","Não"))</f>
        <v/>
      </c>
    </row>
    <row r="220" customFormat="false" ht="15" hidden="false" customHeight="false" outlineLevel="0" collapsed="false">
      <c r="A220" s="18"/>
      <c r="B220" s="18"/>
      <c r="C220" s="25"/>
      <c r="D220" s="25"/>
      <c r="E220" s="25"/>
      <c r="F220" s="18"/>
      <c r="G220" s="18"/>
      <c r="H220" s="18"/>
      <c r="I220" s="18"/>
      <c r="J220" s="13" t="str">
        <f aca="false">IF(OR(D220="",E220=""),"",E220-D220)</f>
        <v/>
      </c>
      <c r="K220" s="13" t="str">
        <f aca="false">IF(OR(C220="",D220=""),"",D220-C220)</f>
        <v/>
      </c>
      <c r="L220" s="13" t="str">
        <f aca="false">IF(A220="","",IF(OR(I220="Devolvida",N(H220)&gt;0),"Sim","Não"))</f>
        <v/>
      </c>
    </row>
    <row r="221" customFormat="false" ht="15" hidden="false" customHeight="false" outlineLevel="0" collapsed="false">
      <c r="A221" s="18"/>
      <c r="B221" s="18"/>
      <c r="C221" s="25"/>
      <c r="D221" s="25"/>
      <c r="E221" s="25"/>
      <c r="F221" s="18"/>
      <c r="G221" s="18"/>
      <c r="H221" s="18"/>
      <c r="I221" s="18"/>
      <c r="J221" s="13" t="str">
        <f aca="false">IF(OR(D221="",E221=""),"",E221-D221)</f>
        <v/>
      </c>
      <c r="K221" s="13" t="str">
        <f aca="false">IF(OR(C221="",D221=""),"",D221-C221)</f>
        <v/>
      </c>
      <c r="L221" s="13" t="str">
        <f aca="false">IF(A221="","",IF(OR(I221="Devolvida",N(H221)&gt;0),"Sim","Não"))</f>
        <v/>
      </c>
    </row>
    <row r="222" customFormat="false" ht="15" hidden="false" customHeight="false" outlineLevel="0" collapsed="false">
      <c r="A222" s="18"/>
      <c r="B222" s="18"/>
      <c r="C222" s="25"/>
      <c r="D222" s="25"/>
      <c r="E222" s="25"/>
      <c r="F222" s="18"/>
      <c r="G222" s="18"/>
      <c r="H222" s="18"/>
      <c r="I222" s="18"/>
      <c r="J222" s="13" t="str">
        <f aca="false">IF(OR(D222="",E222=""),"",E222-D222)</f>
        <v/>
      </c>
      <c r="K222" s="13" t="str">
        <f aca="false">IF(OR(C222="",D222=""),"",D222-C222)</f>
        <v/>
      </c>
      <c r="L222" s="13" t="str">
        <f aca="false">IF(A222="","",IF(OR(I222="Devolvida",N(H222)&gt;0),"Sim","Não"))</f>
        <v/>
      </c>
    </row>
    <row r="223" customFormat="false" ht="15" hidden="false" customHeight="false" outlineLevel="0" collapsed="false">
      <c r="A223" s="18"/>
      <c r="B223" s="18"/>
      <c r="C223" s="25"/>
      <c r="D223" s="25"/>
      <c r="E223" s="25"/>
      <c r="F223" s="18"/>
      <c r="G223" s="18"/>
      <c r="H223" s="18"/>
      <c r="I223" s="18"/>
      <c r="J223" s="13" t="str">
        <f aca="false">IF(OR(D223="",E223=""),"",E223-D223)</f>
        <v/>
      </c>
      <c r="K223" s="13" t="str">
        <f aca="false">IF(OR(C223="",D223=""),"",D223-C223)</f>
        <v/>
      </c>
      <c r="L223" s="13" t="str">
        <f aca="false">IF(A223="","",IF(OR(I223="Devolvida",N(H223)&gt;0),"Sim","Não"))</f>
        <v/>
      </c>
    </row>
    <row r="224" customFormat="false" ht="15" hidden="false" customHeight="false" outlineLevel="0" collapsed="false">
      <c r="A224" s="18"/>
      <c r="B224" s="18"/>
      <c r="C224" s="25"/>
      <c r="D224" s="25"/>
      <c r="E224" s="25"/>
      <c r="F224" s="18"/>
      <c r="G224" s="18"/>
      <c r="H224" s="18"/>
      <c r="I224" s="18"/>
      <c r="J224" s="13" t="str">
        <f aca="false">IF(OR(D224="",E224=""),"",E224-D224)</f>
        <v/>
      </c>
      <c r="K224" s="13" t="str">
        <f aca="false">IF(OR(C224="",D224=""),"",D224-C224)</f>
        <v/>
      </c>
      <c r="L224" s="13" t="str">
        <f aca="false">IF(A224="","",IF(OR(I224="Devolvida",N(H224)&gt;0),"Sim","Não"))</f>
        <v/>
      </c>
    </row>
    <row r="225" customFormat="false" ht="15" hidden="false" customHeight="false" outlineLevel="0" collapsed="false">
      <c r="A225" s="18"/>
      <c r="B225" s="18"/>
      <c r="C225" s="25"/>
      <c r="D225" s="25"/>
      <c r="E225" s="25"/>
      <c r="F225" s="18"/>
      <c r="G225" s="18"/>
      <c r="H225" s="18"/>
      <c r="I225" s="18"/>
      <c r="J225" s="13" t="str">
        <f aca="false">IF(OR(D225="",E225=""),"",E225-D225)</f>
        <v/>
      </c>
      <c r="K225" s="13" t="str">
        <f aca="false">IF(OR(C225="",D225=""),"",D225-C225)</f>
        <v/>
      </c>
      <c r="L225" s="13" t="str">
        <f aca="false">IF(A225="","",IF(OR(I225="Devolvida",N(H225)&gt;0),"Sim","Não"))</f>
        <v/>
      </c>
    </row>
    <row r="226" customFormat="false" ht="15" hidden="false" customHeight="false" outlineLevel="0" collapsed="false">
      <c r="A226" s="18"/>
      <c r="B226" s="18"/>
      <c r="C226" s="25"/>
      <c r="D226" s="25"/>
      <c r="E226" s="25"/>
      <c r="F226" s="18"/>
      <c r="G226" s="18"/>
      <c r="H226" s="18"/>
      <c r="I226" s="18"/>
      <c r="J226" s="13" t="str">
        <f aca="false">IF(OR(D226="",E226=""),"",E226-D226)</f>
        <v/>
      </c>
      <c r="K226" s="13" t="str">
        <f aca="false">IF(OR(C226="",D226=""),"",D226-C226)</f>
        <v/>
      </c>
      <c r="L226" s="13" t="str">
        <f aca="false">IF(A226="","",IF(OR(I226="Devolvida",N(H226)&gt;0),"Sim","Não"))</f>
        <v/>
      </c>
    </row>
    <row r="227" customFormat="false" ht="15" hidden="false" customHeight="false" outlineLevel="0" collapsed="false">
      <c r="A227" s="18"/>
      <c r="B227" s="18"/>
      <c r="C227" s="25"/>
      <c r="D227" s="25"/>
      <c r="E227" s="25"/>
      <c r="F227" s="18"/>
      <c r="G227" s="18"/>
      <c r="H227" s="18"/>
      <c r="I227" s="18"/>
      <c r="J227" s="13" t="str">
        <f aca="false">IF(OR(D227="",E227=""),"",E227-D227)</f>
        <v/>
      </c>
      <c r="K227" s="13" t="str">
        <f aca="false">IF(OR(C227="",D227=""),"",D227-C227)</f>
        <v/>
      </c>
      <c r="L227" s="13" t="str">
        <f aca="false">IF(A227="","",IF(OR(I227="Devolvida",N(H227)&gt;0),"Sim","Não"))</f>
        <v/>
      </c>
    </row>
    <row r="228" customFormat="false" ht="15" hidden="false" customHeight="false" outlineLevel="0" collapsed="false">
      <c r="A228" s="18"/>
      <c r="B228" s="18"/>
      <c r="C228" s="25"/>
      <c r="D228" s="25"/>
      <c r="E228" s="25"/>
      <c r="F228" s="18"/>
      <c r="G228" s="18"/>
      <c r="H228" s="18"/>
      <c r="I228" s="18"/>
      <c r="J228" s="13" t="str">
        <f aca="false">IF(OR(D228="",E228=""),"",E228-D228)</f>
        <v/>
      </c>
      <c r="K228" s="13" t="str">
        <f aca="false">IF(OR(C228="",D228=""),"",D228-C228)</f>
        <v/>
      </c>
      <c r="L228" s="13" t="str">
        <f aca="false">IF(A228="","",IF(OR(I228="Devolvida",N(H228)&gt;0),"Sim","Não"))</f>
        <v/>
      </c>
    </row>
    <row r="229" customFormat="false" ht="15" hidden="false" customHeight="false" outlineLevel="0" collapsed="false">
      <c r="A229" s="18"/>
      <c r="B229" s="18"/>
      <c r="C229" s="25"/>
      <c r="D229" s="25"/>
      <c r="E229" s="25"/>
      <c r="F229" s="18"/>
      <c r="G229" s="18"/>
      <c r="H229" s="18"/>
      <c r="I229" s="18"/>
      <c r="J229" s="13" t="str">
        <f aca="false">IF(OR(D229="",E229=""),"",E229-D229)</f>
        <v/>
      </c>
      <c r="K229" s="13" t="str">
        <f aca="false">IF(OR(C229="",D229=""),"",D229-C229)</f>
        <v/>
      </c>
      <c r="L229" s="13" t="str">
        <f aca="false">IF(A229="","",IF(OR(I229="Devolvida",N(H229)&gt;0),"Sim","Não"))</f>
        <v/>
      </c>
    </row>
    <row r="230" customFormat="false" ht="15" hidden="false" customHeight="false" outlineLevel="0" collapsed="false">
      <c r="A230" s="18"/>
      <c r="B230" s="18"/>
      <c r="C230" s="25"/>
      <c r="D230" s="25"/>
      <c r="E230" s="25"/>
      <c r="F230" s="18"/>
      <c r="G230" s="18"/>
      <c r="H230" s="18"/>
      <c r="I230" s="18"/>
      <c r="J230" s="13" t="str">
        <f aca="false">IF(OR(D230="",E230=""),"",E230-D230)</f>
        <v/>
      </c>
      <c r="K230" s="13" t="str">
        <f aca="false">IF(OR(C230="",D230=""),"",D230-C230)</f>
        <v/>
      </c>
      <c r="L230" s="13" t="str">
        <f aca="false">IF(A230="","",IF(OR(I230="Devolvida",N(H230)&gt;0),"Sim","Não"))</f>
        <v/>
      </c>
    </row>
    <row r="231" customFormat="false" ht="15" hidden="false" customHeight="false" outlineLevel="0" collapsed="false">
      <c r="A231" s="18"/>
      <c r="B231" s="18"/>
      <c r="C231" s="25"/>
      <c r="D231" s="25"/>
      <c r="E231" s="25"/>
      <c r="F231" s="18"/>
      <c r="G231" s="18"/>
      <c r="H231" s="18"/>
      <c r="I231" s="18"/>
      <c r="J231" s="13" t="str">
        <f aca="false">IF(OR(D231="",E231=""),"",E231-D231)</f>
        <v/>
      </c>
      <c r="K231" s="13" t="str">
        <f aca="false">IF(OR(C231="",D231=""),"",D231-C231)</f>
        <v/>
      </c>
      <c r="L231" s="13" t="str">
        <f aca="false">IF(A231="","",IF(OR(I231="Devolvida",N(H231)&gt;0),"Sim","Não"))</f>
        <v/>
      </c>
    </row>
    <row r="232" customFormat="false" ht="15" hidden="false" customHeight="false" outlineLevel="0" collapsed="false">
      <c r="A232" s="18"/>
      <c r="B232" s="18"/>
      <c r="C232" s="25"/>
      <c r="D232" s="25"/>
      <c r="E232" s="25"/>
      <c r="F232" s="18"/>
      <c r="G232" s="18"/>
      <c r="H232" s="18"/>
      <c r="I232" s="18"/>
      <c r="J232" s="13" t="str">
        <f aca="false">IF(OR(D232="",E232=""),"",E232-D232)</f>
        <v/>
      </c>
      <c r="K232" s="13" t="str">
        <f aca="false">IF(OR(C232="",D232=""),"",D232-C232)</f>
        <v/>
      </c>
      <c r="L232" s="13" t="str">
        <f aca="false">IF(A232="","",IF(OR(I232="Devolvida",N(H232)&gt;0),"Sim","Não"))</f>
        <v/>
      </c>
    </row>
    <row r="233" customFormat="false" ht="15" hidden="false" customHeight="false" outlineLevel="0" collapsed="false">
      <c r="A233" s="18"/>
      <c r="B233" s="18"/>
      <c r="C233" s="25"/>
      <c r="D233" s="25"/>
      <c r="E233" s="25"/>
      <c r="F233" s="18"/>
      <c r="G233" s="18"/>
      <c r="H233" s="18"/>
      <c r="I233" s="18"/>
      <c r="J233" s="13" t="str">
        <f aca="false">IF(OR(D233="",E233=""),"",E233-D233)</f>
        <v/>
      </c>
      <c r="K233" s="13" t="str">
        <f aca="false">IF(OR(C233="",D233=""),"",D233-C233)</f>
        <v/>
      </c>
      <c r="L233" s="13" t="str">
        <f aca="false">IF(A233="","",IF(OR(I233="Devolvida",N(H233)&gt;0),"Sim","Não"))</f>
        <v/>
      </c>
    </row>
    <row r="234" customFormat="false" ht="15" hidden="false" customHeight="false" outlineLevel="0" collapsed="false">
      <c r="A234" s="18"/>
      <c r="B234" s="18"/>
      <c r="C234" s="25"/>
      <c r="D234" s="25"/>
      <c r="E234" s="25"/>
      <c r="F234" s="18"/>
      <c r="G234" s="18"/>
      <c r="H234" s="18"/>
      <c r="I234" s="18"/>
      <c r="J234" s="13" t="str">
        <f aca="false">IF(OR(D234="",E234=""),"",E234-D234)</f>
        <v/>
      </c>
      <c r="K234" s="13" t="str">
        <f aca="false">IF(OR(C234="",D234=""),"",D234-C234)</f>
        <v/>
      </c>
      <c r="L234" s="13" t="str">
        <f aca="false">IF(A234="","",IF(OR(I234="Devolvida",N(H234)&gt;0),"Sim","Não"))</f>
        <v/>
      </c>
    </row>
    <row r="235" customFormat="false" ht="15" hidden="false" customHeight="false" outlineLevel="0" collapsed="false">
      <c r="A235" s="18"/>
      <c r="B235" s="18"/>
      <c r="C235" s="25"/>
      <c r="D235" s="25"/>
      <c r="E235" s="25"/>
      <c r="F235" s="18"/>
      <c r="G235" s="18"/>
      <c r="H235" s="18"/>
      <c r="I235" s="18"/>
      <c r="J235" s="13" t="str">
        <f aca="false">IF(OR(D235="",E235=""),"",E235-D235)</f>
        <v/>
      </c>
      <c r="K235" s="13" t="str">
        <f aca="false">IF(OR(C235="",D235=""),"",D235-C235)</f>
        <v/>
      </c>
      <c r="L235" s="13" t="str">
        <f aca="false">IF(A235="","",IF(OR(I235="Devolvida",N(H235)&gt;0),"Sim","Não"))</f>
        <v/>
      </c>
    </row>
    <row r="236" customFormat="false" ht="15" hidden="false" customHeight="false" outlineLevel="0" collapsed="false">
      <c r="A236" s="18"/>
      <c r="B236" s="18"/>
      <c r="C236" s="25"/>
      <c r="D236" s="25"/>
      <c r="E236" s="25"/>
      <c r="F236" s="18"/>
      <c r="G236" s="18"/>
      <c r="H236" s="18"/>
      <c r="I236" s="18"/>
      <c r="J236" s="13" t="str">
        <f aca="false">IF(OR(D236="",E236=""),"",E236-D236)</f>
        <v/>
      </c>
      <c r="K236" s="13" t="str">
        <f aca="false">IF(OR(C236="",D236=""),"",D236-C236)</f>
        <v/>
      </c>
      <c r="L236" s="13" t="str">
        <f aca="false">IF(A236="","",IF(OR(I236="Devolvida",N(H236)&gt;0),"Sim","Não"))</f>
        <v/>
      </c>
    </row>
    <row r="237" customFormat="false" ht="15" hidden="false" customHeight="false" outlineLevel="0" collapsed="false">
      <c r="A237" s="18"/>
      <c r="B237" s="18"/>
      <c r="C237" s="25"/>
      <c r="D237" s="25"/>
      <c r="E237" s="25"/>
      <c r="F237" s="18"/>
      <c r="G237" s="18"/>
      <c r="H237" s="18"/>
      <c r="I237" s="18"/>
      <c r="J237" s="13" t="str">
        <f aca="false">IF(OR(D237="",E237=""),"",E237-D237)</f>
        <v/>
      </c>
      <c r="K237" s="13" t="str">
        <f aca="false">IF(OR(C237="",D237=""),"",D237-C237)</f>
        <v/>
      </c>
      <c r="L237" s="13" t="str">
        <f aca="false">IF(A237="","",IF(OR(I237="Devolvida",N(H237)&gt;0),"Sim","Não"))</f>
        <v/>
      </c>
    </row>
    <row r="238" customFormat="false" ht="15" hidden="false" customHeight="false" outlineLevel="0" collapsed="false">
      <c r="A238" s="18"/>
      <c r="B238" s="18"/>
      <c r="C238" s="25"/>
      <c r="D238" s="25"/>
      <c r="E238" s="25"/>
      <c r="F238" s="18"/>
      <c r="G238" s="18"/>
      <c r="H238" s="18"/>
      <c r="I238" s="18"/>
      <c r="J238" s="13" t="str">
        <f aca="false">IF(OR(D238="",E238=""),"",E238-D238)</f>
        <v/>
      </c>
      <c r="K238" s="13" t="str">
        <f aca="false">IF(OR(C238="",D238=""),"",D238-C238)</f>
        <v/>
      </c>
      <c r="L238" s="13" t="str">
        <f aca="false">IF(A238="","",IF(OR(I238="Devolvida",N(H238)&gt;0),"Sim","Não"))</f>
        <v/>
      </c>
    </row>
    <row r="239" customFormat="false" ht="15" hidden="false" customHeight="false" outlineLevel="0" collapsed="false">
      <c r="A239" s="18"/>
      <c r="B239" s="18"/>
      <c r="C239" s="25"/>
      <c r="D239" s="25"/>
      <c r="E239" s="25"/>
      <c r="F239" s="18"/>
      <c r="G239" s="18"/>
      <c r="H239" s="18"/>
      <c r="I239" s="18"/>
      <c r="J239" s="13" t="str">
        <f aca="false">IF(OR(D239="",E239=""),"",E239-D239)</f>
        <v/>
      </c>
      <c r="K239" s="13" t="str">
        <f aca="false">IF(OR(C239="",D239=""),"",D239-C239)</f>
        <v/>
      </c>
      <c r="L239" s="13" t="str">
        <f aca="false">IF(A239="","",IF(OR(I239="Devolvida",N(H239)&gt;0),"Sim","Não"))</f>
        <v/>
      </c>
    </row>
    <row r="240" customFormat="false" ht="15" hidden="false" customHeight="false" outlineLevel="0" collapsed="false">
      <c r="A240" s="18"/>
      <c r="B240" s="18"/>
      <c r="C240" s="25"/>
      <c r="D240" s="25"/>
      <c r="E240" s="25"/>
      <c r="F240" s="18"/>
      <c r="G240" s="18"/>
      <c r="H240" s="18"/>
      <c r="I240" s="18"/>
      <c r="J240" s="13" t="str">
        <f aca="false">IF(OR(D240="",E240=""),"",E240-D240)</f>
        <v/>
      </c>
      <c r="K240" s="13" t="str">
        <f aca="false">IF(OR(C240="",D240=""),"",D240-C240)</f>
        <v/>
      </c>
      <c r="L240" s="13" t="str">
        <f aca="false">IF(A240="","",IF(OR(I240="Devolvida",N(H240)&gt;0),"Sim","Não"))</f>
        <v/>
      </c>
    </row>
    <row r="241" customFormat="false" ht="15" hidden="false" customHeight="false" outlineLevel="0" collapsed="false">
      <c r="A241" s="18"/>
      <c r="B241" s="18"/>
      <c r="C241" s="25"/>
      <c r="D241" s="25"/>
      <c r="E241" s="25"/>
      <c r="F241" s="18"/>
      <c r="G241" s="18"/>
      <c r="H241" s="18"/>
      <c r="I241" s="18"/>
      <c r="J241" s="13" t="str">
        <f aca="false">IF(OR(D241="",E241=""),"",E241-D241)</f>
        <v/>
      </c>
      <c r="K241" s="13" t="str">
        <f aca="false">IF(OR(C241="",D241=""),"",D241-C241)</f>
        <v/>
      </c>
      <c r="L241" s="13" t="str">
        <f aca="false">IF(A241="","",IF(OR(I241="Devolvida",N(H241)&gt;0),"Sim","Não"))</f>
        <v/>
      </c>
    </row>
    <row r="242" customFormat="false" ht="15" hidden="false" customHeight="false" outlineLevel="0" collapsed="false">
      <c r="A242" s="18"/>
      <c r="B242" s="18"/>
      <c r="C242" s="25"/>
      <c r="D242" s="25"/>
      <c r="E242" s="25"/>
      <c r="F242" s="18"/>
      <c r="G242" s="18"/>
      <c r="H242" s="18"/>
      <c r="I242" s="18"/>
      <c r="J242" s="13" t="str">
        <f aca="false">IF(OR(D242="",E242=""),"",E242-D242)</f>
        <v/>
      </c>
      <c r="K242" s="13" t="str">
        <f aca="false">IF(OR(C242="",D242=""),"",D242-C242)</f>
        <v/>
      </c>
      <c r="L242" s="13" t="str">
        <f aca="false">IF(A242="","",IF(OR(I242="Devolvida",N(H242)&gt;0),"Sim","Não"))</f>
        <v/>
      </c>
    </row>
    <row r="243" customFormat="false" ht="15" hidden="false" customHeight="false" outlineLevel="0" collapsed="false">
      <c r="A243" s="18"/>
      <c r="B243" s="18"/>
      <c r="C243" s="25"/>
      <c r="D243" s="25"/>
      <c r="E243" s="25"/>
      <c r="F243" s="18"/>
      <c r="G243" s="18"/>
      <c r="H243" s="18"/>
      <c r="I243" s="18"/>
      <c r="J243" s="13" t="str">
        <f aca="false">IF(OR(D243="",E243=""),"",E243-D243)</f>
        <v/>
      </c>
      <c r="K243" s="13" t="str">
        <f aca="false">IF(OR(C243="",D243=""),"",D243-C243)</f>
        <v/>
      </c>
      <c r="L243" s="13" t="str">
        <f aca="false">IF(A243="","",IF(OR(I243="Devolvida",N(H243)&gt;0),"Sim","Não"))</f>
        <v/>
      </c>
    </row>
    <row r="244" customFormat="false" ht="15" hidden="false" customHeight="false" outlineLevel="0" collapsed="false">
      <c r="A244" s="18"/>
      <c r="B244" s="18"/>
      <c r="C244" s="25"/>
      <c r="D244" s="25"/>
      <c r="E244" s="25"/>
      <c r="F244" s="18"/>
      <c r="G244" s="18"/>
      <c r="H244" s="18"/>
      <c r="I244" s="18"/>
      <c r="J244" s="13" t="str">
        <f aca="false">IF(OR(D244="",E244=""),"",E244-D244)</f>
        <v/>
      </c>
      <c r="K244" s="13" t="str">
        <f aca="false">IF(OR(C244="",D244=""),"",D244-C244)</f>
        <v/>
      </c>
      <c r="L244" s="13" t="str">
        <f aca="false">IF(A244="","",IF(OR(I244="Devolvida",N(H244)&gt;0),"Sim","Não"))</f>
        <v/>
      </c>
    </row>
    <row r="245" customFormat="false" ht="15" hidden="false" customHeight="false" outlineLevel="0" collapsed="false">
      <c r="A245" s="18"/>
      <c r="B245" s="18"/>
      <c r="C245" s="25"/>
      <c r="D245" s="25"/>
      <c r="E245" s="25"/>
      <c r="F245" s="18"/>
      <c r="G245" s="18"/>
      <c r="H245" s="18"/>
      <c r="I245" s="18"/>
      <c r="J245" s="13" t="str">
        <f aca="false">IF(OR(D245="",E245=""),"",E245-D245)</f>
        <v/>
      </c>
      <c r="K245" s="13" t="str">
        <f aca="false">IF(OR(C245="",D245=""),"",D245-C245)</f>
        <v/>
      </c>
      <c r="L245" s="13" t="str">
        <f aca="false">IF(A245="","",IF(OR(I245="Devolvida",N(H245)&gt;0),"Sim","Não"))</f>
        <v/>
      </c>
    </row>
    <row r="246" customFormat="false" ht="15" hidden="false" customHeight="false" outlineLevel="0" collapsed="false">
      <c r="A246" s="18"/>
      <c r="B246" s="18"/>
      <c r="C246" s="25"/>
      <c r="D246" s="25"/>
      <c r="E246" s="25"/>
      <c r="F246" s="18"/>
      <c r="G246" s="18"/>
      <c r="H246" s="18"/>
      <c r="I246" s="18"/>
      <c r="J246" s="13" t="str">
        <f aca="false">IF(OR(D246="",E246=""),"",E246-D246)</f>
        <v/>
      </c>
      <c r="K246" s="13" t="str">
        <f aca="false">IF(OR(C246="",D246=""),"",D246-C246)</f>
        <v/>
      </c>
      <c r="L246" s="13" t="str">
        <f aca="false">IF(A246="","",IF(OR(I246="Devolvida",N(H246)&gt;0),"Sim","Não"))</f>
        <v/>
      </c>
    </row>
    <row r="247" customFormat="false" ht="15" hidden="false" customHeight="false" outlineLevel="0" collapsed="false">
      <c r="A247" s="18"/>
      <c r="B247" s="18"/>
      <c r="C247" s="25"/>
      <c r="D247" s="25"/>
      <c r="E247" s="25"/>
      <c r="F247" s="18"/>
      <c r="G247" s="18"/>
      <c r="H247" s="18"/>
      <c r="I247" s="18"/>
      <c r="J247" s="13" t="str">
        <f aca="false">IF(OR(D247="",E247=""),"",E247-D247)</f>
        <v/>
      </c>
      <c r="K247" s="13" t="str">
        <f aca="false">IF(OR(C247="",D247=""),"",D247-C247)</f>
        <v/>
      </c>
      <c r="L247" s="13" t="str">
        <f aca="false">IF(A247="","",IF(OR(I247="Devolvida",N(H247)&gt;0),"Sim","Não"))</f>
        <v/>
      </c>
    </row>
    <row r="248" customFormat="false" ht="15" hidden="false" customHeight="false" outlineLevel="0" collapsed="false">
      <c r="A248" s="18"/>
      <c r="B248" s="18"/>
      <c r="C248" s="25"/>
      <c r="D248" s="25"/>
      <c r="E248" s="25"/>
      <c r="F248" s="18"/>
      <c r="G248" s="18"/>
      <c r="H248" s="18"/>
      <c r="I248" s="18"/>
      <c r="J248" s="13" t="str">
        <f aca="false">IF(OR(D248="",E248=""),"",E248-D248)</f>
        <v/>
      </c>
      <c r="K248" s="13" t="str">
        <f aca="false">IF(OR(C248="",D248=""),"",D248-C248)</f>
        <v/>
      </c>
      <c r="L248" s="13" t="str">
        <f aca="false">IF(A248="","",IF(OR(I248="Devolvida",N(H248)&gt;0),"Sim","Não"))</f>
        <v/>
      </c>
    </row>
    <row r="249" customFormat="false" ht="15" hidden="false" customHeight="false" outlineLevel="0" collapsed="false">
      <c r="A249" s="18"/>
      <c r="B249" s="18"/>
      <c r="C249" s="25"/>
      <c r="D249" s="25"/>
      <c r="E249" s="25"/>
      <c r="F249" s="18"/>
      <c r="G249" s="18"/>
      <c r="H249" s="18"/>
      <c r="I249" s="18"/>
      <c r="J249" s="13" t="str">
        <f aca="false">IF(OR(D249="",E249=""),"",E249-D249)</f>
        <v/>
      </c>
      <c r="K249" s="13" t="str">
        <f aca="false">IF(OR(C249="",D249=""),"",D249-C249)</f>
        <v/>
      </c>
      <c r="L249" s="13" t="str">
        <f aca="false">IF(A249="","",IF(OR(I249="Devolvida",N(H249)&gt;0),"Sim","Não"))</f>
        <v/>
      </c>
    </row>
    <row r="250" customFormat="false" ht="15" hidden="false" customHeight="false" outlineLevel="0" collapsed="false">
      <c r="A250" s="18"/>
      <c r="B250" s="18"/>
      <c r="C250" s="25"/>
      <c r="D250" s="25"/>
      <c r="E250" s="25"/>
      <c r="F250" s="18"/>
      <c r="G250" s="18"/>
      <c r="H250" s="18"/>
      <c r="I250" s="18"/>
      <c r="J250" s="13" t="str">
        <f aca="false">IF(OR(D250="",E250=""),"",E250-D250)</f>
        <v/>
      </c>
      <c r="K250" s="13" t="str">
        <f aca="false">IF(OR(C250="",D250=""),"",D250-C250)</f>
        <v/>
      </c>
      <c r="L250" s="13" t="str">
        <f aca="false">IF(A250="","",IF(OR(I250="Devolvida",N(H250)&gt;0),"Sim","Não"))</f>
        <v/>
      </c>
    </row>
    <row r="251" customFormat="false" ht="15" hidden="false" customHeight="false" outlineLevel="0" collapsed="false">
      <c r="A251" s="18"/>
      <c r="B251" s="18"/>
      <c r="C251" s="25"/>
      <c r="D251" s="25"/>
      <c r="E251" s="25"/>
      <c r="F251" s="18"/>
      <c r="G251" s="18"/>
      <c r="H251" s="18"/>
      <c r="I251" s="18"/>
      <c r="J251" s="13" t="str">
        <f aca="false">IF(OR(D251="",E251=""),"",E251-D251)</f>
        <v/>
      </c>
      <c r="K251" s="13" t="str">
        <f aca="false">IF(OR(C251="",D251=""),"",D251-C251)</f>
        <v/>
      </c>
      <c r="L251" s="13" t="str">
        <f aca="false">IF(A251="","",IF(OR(I251="Devolvida",N(H251)&gt;0),"Sim","Não"))</f>
        <v/>
      </c>
    </row>
    <row r="252" customFormat="false" ht="15" hidden="false" customHeight="false" outlineLevel="0" collapsed="false">
      <c r="A252" s="18"/>
      <c r="B252" s="18"/>
      <c r="C252" s="25"/>
      <c r="D252" s="25"/>
      <c r="E252" s="25"/>
      <c r="F252" s="18"/>
      <c r="G252" s="18"/>
      <c r="H252" s="18"/>
      <c r="I252" s="18"/>
      <c r="J252" s="13" t="str">
        <f aca="false">IF(OR(D252="",E252=""),"",E252-D252)</f>
        <v/>
      </c>
      <c r="K252" s="13" t="str">
        <f aca="false">IF(OR(C252="",D252=""),"",D252-C252)</f>
        <v/>
      </c>
      <c r="L252" s="13" t="str">
        <f aca="false">IF(A252="","",IF(OR(I252="Devolvida",N(H252)&gt;0),"Sim","Não"))</f>
        <v/>
      </c>
    </row>
    <row r="253" customFormat="false" ht="15" hidden="false" customHeight="false" outlineLevel="0" collapsed="false">
      <c r="A253" s="18"/>
      <c r="B253" s="18"/>
      <c r="C253" s="25"/>
      <c r="D253" s="25"/>
      <c r="E253" s="25"/>
      <c r="F253" s="18"/>
      <c r="G253" s="18"/>
      <c r="H253" s="18"/>
      <c r="I253" s="18"/>
      <c r="J253" s="13" t="str">
        <f aca="false">IF(OR(D253="",E253=""),"",E253-D253)</f>
        <v/>
      </c>
      <c r="K253" s="13" t="str">
        <f aca="false">IF(OR(C253="",D253=""),"",D253-C253)</f>
        <v/>
      </c>
      <c r="L253" s="13" t="str">
        <f aca="false">IF(A253="","",IF(OR(I253="Devolvida",N(H253)&gt;0),"Sim","Não"))</f>
        <v/>
      </c>
    </row>
    <row r="254" customFormat="false" ht="15" hidden="false" customHeight="false" outlineLevel="0" collapsed="false">
      <c r="A254" s="18"/>
      <c r="B254" s="18"/>
      <c r="C254" s="25"/>
      <c r="D254" s="25"/>
      <c r="E254" s="25"/>
      <c r="F254" s="18"/>
      <c r="G254" s="18"/>
      <c r="H254" s="18"/>
      <c r="I254" s="18"/>
      <c r="J254" s="13" t="str">
        <f aca="false">IF(OR(D254="",E254=""),"",E254-D254)</f>
        <v/>
      </c>
      <c r="K254" s="13" t="str">
        <f aca="false">IF(OR(C254="",D254=""),"",D254-C254)</f>
        <v/>
      </c>
      <c r="L254" s="13" t="str">
        <f aca="false">IF(A254="","",IF(OR(I254="Devolvida",N(H254)&gt;0),"Sim","Não"))</f>
        <v/>
      </c>
    </row>
    <row r="255" customFormat="false" ht="15" hidden="false" customHeight="false" outlineLevel="0" collapsed="false">
      <c r="A255" s="18"/>
      <c r="B255" s="18"/>
      <c r="C255" s="25"/>
      <c r="D255" s="25"/>
      <c r="E255" s="25"/>
      <c r="F255" s="18"/>
      <c r="G255" s="18"/>
      <c r="H255" s="18"/>
      <c r="I255" s="18"/>
      <c r="J255" s="13" t="str">
        <f aca="false">IF(OR(D255="",E255=""),"",E255-D255)</f>
        <v/>
      </c>
      <c r="K255" s="13" t="str">
        <f aca="false">IF(OR(C255="",D255=""),"",D255-C255)</f>
        <v/>
      </c>
      <c r="L255" s="13" t="str">
        <f aca="false">IF(A255="","",IF(OR(I255="Devolvida",N(H255)&gt;0),"Sim","Não"))</f>
        <v/>
      </c>
    </row>
    <row r="256" customFormat="false" ht="15" hidden="false" customHeight="false" outlineLevel="0" collapsed="false">
      <c r="A256" s="18"/>
      <c r="B256" s="18"/>
      <c r="C256" s="25"/>
      <c r="D256" s="25"/>
      <c r="E256" s="25"/>
      <c r="F256" s="18"/>
      <c r="G256" s="18"/>
      <c r="H256" s="18"/>
      <c r="I256" s="18"/>
      <c r="J256" s="13" t="str">
        <f aca="false">IF(OR(D256="",E256=""),"",E256-D256)</f>
        <v/>
      </c>
      <c r="K256" s="13" t="str">
        <f aca="false">IF(OR(C256="",D256=""),"",D256-C256)</f>
        <v/>
      </c>
      <c r="L256" s="13" t="str">
        <f aca="false">IF(A256="","",IF(OR(I256="Devolvida",N(H256)&gt;0),"Sim","Não"))</f>
        <v/>
      </c>
    </row>
    <row r="257" customFormat="false" ht="15" hidden="false" customHeight="false" outlineLevel="0" collapsed="false">
      <c r="A257" s="18"/>
      <c r="B257" s="18"/>
      <c r="C257" s="25"/>
      <c r="D257" s="25"/>
      <c r="E257" s="25"/>
      <c r="F257" s="18"/>
      <c r="G257" s="18"/>
      <c r="H257" s="18"/>
      <c r="I257" s="18"/>
      <c r="J257" s="13" t="str">
        <f aca="false">IF(OR(D257="",E257=""),"",E257-D257)</f>
        <v/>
      </c>
      <c r="K257" s="13" t="str">
        <f aca="false">IF(OR(C257="",D257=""),"",D257-C257)</f>
        <v/>
      </c>
      <c r="L257" s="13" t="str">
        <f aca="false">IF(A257="","",IF(OR(I257="Devolvida",N(H257)&gt;0),"Sim","Não"))</f>
        <v/>
      </c>
    </row>
    <row r="258" customFormat="false" ht="15" hidden="false" customHeight="false" outlineLevel="0" collapsed="false">
      <c r="A258" s="18"/>
      <c r="B258" s="18"/>
      <c r="C258" s="25"/>
      <c r="D258" s="25"/>
      <c r="E258" s="25"/>
      <c r="F258" s="18"/>
      <c r="G258" s="18"/>
      <c r="H258" s="18"/>
      <c r="I258" s="18"/>
      <c r="J258" s="13" t="str">
        <f aca="false">IF(OR(D258="",E258=""),"",E258-D258)</f>
        <v/>
      </c>
      <c r="K258" s="13" t="str">
        <f aca="false">IF(OR(C258="",D258=""),"",D258-C258)</f>
        <v/>
      </c>
      <c r="L258" s="13" t="str">
        <f aca="false">IF(A258="","",IF(OR(I258="Devolvida",N(H258)&gt;0),"Sim","Não"))</f>
        <v/>
      </c>
    </row>
    <row r="259" customFormat="false" ht="15" hidden="false" customHeight="false" outlineLevel="0" collapsed="false">
      <c r="A259" s="18"/>
      <c r="B259" s="18"/>
      <c r="C259" s="25"/>
      <c r="D259" s="25"/>
      <c r="E259" s="25"/>
      <c r="F259" s="18"/>
      <c r="G259" s="18"/>
      <c r="H259" s="18"/>
      <c r="I259" s="18"/>
      <c r="J259" s="13" t="str">
        <f aca="false">IF(OR(D259="",E259=""),"",E259-D259)</f>
        <v/>
      </c>
      <c r="K259" s="13" t="str">
        <f aca="false">IF(OR(C259="",D259=""),"",D259-C259)</f>
        <v/>
      </c>
      <c r="L259" s="13" t="str">
        <f aca="false">IF(A259="","",IF(OR(I259="Devolvida",N(H259)&gt;0),"Sim","Não"))</f>
        <v/>
      </c>
    </row>
    <row r="260" customFormat="false" ht="15" hidden="false" customHeight="false" outlineLevel="0" collapsed="false">
      <c r="A260" s="18"/>
      <c r="B260" s="18"/>
      <c r="C260" s="25"/>
      <c r="D260" s="25"/>
      <c r="E260" s="25"/>
      <c r="F260" s="18"/>
      <c r="G260" s="18"/>
      <c r="H260" s="18"/>
      <c r="I260" s="18"/>
      <c r="J260" s="13" t="str">
        <f aca="false">IF(OR(D260="",E260=""),"",E260-D260)</f>
        <v/>
      </c>
      <c r="K260" s="13" t="str">
        <f aca="false">IF(OR(C260="",D260=""),"",D260-C260)</f>
        <v/>
      </c>
      <c r="L260" s="13" t="str">
        <f aca="false">IF(A260="","",IF(OR(I260="Devolvida",N(H260)&gt;0),"Sim","Não"))</f>
        <v/>
      </c>
    </row>
    <row r="261" customFormat="false" ht="15" hidden="false" customHeight="false" outlineLevel="0" collapsed="false">
      <c r="A261" s="18"/>
      <c r="B261" s="18"/>
      <c r="C261" s="25"/>
      <c r="D261" s="25"/>
      <c r="E261" s="25"/>
      <c r="F261" s="18"/>
      <c r="G261" s="18"/>
      <c r="H261" s="18"/>
      <c r="I261" s="18"/>
      <c r="J261" s="13" t="str">
        <f aca="false">IF(OR(D261="",E261=""),"",E261-D261)</f>
        <v/>
      </c>
      <c r="K261" s="13" t="str">
        <f aca="false">IF(OR(C261="",D261=""),"",D261-C261)</f>
        <v/>
      </c>
      <c r="L261" s="13" t="str">
        <f aca="false">IF(A261="","",IF(OR(I261="Devolvida",N(H261)&gt;0),"Sim","Não"))</f>
        <v/>
      </c>
    </row>
    <row r="262" customFormat="false" ht="15" hidden="false" customHeight="false" outlineLevel="0" collapsed="false">
      <c r="A262" s="18"/>
      <c r="B262" s="18"/>
      <c r="C262" s="25"/>
      <c r="D262" s="25"/>
      <c r="E262" s="25"/>
      <c r="F262" s="18"/>
      <c r="G262" s="18"/>
      <c r="H262" s="18"/>
      <c r="I262" s="18"/>
      <c r="J262" s="13" t="str">
        <f aca="false">IF(OR(D262="",E262=""),"",E262-D262)</f>
        <v/>
      </c>
      <c r="K262" s="13" t="str">
        <f aca="false">IF(OR(C262="",D262=""),"",D262-C262)</f>
        <v/>
      </c>
      <c r="L262" s="13" t="str">
        <f aca="false">IF(A262="","",IF(OR(I262="Devolvida",N(H262)&gt;0),"Sim","Não"))</f>
        <v/>
      </c>
    </row>
    <row r="263" customFormat="false" ht="15" hidden="false" customHeight="false" outlineLevel="0" collapsed="false">
      <c r="A263" s="18"/>
      <c r="B263" s="18"/>
      <c r="C263" s="25"/>
      <c r="D263" s="25"/>
      <c r="E263" s="25"/>
      <c r="F263" s="18"/>
      <c r="G263" s="18"/>
      <c r="H263" s="18"/>
      <c r="I263" s="18"/>
      <c r="J263" s="13" t="str">
        <f aca="false">IF(OR(D263="",E263=""),"",E263-D263)</f>
        <v/>
      </c>
      <c r="K263" s="13" t="str">
        <f aca="false">IF(OR(C263="",D263=""),"",D263-C263)</f>
        <v/>
      </c>
      <c r="L263" s="13" t="str">
        <f aca="false">IF(A263="","",IF(OR(I263="Devolvida",N(H263)&gt;0),"Sim","Não"))</f>
        <v/>
      </c>
    </row>
    <row r="264" customFormat="false" ht="15" hidden="false" customHeight="false" outlineLevel="0" collapsed="false">
      <c r="A264" s="18"/>
      <c r="B264" s="18"/>
      <c r="C264" s="25"/>
      <c r="D264" s="25"/>
      <c r="E264" s="25"/>
      <c r="F264" s="18"/>
      <c r="G264" s="18"/>
      <c r="H264" s="18"/>
      <c r="I264" s="18"/>
      <c r="J264" s="13" t="str">
        <f aca="false">IF(OR(D264="",E264=""),"",E264-D264)</f>
        <v/>
      </c>
      <c r="K264" s="13" t="str">
        <f aca="false">IF(OR(C264="",D264=""),"",D264-C264)</f>
        <v/>
      </c>
      <c r="L264" s="13" t="str">
        <f aca="false">IF(A264="","",IF(OR(I264="Devolvida",N(H264)&gt;0),"Sim","Não"))</f>
        <v/>
      </c>
    </row>
    <row r="265" customFormat="false" ht="15" hidden="false" customHeight="false" outlineLevel="0" collapsed="false">
      <c r="A265" s="18"/>
      <c r="B265" s="18"/>
      <c r="C265" s="25"/>
      <c r="D265" s="25"/>
      <c r="E265" s="25"/>
      <c r="F265" s="18"/>
      <c r="G265" s="18"/>
      <c r="H265" s="18"/>
      <c r="I265" s="18"/>
      <c r="J265" s="13" t="str">
        <f aca="false">IF(OR(D265="",E265=""),"",E265-D265)</f>
        <v/>
      </c>
      <c r="K265" s="13" t="str">
        <f aca="false">IF(OR(C265="",D265=""),"",D265-C265)</f>
        <v/>
      </c>
      <c r="L265" s="13" t="str">
        <f aca="false">IF(A265="","",IF(OR(I265="Devolvida",N(H265)&gt;0),"Sim","Não"))</f>
        <v/>
      </c>
    </row>
    <row r="266" customFormat="false" ht="15" hidden="false" customHeight="false" outlineLevel="0" collapsed="false">
      <c r="A266" s="18"/>
      <c r="B266" s="18"/>
      <c r="C266" s="25"/>
      <c r="D266" s="25"/>
      <c r="E266" s="25"/>
      <c r="F266" s="18"/>
      <c r="G266" s="18"/>
      <c r="H266" s="18"/>
      <c r="I266" s="18"/>
      <c r="J266" s="13" t="str">
        <f aca="false">IF(OR(D266="",E266=""),"",E266-D266)</f>
        <v/>
      </c>
      <c r="K266" s="13" t="str">
        <f aca="false">IF(OR(C266="",D266=""),"",D266-C266)</f>
        <v/>
      </c>
      <c r="L266" s="13" t="str">
        <f aca="false">IF(A266="","",IF(OR(I266="Devolvida",N(H266)&gt;0),"Sim","Não"))</f>
        <v/>
      </c>
    </row>
    <row r="267" customFormat="false" ht="15" hidden="false" customHeight="false" outlineLevel="0" collapsed="false">
      <c r="A267" s="18"/>
      <c r="B267" s="18"/>
      <c r="C267" s="25"/>
      <c r="D267" s="25"/>
      <c r="E267" s="25"/>
      <c r="F267" s="18"/>
      <c r="G267" s="18"/>
      <c r="H267" s="18"/>
      <c r="I267" s="18"/>
      <c r="J267" s="13" t="str">
        <f aca="false">IF(OR(D267="",E267=""),"",E267-D267)</f>
        <v/>
      </c>
      <c r="K267" s="13" t="str">
        <f aca="false">IF(OR(C267="",D267=""),"",D267-C267)</f>
        <v/>
      </c>
      <c r="L267" s="13" t="str">
        <f aca="false">IF(A267="","",IF(OR(I267="Devolvida",N(H267)&gt;0),"Sim","Não"))</f>
        <v/>
      </c>
    </row>
    <row r="268" customFormat="false" ht="15" hidden="false" customHeight="false" outlineLevel="0" collapsed="false">
      <c r="A268" s="18"/>
      <c r="B268" s="18"/>
      <c r="C268" s="25"/>
      <c r="D268" s="25"/>
      <c r="E268" s="25"/>
      <c r="F268" s="18"/>
      <c r="G268" s="18"/>
      <c r="H268" s="18"/>
      <c r="I268" s="18"/>
      <c r="J268" s="13" t="str">
        <f aca="false">IF(OR(D268="",E268=""),"",E268-D268)</f>
        <v/>
      </c>
      <c r="K268" s="13" t="str">
        <f aca="false">IF(OR(C268="",D268=""),"",D268-C268)</f>
        <v/>
      </c>
      <c r="L268" s="13" t="str">
        <f aca="false">IF(A268="","",IF(OR(I268="Devolvida",N(H268)&gt;0),"Sim","Não"))</f>
        <v/>
      </c>
    </row>
    <row r="269" customFormat="false" ht="15" hidden="false" customHeight="false" outlineLevel="0" collapsed="false">
      <c r="A269" s="18"/>
      <c r="B269" s="18"/>
      <c r="C269" s="25"/>
      <c r="D269" s="25"/>
      <c r="E269" s="25"/>
      <c r="F269" s="18"/>
      <c r="G269" s="18"/>
      <c r="H269" s="18"/>
      <c r="I269" s="18"/>
      <c r="J269" s="13" t="str">
        <f aca="false">IF(OR(D269="",E269=""),"",E269-D269)</f>
        <v/>
      </c>
      <c r="K269" s="13" t="str">
        <f aca="false">IF(OR(C269="",D269=""),"",D269-C269)</f>
        <v/>
      </c>
      <c r="L269" s="13" t="str">
        <f aca="false">IF(A269="","",IF(OR(I269="Devolvida",N(H269)&gt;0),"Sim","Não"))</f>
        <v/>
      </c>
    </row>
    <row r="270" customFormat="false" ht="15" hidden="false" customHeight="false" outlineLevel="0" collapsed="false">
      <c r="A270" s="18"/>
      <c r="B270" s="18"/>
      <c r="C270" s="25"/>
      <c r="D270" s="25"/>
      <c r="E270" s="25"/>
      <c r="F270" s="18"/>
      <c r="G270" s="18"/>
      <c r="H270" s="18"/>
      <c r="I270" s="18"/>
      <c r="J270" s="13" t="str">
        <f aca="false">IF(OR(D270="",E270=""),"",E270-D270)</f>
        <v/>
      </c>
      <c r="K270" s="13" t="str">
        <f aca="false">IF(OR(C270="",D270=""),"",D270-C270)</f>
        <v/>
      </c>
      <c r="L270" s="13" t="str">
        <f aca="false">IF(A270="","",IF(OR(I270="Devolvida",N(H270)&gt;0),"Sim","Não"))</f>
        <v/>
      </c>
    </row>
    <row r="271" customFormat="false" ht="15" hidden="false" customHeight="false" outlineLevel="0" collapsed="false">
      <c r="A271" s="18"/>
      <c r="B271" s="18"/>
      <c r="C271" s="25"/>
      <c r="D271" s="25"/>
      <c r="E271" s="25"/>
      <c r="F271" s="18"/>
      <c r="G271" s="18"/>
      <c r="H271" s="18"/>
      <c r="I271" s="18"/>
      <c r="J271" s="13" t="str">
        <f aca="false">IF(OR(D271="",E271=""),"",E271-D271)</f>
        <v/>
      </c>
      <c r="K271" s="13" t="str">
        <f aca="false">IF(OR(C271="",D271=""),"",D271-C271)</f>
        <v/>
      </c>
      <c r="L271" s="13" t="str">
        <f aca="false">IF(A271="","",IF(OR(I271="Devolvida",N(H271)&gt;0),"Sim","Não"))</f>
        <v/>
      </c>
    </row>
    <row r="272" customFormat="false" ht="15" hidden="false" customHeight="false" outlineLevel="0" collapsed="false">
      <c r="A272" s="18"/>
      <c r="B272" s="18"/>
      <c r="C272" s="25"/>
      <c r="D272" s="25"/>
      <c r="E272" s="25"/>
      <c r="F272" s="18"/>
      <c r="G272" s="18"/>
      <c r="H272" s="18"/>
      <c r="I272" s="18"/>
      <c r="J272" s="13" t="str">
        <f aca="false">IF(OR(D272="",E272=""),"",E272-D272)</f>
        <v/>
      </c>
      <c r="K272" s="13" t="str">
        <f aca="false">IF(OR(C272="",D272=""),"",D272-C272)</f>
        <v/>
      </c>
      <c r="L272" s="13" t="str">
        <f aca="false">IF(A272="","",IF(OR(I272="Devolvida",N(H272)&gt;0),"Sim","Não"))</f>
        <v/>
      </c>
    </row>
    <row r="273" customFormat="false" ht="15" hidden="false" customHeight="false" outlineLevel="0" collapsed="false">
      <c r="A273" s="18"/>
      <c r="B273" s="18"/>
      <c r="C273" s="25"/>
      <c r="D273" s="25"/>
      <c r="E273" s="25"/>
      <c r="F273" s="18"/>
      <c r="G273" s="18"/>
      <c r="H273" s="18"/>
      <c r="I273" s="18"/>
      <c r="J273" s="13" t="str">
        <f aca="false">IF(OR(D273="",E273=""),"",E273-D273)</f>
        <v/>
      </c>
      <c r="K273" s="13" t="str">
        <f aca="false">IF(OR(C273="",D273=""),"",D273-C273)</f>
        <v/>
      </c>
      <c r="L273" s="13" t="str">
        <f aca="false">IF(A273="","",IF(OR(I273="Devolvida",N(H273)&gt;0),"Sim","Não"))</f>
        <v/>
      </c>
    </row>
    <row r="274" customFormat="false" ht="15" hidden="false" customHeight="false" outlineLevel="0" collapsed="false">
      <c r="A274" s="18"/>
      <c r="B274" s="18"/>
      <c r="C274" s="25"/>
      <c r="D274" s="25"/>
      <c r="E274" s="25"/>
      <c r="F274" s="18"/>
      <c r="G274" s="18"/>
      <c r="H274" s="18"/>
      <c r="I274" s="18"/>
      <c r="J274" s="13" t="str">
        <f aca="false">IF(OR(D274="",E274=""),"",E274-D274)</f>
        <v/>
      </c>
      <c r="K274" s="13" t="str">
        <f aca="false">IF(OR(C274="",D274=""),"",D274-C274)</f>
        <v/>
      </c>
      <c r="L274" s="13" t="str">
        <f aca="false">IF(A274="","",IF(OR(I274="Devolvida",N(H274)&gt;0),"Sim","Não"))</f>
        <v/>
      </c>
    </row>
    <row r="275" customFormat="false" ht="15" hidden="false" customHeight="false" outlineLevel="0" collapsed="false">
      <c r="A275" s="18"/>
      <c r="B275" s="18"/>
      <c r="C275" s="25"/>
      <c r="D275" s="25"/>
      <c r="E275" s="25"/>
      <c r="F275" s="18"/>
      <c r="G275" s="18"/>
      <c r="H275" s="18"/>
      <c r="I275" s="18"/>
      <c r="J275" s="13" t="str">
        <f aca="false">IF(OR(D275="",E275=""),"",E275-D275)</f>
        <v/>
      </c>
      <c r="K275" s="13" t="str">
        <f aca="false">IF(OR(C275="",D275=""),"",D275-C275)</f>
        <v/>
      </c>
      <c r="L275" s="13" t="str">
        <f aca="false">IF(A275="","",IF(OR(I275="Devolvida",N(H275)&gt;0),"Sim","Não"))</f>
        <v/>
      </c>
    </row>
    <row r="276" customFormat="false" ht="15" hidden="false" customHeight="false" outlineLevel="0" collapsed="false">
      <c r="A276" s="18"/>
      <c r="B276" s="18"/>
      <c r="C276" s="25"/>
      <c r="D276" s="25"/>
      <c r="E276" s="25"/>
      <c r="F276" s="18"/>
      <c r="G276" s="18"/>
      <c r="H276" s="18"/>
      <c r="I276" s="18"/>
      <c r="J276" s="13" t="str">
        <f aca="false">IF(OR(D276="",E276=""),"",E276-D276)</f>
        <v/>
      </c>
      <c r="K276" s="13" t="str">
        <f aca="false">IF(OR(C276="",D276=""),"",D276-C276)</f>
        <v/>
      </c>
      <c r="L276" s="13" t="str">
        <f aca="false">IF(A276="","",IF(OR(I276="Devolvida",N(H276)&gt;0),"Sim","Não"))</f>
        <v/>
      </c>
    </row>
    <row r="277" customFormat="false" ht="15" hidden="false" customHeight="false" outlineLevel="0" collapsed="false">
      <c r="A277" s="18"/>
      <c r="B277" s="18"/>
      <c r="C277" s="25"/>
      <c r="D277" s="25"/>
      <c r="E277" s="25"/>
      <c r="F277" s="18"/>
      <c r="G277" s="18"/>
      <c r="H277" s="18"/>
      <c r="I277" s="18"/>
      <c r="J277" s="13" t="str">
        <f aca="false">IF(OR(D277="",E277=""),"",E277-D277)</f>
        <v/>
      </c>
      <c r="K277" s="13" t="str">
        <f aca="false">IF(OR(C277="",D277=""),"",D277-C277)</f>
        <v/>
      </c>
      <c r="L277" s="13" t="str">
        <f aca="false">IF(A277="","",IF(OR(I277="Devolvida",N(H277)&gt;0),"Sim","Não"))</f>
        <v/>
      </c>
    </row>
    <row r="278" customFormat="false" ht="15" hidden="false" customHeight="false" outlineLevel="0" collapsed="false">
      <c r="A278" s="18"/>
      <c r="B278" s="18"/>
      <c r="C278" s="25"/>
      <c r="D278" s="25"/>
      <c r="E278" s="25"/>
      <c r="F278" s="18"/>
      <c r="G278" s="18"/>
      <c r="H278" s="18"/>
      <c r="I278" s="18"/>
      <c r="J278" s="13" t="str">
        <f aca="false">IF(OR(D278="",E278=""),"",E278-D278)</f>
        <v/>
      </c>
      <c r="K278" s="13" t="str">
        <f aca="false">IF(OR(C278="",D278=""),"",D278-C278)</f>
        <v/>
      </c>
      <c r="L278" s="13" t="str">
        <f aca="false">IF(A278="","",IF(OR(I278="Devolvida",N(H278)&gt;0),"Sim","Não"))</f>
        <v/>
      </c>
    </row>
    <row r="279" customFormat="false" ht="15" hidden="false" customHeight="false" outlineLevel="0" collapsed="false">
      <c r="A279" s="18"/>
      <c r="B279" s="18"/>
      <c r="C279" s="25"/>
      <c r="D279" s="25"/>
      <c r="E279" s="25"/>
      <c r="F279" s="18"/>
      <c r="G279" s="18"/>
      <c r="H279" s="18"/>
      <c r="I279" s="18"/>
      <c r="J279" s="13" t="str">
        <f aca="false">IF(OR(D279="",E279=""),"",E279-D279)</f>
        <v/>
      </c>
      <c r="K279" s="13" t="str">
        <f aca="false">IF(OR(C279="",D279=""),"",D279-C279)</f>
        <v/>
      </c>
      <c r="L279" s="13" t="str">
        <f aca="false">IF(A279="","",IF(OR(I279="Devolvida",N(H279)&gt;0),"Sim","Não"))</f>
        <v/>
      </c>
    </row>
    <row r="280" customFormat="false" ht="15" hidden="false" customHeight="false" outlineLevel="0" collapsed="false">
      <c r="A280" s="18"/>
      <c r="B280" s="18"/>
      <c r="C280" s="25"/>
      <c r="D280" s="25"/>
      <c r="E280" s="25"/>
      <c r="F280" s="18"/>
      <c r="G280" s="18"/>
      <c r="H280" s="18"/>
      <c r="I280" s="18"/>
      <c r="J280" s="13" t="str">
        <f aca="false">IF(OR(D280="",E280=""),"",E280-D280)</f>
        <v/>
      </c>
      <c r="K280" s="13" t="str">
        <f aca="false">IF(OR(C280="",D280=""),"",D280-C280)</f>
        <v/>
      </c>
      <c r="L280" s="13" t="str">
        <f aca="false">IF(A280="","",IF(OR(I280="Devolvida",N(H280)&gt;0),"Sim","Não"))</f>
        <v/>
      </c>
    </row>
    <row r="281" customFormat="false" ht="15" hidden="false" customHeight="false" outlineLevel="0" collapsed="false">
      <c r="A281" s="18"/>
      <c r="B281" s="18"/>
      <c r="C281" s="25"/>
      <c r="D281" s="25"/>
      <c r="E281" s="25"/>
      <c r="F281" s="18"/>
      <c r="G281" s="18"/>
      <c r="H281" s="18"/>
      <c r="I281" s="18"/>
      <c r="J281" s="13" t="str">
        <f aca="false">IF(OR(D281="",E281=""),"",E281-D281)</f>
        <v/>
      </c>
      <c r="K281" s="13" t="str">
        <f aca="false">IF(OR(C281="",D281=""),"",D281-C281)</f>
        <v/>
      </c>
      <c r="L281" s="13" t="str">
        <f aca="false">IF(A281="","",IF(OR(I281="Devolvida",N(H281)&gt;0),"Sim","Não"))</f>
        <v/>
      </c>
    </row>
    <row r="282" customFormat="false" ht="15" hidden="false" customHeight="false" outlineLevel="0" collapsed="false">
      <c r="A282" s="18"/>
      <c r="B282" s="18"/>
      <c r="C282" s="25"/>
      <c r="D282" s="25"/>
      <c r="E282" s="25"/>
      <c r="F282" s="18"/>
      <c r="G282" s="18"/>
      <c r="H282" s="18"/>
      <c r="I282" s="18"/>
      <c r="J282" s="13" t="str">
        <f aca="false">IF(OR(D282="",E282=""),"",E282-D282)</f>
        <v/>
      </c>
      <c r="K282" s="13" t="str">
        <f aca="false">IF(OR(C282="",D282=""),"",D282-C282)</f>
        <v/>
      </c>
      <c r="L282" s="13" t="str">
        <f aca="false">IF(A282="","",IF(OR(I282="Devolvida",N(H282)&gt;0),"Sim","Não"))</f>
        <v/>
      </c>
    </row>
    <row r="283" customFormat="false" ht="15" hidden="false" customHeight="false" outlineLevel="0" collapsed="false">
      <c r="A283" s="18"/>
      <c r="B283" s="18"/>
      <c r="C283" s="25"/>
      <c r="D283" s="25"/>
      <c r="E283" s="25"/>
      <c r="F283" s="18"/>
      <c r="G283" s="18"/>
      <c r="H283" s="18"/>
      <c r="I283" s="18"/>
      <c r="J283" s="13" t="str">
        <f aca="false">IF(OR(D283="",E283=""),"",E283-D283)</f>
        <v/>
      </c>
      <c r="K283" s="13" t="str">
        <f aca="false">IF(OR(C283="",D283=""),"",D283-C283)</f>
        <v/>
      </c>
      <c r="L283" s="13" t="str">
        <f aca="false">IF(A283="","",IF(OR(I283="Devolvida",N(H283)&gt;0),"Sim","Não"))</f>
        <v/>
      </c>
    </row>
    <row r="284" customFormat="false" ht="15" hidden="false" customHeight="false" outlineLevel="0" collapsed="false">
      <c r="A284" s="18"/>
      <c r="B284" s="18"/>
      <c r="C284" s="25"/>
      <c r="D284" s="25"/>
      <c r="E284" s="25"/>
      <c r="F284" s="18"/>
      <c r="G284" s="18"/>
      <c r="H284" s="18"/>
      <c r="I284" s="18"/>
      <c r="J284" s="13" t="str">
        <f aca="false">IF(OR(D284="",E284=""),"",E284-D284)</f>
        <v/>
      </c>
      <c r="K284" s="13" t="str">
        <f aca="false">IF(OR(C284="",D284=""),"",D284-C284)</f>
        <v/>
      </c>
      <c r="L284" s="13" t="str">
        <f aca="false">IF(A284="","",IF(OR(I284="Devolvida",N(H284)&gt;0),"Sim","Não"))</f>
        <v/>
      </c>
    </row>
    <row r="285" customFormat="false" ht="15" hidden="false" customHeight="false" outlineLevel="0" collapsed="false">
      <c r="A285" s="18"/>
      <c r="B285" s="18"/>
      <c r="C285" s="25"/>
      <c r="D285" s="25"/>
      <c r="E285" s="25"/>
      <c r="F285" s="18"/>
      <c r="G285" s="18"/>
      <c r="H285" s="18"/>
      <c r="I285" s="18"/>
      <c r="J285" s="13" t="str">
        <f aca="false">IF(OR(D285="",E285=""),"",E285-D285)</f>
        <v/>
      </c>
      <c r="K285" s="13" t="str">
        <f aca="false">IF(OR(C285="",D285=""),"",D285-C285)</f>
        <v/>
      </c>
      <c r="L285" s="13" t="str">
        <f aca="false">IF(A285="","",IF(OR(I285="Devolvida",N(H285)&gt;0),"Sim","Não"))</f>
        <v/>
      </c>
    </row>
    <row r="286" customFormat="false" ht="15" hidden="false" customHeight="false" outlineLevel="0" collapsed="false">
      <c r="A286" s="18"/>
      <c r="B286" s="18"/>
      <c r="C286" s="25"/>
      <c r="D286" s="25"/>
      <c r="E286" s="25"/>
      <c r="F286" s="18"/>
      <c r="G286" s="18"/>
      <c r="H286" s="18"/>
      <c r="I286" s="18"/>
      <c r="J286" s="13" t="str">
        <f aca="false">IF(OR(D286="",E286=""),"",E286-D286)</f>
        <v/>
      </c>
      <c r="K286" s="13" t="str">
        <f aca="false">IF(OR(C286="",D286=""),"",D286-C286)</f>
        <v/>
      </c>
      <c r="L286" s="13" t="str">
        <f aca="false">IF(A286="","",IF(OR(I286="Devolvida",N(H286)&gt;0),"Sim","Não"))</f>
        <v/>
      </c>
    </row>
    <row r="287" customFormat="false" ht="15" hidden="false" customHeight="false" outlineLevel="0" collapsed="false">
      <c r="A287" s="18"/>
      <c r="B287" s="18"/>
      <c r="C287" s="25"/>
      <c r="D287" s="25"/>
      <c r="E287" s="25"/>
      <c r="F287" s="18"/>
      <c r="G287" s="18"/>
      <c r="H287" s="18"/>
      <c r="I287" s="18"/>
      <c r="J287" s="13" t="str">
        <f aca="false">IF(OR(D287="",E287=""),"",E287-D287)</f>
        <v/>
      </c>
      <c r="K287" s="13" t="str">
        <f aca="false">IF(OR(C287="",D287=""),"",D287-C287)</f>
        <v/>
      </c>
      <c r="L287" s="13" t="str">
        <f aca="false">IF(A287="","",IF(OR(I287="Devolvida",N(H287)&gt;0),"Sim","Não"))</f>
        <v/>
      </c>
    </row>
    <row r="288" customFormat="false" ht="15" hidden="false" customHeight="false" outlineLevel="0" collapsed="false">
      <c r="A288" s="18"/>
      <c r="B288" s="18"/>
      <c r="C288" s="25"/>
      <c r="D288" s="25"/>
      <c r="E288" s="25"/>
      <c r="F288" s="18"/>
      <c r="G288" s="18"/>
      <c r="H288" s="18"/>
      <c r="I288" s="18"/>
      <c r="J288" s="13" t="str">
        <f aca="false">IF(OR(D288="",E288=""),"",E288-D288)</f>
        <v/>
      </c>
      <c r="K288" s="13" t="str">
        <f aca="false">IF(OR(C288="",D288=""),"",D288-C288)</f>
        <v/>
      </c>
      <c r="L288" s="13" t="str">
        <f aca="false">IF(A288="","",IF(OR(I288="Devolvida",N(H288)&gt;0),"Sim","Não"))</f>
        <v/>
      </c>
    </row>
    <row r="289" customFormat="false" ht="15" hidden="false" customHeight="false" outlineLevel="0" collapsed="false">
      <c r="A289" s="18"/>
      <c r="B289" s="18"/>
      <c r="C289" s="25"/>
      <c r="D289" s="25"/>
      <c r="E289" s="25"/>
      <c r="F289" s="18"/>
      <c r="G289" s="18"/>
      <c r="H289" s="18"/>
      <c r="I289" s="18"/>
      <c r="J289" s="13" t="str">
        <f aca="false">IF(OR(D289="",E289=""),"",E289-D289)</f>
        <v/>
      </c>
      <c r="K289" s="13" t="str">
        <f aca="false">IF(OR(C289="",D289=""),"",D289-C289)</f>
        <v/>
      </c>
      <c r="L289" s="13" t="str">
        <f aca="false">IF(A289="","",IF(OR(I289="Devolvida",N(H289)&gt;0),"Sim","Não"))</f>
        <v/>
      </c>
    </row>
    <row r="290" customFormat="false" ht="15" hidden="false" customHeight="false" outlineLevel="0" collapsed="false">
      <c r="A290" s="18"/>
      <c r="B290" s="18"/>
      <c r="C290" s="25"/>
      <c r="D290" s="25"/>
      <c r="E290" s="25"/>
      <c r="F290" s="18"/>
      <c r="G290" s="18"/>
      <c r="H290" s="18"/>
      <c r="I290" s="18"/>
      <c r="J290" s="13" t="str">
        <f aca="false">IF(OR(D290="",E290=""),"",E290-D290)</f>
        <v/>
      </c>
      <c r="K290" s="13" t="str">
        <f aca="false">IF(OR(C290="",D290=""),"",D290-C290)</f>
        <v/>
      </c>
      <c r="L290" s="13" t="str">
        <f aca="false">IF(A290="","",IF(OR(I290="Devolvida",N(H290)&gt;0),"Sim","Não"))</f>
        <v/>
      </c>
    </row>
    <row r="291" customFormat="false" ht="15" hidden="false" customHeight="false" outlineLevel="0" collapsed="false">
      <c r="A291" s="18"/>
      <c r="B291" s="18"/>
      <c r="C291" s="25"/>
      <c r="D291" s="25"/>
      <c r="E291" s="25"/>
      <c r="F291" s="18"/>
      <c r="G291" s="18"/>
      <c r="H291" s="18"/>
      <c r="I291" s="18"/>
      <c r="J291" s="13" t="str">
        <f aca="false">IF(OR(D291="",E291=""),"",E291-D291)</f>
        <v/>
      </c>
      <c r="K291" s="13" t="str">
        <f aca="false">IF(OR(C291="",D291=""),"",D291-C291)</f>
        <v/>
      </c>
      <c r="L291" s="13" t="str">
        <f aca="false">IF(A291="","",IF(OR(I291="Devolvida",N(H291)&gt;0),"Sim","Não"))</f>
        <v/>
      </c>
    </row>
    <row r="292" customFormat="false" ht="15" hidden="false" customHeight="false" outlineLevel="0" collapsed="false">
      <c r="A292" s="18"/>
      <c r="B292" s="18"/>
      <c r="C292" s="25"/>
      <c r="D292" s="25"/>
      <c r="E292" s="25"/>
      <c r="F292" s="18"/>
      <c r="G292" s="18"/>
      <c r="H292" s="18"/>
      <c r="I292" s="18"/>
      <c r="J292" s="13" t="str">
        <f aca="false">IF(OR(D292="",E292=""),"",E292-D292)</f>
        <v/>
      </c>
      <c r="K292" s="13" t="str">
        <f aca="false">IF(OR(C292="",D292=""),"",D292-C292)</f>
        <v/>
      </c>
      <c r="L292" s="13" t="str">
        <f aca="false">IF(A292="","",IF(OR(I292="Devolvida",N(H292)&gt;0),"Sim","Não"))</f>
        <v/>
      </c>
    </row>
    <row r="293" customFormat="false" ht="15" hidden="false" customHeight="false" outlineLevel="0" collapsed="false">
      <c r="A293" s="18"/>
      <c r="B293" s="18"/>
      <c r="C293" s="25"/>
      <c r="D293" s="25"/>
      <c r="E293" s="25"/>
      <c r="F293" s="18"/>
      <c r="G293" s="18"/>
      <c r="H293" s="18"/>
      <c r="I293" s="18"/>
      <c r="J293" s="13" t="str">
        <f aca="false">IF(OR(D293="",E293=""),"",E293-D293)</f>
        <v/>
      </c>
      <c r="K293" s="13" t="str">
        <f aca="false">IF(OR(C293="",D293=""),"",D293-C293)</f>
        <v/>
      </c>
      <c r="L293" s="13" t="str">
        <f aca="false">IF(A293="","",IF(OR(I293="Devolvida",N(H293)&gt;0),"Sim","Não"))</f>
        <v/>
      </c>
    </row>
    <row r="294" customFormat="false" ht="15" hidden="false" customHeight="false" outlineLevel="0" collapsed="false">
      <c r="A294" s="18"/>
      <c r="B294" s="18"/>
      <c r="C294" s="25"/>
      <c r="D294" s="25"/>
      <c r="E294" s="25"/>
      <c r="F294" s="18"/>
      <c r="G294" s="18"/>
      <c r="H294" s="18"/>
      <c r="I294" s="18"/>
      <c r="J294" s="13" t="str">
        <f aca="false">IF(OR(D294="",E294=""),"",E294-D294)</f>
        <v/>
      </c>
      <c r="K294" s="13" t="str">
        <f aca="false">IF(OR(C294="",D294=""),"",D294-C294)</f>
        <v/>
      </c>
      <c r="L294" s="13" t="str">
        <f aca="false">IF(A294="","",IF(OR(I294="Devolvida",N(H294)&gt;0),"Sim","Não"))</f>
        <v/>
      </c>
    </row>
    <row r="295" customFormat="false" ht="15" hidden="false" customHeight="false" outlineLevel="0" collapsed="false">
      <c r="A295" s="18"/>
      <c r="B295" s="18"/>
      <c r="C295" s="25"/>
      <c r="D295" s="25"/>
      <c r="E295" s="25"/>
      <c r="F295" s="18"/>
      <c r="G295" s="18"/>
      <c r="H295" s="18"/>
      <c r="I295" s="18"/>
      <c r="J295" s="13" t="str">
        <f aca="false">IF(OR(D295="",E295=""),"",E295-D295)</f>
        <v/>
      </c>
      <c r="K295" s="13" t="str">
        <f aca="false">IF(OR(C295="",D295=""),"",D295-C295)</f>
        <v/>
      </c>
      <c r="L295" s="13" t="str">
        <f aca="false">IF(A295="","",IF(OR(I295="Devolvida",N(H295)&gt;0),"Sim","Não"))</f>
        <v/>
      </c>
    </row>
    <row r="296" customFormat="false" ht="15" hidden="false" customHeight="false" outlineLevel="0" collapsed="false">
      <c r="A296" s="18"/>
      <c r="B296" s="18"/>
      <c r="C296" s="25"/>
      <c r="D296" s="25"/>
      <c r="E296" s="25"/>
      <c r="F296" s="18"/>
      <c r="G296" s="18"/>
      <c r="H296" s="18"/>
      <c r="I296" s="18"/>
      <c r="J296" s="13" t="str">
        <f aca="false">IF(OR(D296="",E296=""),"",E296-D296)</f>
        <v/>
      </c>
      <c r="K296" s="13" t="str">
        <f aca="false">IF(OR(C296="",D296=""),"",D296-C296)</f>
        <v/>
      </c>
      <c r="L296" s="13" t="str">
        <f aca="false">IF(A296="","",IF(OR(I296="Devolvida",N(H296)&gt;0),"Sim","Não"))</f>
        <v/>
      </c>
    </row>
    <row r="297" customFormat="false" ht="15" hidden="false" customHeight="false" outlineLevel="0" collapsed="false">
      <c r="A297" s="18"/>
      <c r="B297" s="18"/>
      <c r="C297" s="25"/>
      <c r="D297" s="25"/>
      <c r="E297" s="25"/>
      <c r="F297" s="18"/>
      <c r="G297" s="18"/>
      <c r="H297" s="18"/>
      <c r="I297" s="18"/>
      <c r="J297" s="13" t="str">
        <f aca="false">IF(OR(D297="",E297=""),"",E297-D297)</f>
        <v/>
      </c>
      <c r="K297" s="13" t="str">
        <f aca="false">IF(OR(C297="",D297=""),"",D297-C297)</f>
        <v/>
      </c>
      <c r="L297" s="13" t="str">
        <f aca="false">IF(A297="","",IF(OR(I297="Devolvida",N(H297)&gt;0),"Sim","Não"))</f>
        <v/>
      </c>
    </row>
    <row r="298" customFormat="false" ht="15" hidden="false" customHeight="false" outlineLevel="0" collapsed="false">
      <c r="A298" s="18"/>
      <c r="B298" s="18"/>
      <c r="C298" s="25"/>
      <c r="D298" s="25"/>
      <c r="E298" s="25"/>
      <c r="F298" s="18"/>
      <c r="G298" s="18"/>
      <c r="H298" s="18"/>
      <c r="I298" s="18"/>
      <c r="J298" s="13" t="str">
        <f aca="false">IF(OR(D298="",E298=""),"",E298-D298)</f>
        <v/>
      </c>
      <c r="K298" s="13" t="str">
        <f aca="false">IF(OR(C298="",D298=""),"",D298-C298)</f>
        <v/>
      </c>
      <c r="L298" s="13" t="str">
        <f aca="false">IF(A298="","",IF(OR(I298="Devolvida",N(H298)&gt;0),"Sim","Não"))</f>
        <v/>
      </c>
    </row>
    <row r="299" customFormat="false" ht="15" hidden="false" customHeight="false" outlineLevel="0" collapsed="false">
      <c r="A299" s="18"/>
      <c r="B299" s="18"/>
      <c r="C299" s="25"/>
      <c r="D299" s="25"/>
      <c r="E299" s="25"/>
      <c r="F299" s="18"/>
      <c r="G299" s="18"/>
      <c r="H299" s="18"/>
      <c r="I299" s="18"/>
      <c r="J299" s="13" t="str">
        <f aca="false">IF(OR(D299="",E299=""),"",E299-D299)</f>
        <v/>
      </c>
      <c r="K299" s="13" t="str">
        <f aca="false">IF(OR(C299="",D299=""),"",D299-C299)</f>
        <v/>
      </c>
      <c r="L299" s="13" t="str">
        <f aca="false">IF(A299="","",IF(OR(I299="Devolvida",N(H299)&gt;0),"Sim","Não"))</f>
        <v/>
      </c>
    </row>
    <row r="300" customFormat="false" ht="15" hidden="false" customHeight="false" outlineLevel="0" collapsed="false">
      <c r="A300" s="18"/>
      <c r="B300" s="18"/>
      <c r="C300" s="25"/>
      <c r="D300" s="25"/>
      <c r="E300" s="25"/>
      <c r="F300" s="18"/>
      <c r="G300" s="18"/>
      <c r="H300" s="18"/>
      <c r="I300" s="18"/>
      <c r="J300" s="13" t="str">
        <f aca="false">IF(OR(D300="",E300=""),"",E300-D300)</f>
        <v/>
      </c>
      <c r="K300" s="13" t="str">
        <f aca="false">IF(OR(C300="",D300=""),"",D300-C300)</f>
        <v/>
      </c>
      <c r="L300" s="13" t="str">
        <f aca="false">IF(A300="","",IF(OR(I300="Devolvida",N(H300)&gt;0),"Sim","Não"))</f>
        <v/>
      </c>
    </row>
    <row r="301" customFormat="false" ht="15" hidden="false" customHeight="false" outlineLevel="0" collapsed="false">
      <c r="A301" s="18"/>
      <c r="B301" s="18"/>
      <c r="C301" s="25"/>
      <c r="D301" s="25"/>
      <c r="E301" s="25"/>
      <c r="F301" s="18"/>
      <c r="G301" s="18"/>
      <c r="H301" s="18"/>
      <c r="I301" s="18"/>
      <c r="J301" s="13" t="str">
        <f aca="false">IF(OR(D301="",E301=""),"",E301-D301)</f>
        <v/>
      </c>
      <c r="K301" s="13" t="str">
        <f aca="false">IF(OR(C301="",D301=""),"",D301-C301)</f>
        <v/>
      </c>
      <c r="L301" s="13" t="str">
        <f aca="false">IF(A301="","",IF(OR(I301="Devolvida",N(H301)&gt;0),"Sim","Não"))</f>
        <v/>
      </c>
    </row>
    <row r="302" customFormat="false" ht="15" hidden="false" customHeight="false" outlineLevel="0" collapsed="false">
      <c r="A302" s="18"/>
      <c r="B302" s="18"/>
      <c r="C302" s="25"/>
      <c r="D302" s="25"/>
      <c r="E302" s="25"/>
      <c r="F302" s="18"/>
      <c r="G302" s="18"/>
      <c r="H302" s="18"/>
      <c r="I302" s="18"/>
      <c r="J302" s="13" t="str">
        <f aca="false">IF(OR(D302="",E302=""),"",E302-D302)</f>
        <v/>
      </c>
      <c r="K302" s="13" t="str">
        <f aca="false">IF(OR(C302="",D302=""),"",D302-C302)</f>
        <v/>
      </c>
      <c r="L302" s="13" t="str">
        <f aca="false">IF(A302="","",IF(OR(I302="Devolvida",N(H302)&gt;0),"Sim","Não"))</f>
        <v/>
      </c>
    </row>
    <row r="303" customFormat="false" ht="15" hidden="false" customHeight="false" outlineLevel="0" collapsed="false">
      <c r="A303" s="18"/>
      <c r="B303" s="18"/>
      <c r="C303" s="25"/>
      <c r="D303" s="25"/>
      <c r="E303" s="25"/>
      <c r="F303" s="18"/>
      <c r="G303" s="18"/>
      <c r="H303" s="18"/>
      <c r="I303" s="18"/>
      <c r="J303" s="13" t="str">
        <f aca="false">IF(OR(D303="",E303=""),"",E303-D303)</f>
        <v/>
      </c>
      <c r="K303" s="13" t="str">
        <f aca="false">IF(OR(C303="",D303=""),"",D303-C303)</f>
        <v/>
      </c>
      <c r="L303" s="13" t="str">
        <f aca="false">IF(A303="","",IF(OR(I303="Devolvida",N(H303)&gt;0),"Sim","Não"))</f>
        <v/>
      </c>
    </row>
    <row r="304" customFormat="false" ht="15" hidden="false" customHeight="false" outlineLevel="0" collapsed="false">
      <c r="A304" s="18"/>
      <c r="B304" s="18"/>
      <c r="C304" s="25"/>
      <c r="D304" s="25"/>
      <c r="E304" s="25"/>
      <c r="F304" s="18"/>
      <c r="G304" s="18"/>
      <c r="H304" s="18"/>
      <c r="I304" s="18"/>
      <c r="J304" s="13" t="str">
        <f aca="false">IF(OR(D304="",E304=""),"",E304-D304)</f>
        <v/>
      </c>
      <c r="K304" s="13" t="str">
        <f aca="false">IF(OR(C304="",D304=""),"",D304-C304)</f>
        <v/>
      </c>
      <c r="L304" s="13" t="str">
        <f aca="false">IF(A304="","",IF(OR(I304="Devolvida",N(H304)&gt;0),"Sim","Não"))</f>
        <v/>
      </c>
    </row>
    <row r="305" customFormat="false" ht="15" hidden="false" customHeight="false" outlineLevel="0" collapsed="false">
      <c r="A305" s="18"/>
      <c r="B305" s="18"/>
      <c r="C305" s="25"/>
      <c r="D305" s="25"/>
      <c r="E305" s="25"/>
      <c r="F305" s="18"/>
      <c r="G305" s="18"/>
      <c r="H305" s="18"/>
      <c r="I305" s="18"/>
      <c r="J305" s="13" t="str">
        <f aca="false">IF(OR(D305="",E305=""),"",E305-D305)</f>
        <v/>
      </c>
      <c r="K305" s="13" t="str">
        <f aca="false">IF(OR(C305="",D305=""),"",D305-C305)</f>
        <v/>
      </c>
      <c r="L305" s="13" t="str">
        <f aca="false">IF(A305="","",IF(OR(I305="Devolvida",N(H305)&gt;0),"Sim","Não"))</f>
        <v/>
      </c>
    </row>
    <row r="306" customFormat="false" ht="15" hidden="false" customHeight="false" outlineLevel="0" collapsed="false">
      <c r="A306" s="18"/>
      <c r="B306" s="18"/>
      <c r="C306" s="25"/>
      <c r="D306" s="25"/>
      <c r="E306" s="25"/>
      <c r="F306" s="18"/>
      <c r="G306" s="18"/>
      <c r="H306" s="18"/>
      <c r="I306" s="18"/>
      <c r="J306" s="13" t="str">
        <f aca="false">IF(OR(D306="",E306=""),"",E306-D306)</f>
        <v/>
      </c>
      <c r="K306" s="13" t="str">
        <f aca="false">IF(OR(C306="",D306=""),"",D306-C306)</f>
        <v/>
      </c>
      <c r="L306" s="13" t="str">
        <f aca="false">IF(A306="","",IF(OR(I306="Devolvida",N(H306)&gt;0),"Sim","Não"))</f>
        <v/>
      </c>
    </row>
    <row r="307" customFormat="false" ht="15" hidden="false" customHeight="false" outlineLevel="0" collapsed="false">
      <c r="A307" s="18"/>
      <c r="B307" s="18"/>
      <c r="C307" s="25"/>
      <c r="D307" s="25"/>
      <c r="E307" s="25"/>
      <c r="F307" s="18"/>
      <c r="G307" s="18"/>
      <c r="H307" s="18"/>
      <c r="I307" s="18"/>
      <c r="J307" s="13" t="str">
        <f aca="false">IF(OR(D307="",E307=""),"",E307-D307)</f>
        <v/>
      </c>
      <c r="K307" s="13" t="str">
        <f aca="false">IF(OR(C307="",D307=""),"",D307-C307)</f>
        <v/>
      </c>
      <c r="L307" s="13" t="str">
        <f aca="false">IF(A307="","",IF(OR(I307="Devolvida",N(H307)&gt;0),"Sim","Não"))</f>
        <v/>
      </c>
    </row>
    <row r="308" customFormat="false" ht="15" hidden="false" customHeight="false" outlineLevel="0" collapsed="false">
      <c r="A308" s="18"/>
      <c r="B308" s="18"/>
      <c r="C308" s="25"/>
      <c r="D308" s="25"/>
      <c r="E308" s="25"/>
      <c r="F308" s="18"/>
      <c r="G308" s="18"/>
      <c r="H308" s="18"/>
      <c r="I308" s="18"/>
      <c r="J308" s="13" t="str">
        <f aca="false">IF(OR(D308="",E308=""),"",E308-D308)</f>
        <v/>
      </c>
      <c r="K308" s="13" t="str">
        <f aca="false">IF(OR(C308="",D308=""),"",D308-C308)</f>
        <v/>
      </c>
      <c r="L308" s="13" t="str">
        <f aca="false">IF(A308="","",IF(OR(I308="Devolvida",N(H308)&gt;0),"Sim","Não"))</f>
        <v/>
      </c>
    </row>
    <row r="309" customFormat="false" ht="15" hidden="false" customHeight="false" outlineLevel="0" collapsed="false">
      <c r="A309" s="18"/>
      <c r="B309" s="18"/>
      <c r="C309" s="25"/>
      <c r="D309" s="25"/>
      <c r="E309" s="25"/>
      <c r="F309" s="18"/>
      <c r="G309" s="18"/>
      <c r="H309" s="18"/>
      <c r="I309" s="18"/>
      <c r="J309" s="13" t="str">
        <f aca="false">IF(OR(D309="",E309=""),"",E309-D309)</f>
        <v/>
      </c>
      <c r="K309" s="13" t="str">
        <f aca="false">IF(OR(C309="",D309=""),"",D309-C309)</f>
        <v/>
      </c>
      <c r="L309" s="13" t="str">
        <f aca="false">IF(A309="","",IF(OR(I309="Devolvida",N(H309)&gt;0),"Sim","Não"))</f>
        <v/>
      </c>
    </row>
    <row r="310" customFormat="false" ht="15" hidden="false" customHeight="false" outlineLevel="0" collapsed="false">
      <c r="A310" s="18"/>
      <c r="B310" s="18"/>
      <c r="C310" s="25"/>
      <c r="D310" s="25"/>
      <c r="E310" s="25"/>
      <c r="F310" s="18"/>
      <c r="G310" s="18"/>
      <c r="H310" s="18"/>
      <c r="I310" s="18"/>
      <c r="J310" s="13" t="str">
        <f aca="false">IF(OR(D310="",E310=""),"",E310-D310)</f>
        <v/>
      </c>
      <c r="K310" s="13" t="str">
        <f aca="false">IF(OR(C310="",D310=""),"",D310-C310)</f>
        <v/>
      </c>
      <c r="L310" s="13" t="str">
        <f aca="false">IF(A310="","",IF(OR(I310="Devolvida",N(H310)&gt;0),"Sim","Não"))</f>
        <v/>
      </c>
    </row>
    <row r="311" customFormat="false" ht="15" hidden="false" customHeight="false" outlineLevel="0" collapsed="false">
      <c r="A311" s="18"/>
      <c r="B311" s="18"/>
      <c r="C311" s="25"/>
      <c r="D311" s="25"/>
      <c r="E311" s="25"/>
      <c r="F311" s="18"/>
      <c r="G311" s="18"/>
      <c r="H311" s="18"/>
      <c r="I311" s="18"/>
      <c r="J311" s="13" t="str">
        <f aca="false">IF(OR(D311="",E311=""),"",E311-D311)</f>
        <v/>
      </c>
      <c r="K311" s="13" t="str">
        <f aca="false">IF(OR(C311="",D311=""),"",D311-C311)</f>
        <v/>
      </c>
      <c r="L311" s="13" t="str">
        <f aca="false">IF(A311="","",IF(OR(I311="Devolvida",N(H311)&gt;0),"Sim","Não"))</f>
        <v/>
      </c>
    </row>
    <row r="312" customFormat="false" ht="15" hidden="false" customHeight="false" outlineLevel="0" collapsed="false">
      <c r="A312" s="18"/>
      <c r="B312" s="18"/>
      <c r="C312" s="25"/>
      <c r="D312" s="25"/>
      <c r="E312" s="25"/>
      <c r="F312" s="18"/>
      <c r="G312" s="18"/>
      <c r="H312" s="18"/>
      <c r="I312" s="18"/>
      <c r="J312" s="13" t="str">
        <f aca="false">IF(OR(D312="",E312=""),"",E312-D312)</f>
        <v/>
      </c>
      <c r="K312" s="13" t="str">
        <f aca="false">IF(OR(C312="",D312=""),"",D312-C312)</f>
        <v/>
      </c>
      <c r="L312" s="13" t="str">
        <f aca="false">IF(A312="","",IF(OR(I312="Devolvida",N(H312)&gt;0),"Sim","Não"))</f>
        <v/>
      </c>
    </row>
    <row r="313" customFormat="false" ht="15" hidden="false" customHeight="false" outlineLevel="0" collapsed="false">
      <c r="A313" s="18"/>
      <c r="B313" s="18"/>
      <c r="C313" s="25"/>
      <c r="D313" s="25"/>
      <c r="E313" s="25"/>
      <c r="F313" s="18"/>
      <c r="G313" s="18"/>
      <c r="H313" s="18"/>
      <c r="I313" s="18"/>
      <c r="J313" s="13" t="str">
        <f aca="false">IF(OR(D313="",E313=""),"",E313-D313)</f>
        <v/>
      </c>
      <c r="K313" s="13" t="str">
        <f aca="false">IF(OR(C313="",D313=""),"",D313-C313)</f>
        <v/>
      </c>
      <c r="L313" s="13" t="str">
        <f aca="false">IF(A313="","",IF(OR(I313="Devolvida",N(H313)&gt;0),"Sim","Não"))</f>
        <v/>
      </c>
    </row>
    <row r="314" customFormat="false" ht="15" hidden="false" customHeight="false" outlineLevel="0" collapsed="false">
      <c r="A314" s="18"/>
      <c r="B314" s="18"/>
      <c r="C314" s="25"/>
      <c r="D314" s="25"/>
      <c r="E314" s="25"/>
      <c r="F314" s="18"/>
      <c r="G314" s="18"/>
      <c r="H314" s="18"/>
      <c r="I314" s="18"/>
      <c r="J314" s="13" t="str">
        <f aca="false">IF(OR(D314="",E314=""),"",E314-D314)</f>
        <v/>
      </c>
      <c r="K314" s="13" t="str">
        <f aca="false">IF(OR(C314="",D314=""),"",D314-C314)</f>
        <v/>
      </c>
      <c r="L314" s="13" t="str">
        <f aca="false">IF(A314="","",IF(OR(I314="Devolvida",N(H314)&gt;0),"Sim","Não"))</f>
        <v/>
      </c>
    </row>
    <row r="315" customFormat="false" ht="15" hidden="false" customHeight="false" outlineLevel="0" collapsed="false">
      <c r="A315" s="18"/>
      <c r="B315" s="18"/>
      <c r="C315" s="25"/>
      <c r="D315" s="25"/>
      <c r="E315" s="25"/>
      <c r="F315" s="18"/>
      <c r="G315" s="18"/>
      <c r="H315" s="18"/>
      <c r="I315" s="18"/>
      <c r="J315" s="13" t="str">
        <f aca="false">IF(OR(D315="",E315=""),"",E315-D315)</f>
        <v/>
      </c>
      <c r="K315" s="13" t="str">
        <f aca="false">IF(OR(C315="",D315=""),"",D315-C315)</f>
        <v/>
      </c>
      <c r="L315" s="13" t="str">
        <f aca="false">IF(A315="","",IF(OR(I315="Devolvida",N(H315)&gt;0),"Sim","Não"))</f>
        <v/>
      </c>
    </row>
    <row r="316" customFormat="false" ht="15" hidden="false" customHeight="false" outlineLevel="0" collapsed="false">
      <c r="A316" s="18"/>
      <c r="B316" s="18"/>
      <c r="C316" s="25"/>
      <c r="D316" s="25"/>
      <c r="E316" s="25"/>
      <c r="F316" s="18"/>
      <c r="G316" s="18"/>
      <c r="H316" s="18"/>
      <c r="I316" s="18"/>
      <c r="J316" s="13" t="str">
        <f aca="false">IF(OR(D316="",E316=""),"",E316-D316)</f>
        <v/>
      </c>
      <c r="K316" s="13" t="str">
        <f aca="false">IF(OR(C316="",D316=""),"",D316-C316)</f>
        <v/>
      </c>
      <c r="L316" s="13" t="str">
        <f aca="false">IF(A316="","",IF(OR(I316="Devolvida",N(H316)&gt;0),"Sim","Não"))</f>
        <v/>
      </c>
    </row>
    <row r="317" customFormat="false" ht="15" hidden="false" customHeight="false" outlineLevel="0" collapsed="false">
      <c r="A317" s="18"/>
      <c r="B317" s="18"/>
      <c r="C317" s="25"/>
      <c r="D317" s="25"/>
      <c r="E317" s="25"/>
      <c r="F317" s="18"/>
      <c r="G317" s="18"/>
      <c r="H317" s="18"/>
      <c r="I317" s="18"/>
      <c r="J317" s="13" t="str">
        <f aca="false">IF(OR(D317="",E317=""),"",E317-D317)</f>
        <v/>
      </c>
      <c r="K317" s="13" t="str">
        <f aca="false">IF(OR(C317="",D317=""),"",D317-C317)</f>
        <v/>
      </c>
      <c r="L317" s="13" t="str">
        <f aca="false">IF(A317="","",IF(OR(I317="Devolvida",N(H317)&gt;0),"Sim","Não"))</f>
        <v/>
      </c>
    </row>
    <row r="318" customFormat="false" ht="15" hidden="false" customHeight="false" outlineLevel="0" collapsed="false">
      <c r="A318" s="18"/>
      <c r="B318" s="18"/>
      <c r="C318" s="25"/>
      <c r="D318" s="25"/>
      <c r="E318" s="25"/>
      <c r="F318" s="18"/>
      <c r="G318" s="18"/>
      <c r="H318" s="18"/>
      <c r="I318" s="18"/>
      <c r="J318" s="13" t="str">
        <f aca="false">IF(OR(D318="",E318=""),"",E318-D318)</f>
        <v/>
      </c>
      <c r="K318" s="13" t="str">
        <f aca="false">IF(OR(C318="",D318=""),"",D318-C318)</f>
        <v/>
      </c>
      <c r="L318" s="13" t="str">
        <f aca="false">IF(A318="","",IF(OR(I318="Devolvida",N(H318)&gt;0),"Sim","Não"))</f>
        <v/>
      </c>
    </row>
    <row r="319" customFormat="false" ht="15" hidden="false" customHeight="false" outlineLevel="0" collapsed="false">
      <c r="A319" s="18"/>
      <c r="B319" s="18"/>
      <c r="C319" s="25"/>
      <c r="D319" s="25"/>
      <c r="E319" s="25"/>
      <c r="F319" s="18"/>
      <c r="G319" s="18"/>
      <c r="H319" s="18"/>
      <c r="I319" s="18"/>
      <c r="J319" s="13" t="str">
        <f aca="false">IF(OR(D319="",E319=""),"",E319-D319)</f>
        <v/>
      </c>
      <c r="K319" s="13" t="str">
        <f aca="false">IF(OR(C319="",D319=""),"",D319-C319)</f>
        <v/>
      </c>
      <c r="L319" s="13" t="str">
        <f aca="false">IF(A319="","",IF(OR(I319="Devolvida",N(H319)&gt;0),"Sim","Não"))</f>
        <v/>
      </c>
    </row>
    <row r="320" customFormat="false" ht="15" hidden="false" customHeight="false" outlineLevel="0" collapsed="false">
      <c r="A320" s="18"/>
      <c r="B320" s="18"/>
      <c r="C320" s="25"/>
      <c r="D320" s="25"/>
      <c r="E320" s="25"/>
      <c r="F320" s="18"/>
      <c r="G320" s="18"/>
      <c r="H320" s="18"/>
      <c r="I320" s="18"/>
      <c r="J320" s="13" t="str">
        <f aca="false">IF(OR(D320="",E320=""),"",E320-D320)</f>
        <v/>
      </c>
      <c r="K320" s="13" t="str">
        <f aca="false">IF(OR(C320="",D320=""),"",D320-C320)</f>
        <v/>
      </c>
      <c r="L320" s="13" t="str">
        <f aca="false">IF(A320="","",IF(OR(I320="Devolvida",N(H320)&gt;0),"Sim","Não"))</f>
        <v/>
      </c>
    </row>
    <row r="321" customFormat="false" ht="15" hidden="false" customHeight="false" outlineLevel="0" collapsed="false">
      <c r="A321" s="18"/>
      <c r="B321" s="18"/>
      <c r="C321" s="25"/>
      <c r="D321" s="25"/>
      <c r="E321" s="25"/>
      <c r="F321" s="18"/>
      <c r="G321" s="18"/>
      <c r="H321" s="18"/>
      <c r="I321" s="18"/>
      <c r="J321" s="13" t="str">
        <f aca="false">IF(OR(D321="",E321=""),"",E321-D321)</f>
        <v/>
      </c>
      <c r="K321" s="13" t="str">
        <f aca="false">IF(OR(C321="",D321=""),"",D321-C321)</f>
        <v/>
      </c>
      <c r="L321" s="13" t="str">
        <f aca="false">IF(A321="","",IF(OR(I321="Devolvida",N(H321)&gt;0),"Sim","Não"))</f>
        <v/>
      </c>
    </row>
    <row r="322" customFormat="false" ht="15" hidden="false" customHeight="false" outlineLevel="0" collapsed="false">
      <c r="A322" s="18"/>
      <c r="B322" s="18"/>
      <c r="C322" s="25"/>
      <c r="D322" s="25"/>
      <c r="E322" s="25"/>
      <c r="F322" s="18"/>
      <c r="G322" s="18"/>
      <c r="H322" s="18"/>
      <c r="I322" s="18"/>
      <c r="J322" s="13" t="str">
        <f aca="false">IF(OR(D322="",E322=""),"",E322-D322)</f>
        <v/>
      </c>
      <c r="K322" s="13" t="str">
        <f aca="false">IF(OR(C322="",D322=""),"",D322-C322)</f>
        <v/>
      </c>
      <c r="L322" s="13" t="str">
        <f aca="false">IF(A322="","",IF(OR(I322="Devolvida",N(H322)&gt;0),"Sim","Não"))</f>
        <v/>
      </c>
    </row>
    <row r="323" customFormat="false" ht="15" hidden="false" customHeight="false" outlineLevel="0" collapsed="false">
      <c r="A323" s="18"/>
      <c r="B323" s="18"/>
      <c r="C323" s="25"/>
      <c r="D323" s="25"/>
      <c r="E323" s="25"/>
      <c r="F323" s="18"/>
      <c r="G323" s="18"/>
      <c r="H323" s="18"/>
      <c r="I323" s="18"/>
      <c r="J323" s="13" t="str">
        <f aca="false">IF(OR(D323="",E323=""),"",E323-D323)</f>
        <v/>
      </c>
      <c r="K323" s="13" t="str">
        <f aca="false">IF(OR(C323="",D323=""),"",D323-C323)</f>
        <v/>
      </c>
      <c r="L323" s="13" t="str">
        <f aca="false">IF(A323="","",IF(OR(I323="Devolvida",N(H323)&gt;0),"Sim","Não"))</f>
        <v/>
      </c>
    </row>
    <row r="324" customFormat="false" ht="15" hidden="false" customHeight="false" outlineLevel="0" collapsed="false">
      <c r="A324" s="18"/>
      <c r="B324" s="18"/>
      <c r="C324" s="25"/>
      <c r="D324" s="25"/>
      <c r="E324" s="25"/>
      <c r="F324" s="18"/>
      <c r="G324" s="18"/>
      <c r="H324" s="18"/>
      <c r="I324" s="18"/>
      <c r="J324" s="13" t="str">
        <f aca="false">IF(OR(D324="",E324=""),"",E324-D324)</f>
        <v/>
      </c>
      <c r="K324" s="13" t="str">
        <f aca="false">IF(OR(C324="",D324=""),"",D324-C324)</f>
        <v/>
      </c>
      <c r="L324" s="13" t="str">
        <f aca="false">IF(A324="","",IF(OR(I324="Devolvida",N(H324)&gt;0),"Sim","Não"))</f>
        <v/>
      </c>
    </row>
    <row r="325" customFormat="false" ht="15" hidden="false" customHeight="false" outlineLevel="0" collapsed="false">
      <c r="A325" s="18"/>
      <c r="B325" s="18"/>
      <c r="C325" s="25"/>
      <c r="D325" s="25"/>
      <c r="E325" s="25"/>
      <c r="F325" s="18"/>
      <c r="G325" s="18"/>
      <c r="H325" s="18"/>
      <c r="I325" s="18"/>
      <c r="J325" s="13" t="str">
        <f aca="false">IF(OR(D325="",E325=""),"",E325-D325)</f>
        <v/>
      </c>
      <c r="K325" s="13" t="str">
        <f aca="false">IF(OR(C325="",D325=""),"",D325-C325)</f>
        <v/>
      </c>
      <c r="L325" s="13" t="str">
        <f aca="false">IF(A325="","",IF(OR(I325="Devolvida",N(H325)&gt;0),"Sim","Não"))</f>
        <v/>
      </c>
    </row>
    <row r="326" customFormat="false" ht="15" hidden="false" customHeight="false" outlineLevel="0" collapsed="false">
      <c r="A326" s="18"/>
      <c r="B326" s="18"/>
      <c r="C326" s="25"/>
      <c r="D326" s="25"/>
      <c r="E326" s="25"/>
      <c r="F326" s="18"/>
      <c r="G326" s="18"/>
      <c r="H326" s="18"/>
      <c r="I326" s="18"/>
      <c r="J326" s="13" t="str">
        <f aca="false">IF(OR(D326="",E326=""),"",E326-D326)</f>
        <v/>
      </c>
      <c r="K326" s="13" t="str">
        <f aca="false">IF(OR(C326="",D326=""),"",D326-C326)</f>
        <v/>
      </c>
      <c r="L326" s="13" t="str">
        <f aca="false">IF(A326="","",IF(OR(I326="Devolvida",N(H326)&gt;0),"Sim","Não"))</f>
        <v/>
      </c>
    </row>
    <row r="327" customFormat="false" ht="15" hidden="false" customHeight="false" outlineLevel="0" collapsed="false">
      <c r="A327" s="18"/>
      <c r="B327" s="18"/>
      <c r="C327" s="25"/>
      <c r="D327" s="25"/>
      <c r="E327" s="25"/>
      <c r="F327" s="18"/>
      <c r="G327" s="18"/>
      <c r="H327" s="18"/>
      <c r="I327" s="18"/>
      <c r="J327" s="13" t="str">
        <f aca="false">IF(OR(D327="",E327=""),"",E327-D327)</f>
        <v/>
      </c>
      <c r="K327" s="13" t="str">
        <f aca="false">IF(OR(C327="",D327=""),"",D327-C327)</f>
        <v/>
      </c>
      <c r="L327" s="13" t="str">
        <f aca="false">IF(A327="","",IF(OR(I327="Devolvida",N(H327)&gt;0),"Sim","Não"))</f>
        <v/>
      </c>
    </row>
    <row r="328" customFormat="false" ht="15" hidden="false" customHeight="false" outlineLevel="0" collapsed="false">
      <c r="A328" s="18"/>
      <c r="B328" s="18"/>
      <c r="C328" s="25"/>
      <c r="D328" s="25"/>
      <c r="E328" s="25"/>
      <c r="F328" s="18"/>
      <c r="G328" s="18"/>
      <c r="H328" s="18"/>
      <c r="I328" s="18"/>
      <c r="J328" s="13" t="str">
        <f aca="false">IF(OR(D328="",E328=""),"",E328-D328)</f>
        <v/>
      </c>
      <c r="K328" s="13" t="str">
        <f aca="false">IF(OR(C328="",D328=""),"",D328-C328)</f>
        <v/>
      </c>
      <c r="L328" s="13" t="str">
        <f aca="false">IF(A328="","",IF(OR(I328="Devolvida",N(H328)&gt;0),"Sim","Não"))</f>
        <v/>
      </c>
    </row>
    <row r="329" customFormat="false" ht="15" hidden="false" customHeight="false" outlineLevel="0" collapsed="false">
      <c r="A329" s="18"/>
      <c r="B329" s="18"/>
      <c r="C329" s="25"/>
      <c r="D329" s="25"/>
      <c r="E329" s="25"/>
      <c r="F329" s="18"/>
      <c r="G329" s="18"/>
      <c r="H329" s="18"/>
      <c r="I329" s="18"/>
      <c r="J329" s="13" t="str">
        <f aca="false">IF(OR(D329="",E329=""),"",E329-D329)</f>
        <v/>
      </c>
      <c r="K329" s="13" t="str">
        <f aca="false">IF(OR(C329="",D329=""),"",D329-C329)</f>
        <v/>
      </c>
      <c r="L329" s="13" t="str">
        <f aca="false">IF(A329="","",IF(OR(I329="Devolvida",N(H329)&gt;0),"Sim","Não"))</f>
        <v/>
      </c>
    </row>
    <row r="330" customFormat="false" ht="15" hidden="false" customHeight="false" outlineLevel="0" collapsed="false">
      <c r="A330" s="18"/>
      <c r="B330" s="18"/>
      <c r="C330" s="25"/>
      <c r="D330" s="25"/>
      <c r="E330" s="25"/>
      <c r="F330" s="18"/>
      <c r="G330" s="18"/>
      <c r="H330" s="18"/>
      <c r="I330" s="18"/>
      <c r="J330" s="13" t="str">
        <f aca="false">IF(OR(D330="",E330=""),"",E330-D330)</f>
        <v/>
      </c>
      <c r="K330" s="13" t="str">
        <f aca="false">IF(OR(C330="",D330=""),"",D330-C330)</f>
        <v/>
      </c>
      <c r="L330" s="13" t="str">
        <f aca="false">IF(A330="","",IF(OR(I330="Devolvida",N(H330)&gt;0),"Sim","Não"))</f>
        <v/>
      </c>
    </row>
    <row r="331" customFormat="false" ht="15" hidden="false" customHeight="false" outlineLevel="0" collapsed="false">
      <c r="A331" s="18"/>
      <c r="B331" s="18"/>
      <c r="C331" s="25"/>
      <c r="D331" s="25"/>
      <c r="E331" s="25"/>
      <c r="F331" s="18"/>
      <c r="G331" s="18"/>
      <c r="H331" s="18"/>
      <c r="I331" s="18"/>
      <c r="J331" s="13" t="str">
        <f aca="false">IF(OR(D331="",E331=""),"",E331-D331)</f>
        <v/>
      </c>
      <c r="K331" s="13" t="str">
        <f aca="false">IF(OR(C331="",D331=""),"",D331-C331)</f>
        <v/>
      </c>
      <c r="L331" s="13" t="str">
        <f aca="false">IF(A331="","",IF(OR(I331="Devolvida",N(H331)&gt;0),"Sim","Não"))</f>
        <v/>
      </c>
    </row>
    <row r="332" customFormat="false" ht="15" hidden="false" customHeight="false" outlineLevel="0" collapsed="false">
      <c r="A332" s="18"/>
      <c r="B332" s="18"/>
      <c r="C332" s="25"/>
      <c r="D332" s="25"/>
      <c r="E332" s="25"/>
      <c r="F332" s="18"/>
      <c r="G332" s="18"/>
      <c r="H332" s="18"/>
      <c r="I332" s="18"/>
      <c r="J332" s="13" t="str">
        <f aca="false">IF(OR(D332="",E332=""),"",E332-D332)</f>
        <v/>
      </c>
      <c r="K332" s="13" t="str">
        <f aca="false">IF(OR(C332="",D332=""),"",D332-C332)</f>
        <v/>
      </c>
      <c r="L332" s="13" t="str">
        <f aca="false">IF(A332="","",IF(OR(I332="Devolvida",N(H332)&gt;0),"Sim","Não"))</f>
        <v/>
      </c>
    </row>
    <row r="333" customFormat="false" ht="15" hidden="false" customHeight="false" outlineLevel="0" collapsed="false">
      <c r="A333" s="18"/>
      <c r="B333" s="18"/>
      <c r="C333" s="25"/>
      <c r="D333" s="25"/>
      <c r="E333" s="25"/>
      <c r="F333" s="18"/>
      <c r="G333" s="18"/>
      <c r="H333" s="18"/>
      <c r="I333" s="18"/>
      <c r="J333" s="13" t="str">
        <f aca="false">IF(OR(D333="",E333=""),"",E333-D333)</f>
        <v/>
      </c>
      <c r="K333" s="13" t="str">
        <f aca="false">IF(OR(C333="",D333=""),"",D333-C333)</f>
        <v/>
      </c>
      <c r="L333" s="13" t="str">
        <f aca="false">IF(A333="","",IF(OR(I333="Devolvida",N(H333)&gt;0),"Sim","Não"))</f>
        <v/>
      </c>
    </row>
    <row r="334" customFormat="false" ht="15" hidden="false" customHeight="false" outlineLevel="0" collapsed="false">
      <c r="A334" s="18"/>
      <c r="B334" s="18"/>
      <c r="C334" s="25"/>
      <c r="D334" s="25"/>
      <c r="E334" s="25"/>
      <c r="F334" s="18"/>
      <c r="G334" s="18"/>
      <c r="H334" s="18"/>
      <c r="I334" s="18"/>
      <c r="J334" s="13" t="str">
        <f aca="false">IF(OR(D334="",E334=""),"",E334-D334)</f>
        <v/>
      </c>
      <c r="K334" s="13" t="str">
        <f aca="false">IF(OR(C334="",D334=""),"",D334-C334)</f>
        <v/>
      </c>
      <c r="L334" s="13" t="str">
        <f aca="false">IF(A334="","",IF(OR(I334="Devolvida",N(H334)&gt;0),"Sim","Não"))</f>
        <v/>
      </c>
    </row>
    <row r="335" customFormat="false" ht="15" hidden="false" customHeight="false" outlineLevel="0" collapsed="false">
      <c r="A335" s="18"/>
      <c r="B335" s="18"/>
      <c r="C335" s="25"/>
      <c r="D335" s="25"/>
      <c r="E335" s="25"/>
      <c r="F335" s="18"/>
      <c r="G335" s="18"/>
      <c r="H335" s="18"/>
      <c r="I335" s="18"/>
      <c r="J335" s="13" t="str">
        <f aca="false">IF(OR(D335="",E335=""),"",E335-D335)</f>
        <v/>
      </c>
      <c r="K335" s="13" t="str">
        <f aca="false">IF(OR(C335="",D335=""),"",D335-C335)</f>
        <v/>
      </c>
      <c r="L335" s="13" t="str">
        <f aca="false">IF(A335="","",IF(OR(I335="Devolvida",N(H335)&gt;0),"Sim","Não"))</f>
        <v/>
      </c>
    </row>
    <row r="336" customFormat="false" ht="15" hidden="false" customHeight="false" outlineLevel="0" collapsed="false">
      <c r="A336" s="18"/>
      <c r="B336" s="18"/>
      <c r="C336" s="25"/>
      <c r="D336" s="25"/>
      <c r="E336" s="25"/>
      <c r="F336" s="18"/>
      <c r="G336" s="18"/>
      <c r="H336" s="18"/>
      <c r="I336" s="18"/>
      <c r="J336" s="13" t="str">
        <f aca="false">IF(OR(D336="",E336=""),"",E336-D336)</f>
        <v/>
      </c>
      <c r="K336" s="13" t="str">
        <f aca="false">IF(OR(C336="",D336=""),"",D336-C336)</f>
        <v/>
      </c>
      <c r="L336" s="13" t="str">
        <f aca="false">IF(A336="","",IF(OR(I336="Devolvida",N(H336)&gt;0),"Sim","Não"))</f>
        <v/>
      </c>
    </row>
    <row r="337" customFormat="false" ht="15" hidden="false" customHeight="false" outlineLevel="0" collapsed="false">
      <c r="A337" s="18"/>
      <c r="B337" s="18"/>
      <c r="C337" s="25"/>
      <c r="D337" s="25"/>
      <c r="E337" s="25"/>
      <c r="F337" s="18"/>
      <c r="G337" s="18"/>
      <c r="H337" s="18"/>
      <c r="I337" s="18"/>
      <c r="J337" s="13" t="str">
        <f aca="false">IF(OR(D337="",E337=""),"",E337-D337)</f>
        <v/>
      </c>
      <c r="K337" s="13" t="str">
        <f aca="false">IF(OR(C337="",D337=""),"",D337-C337)</f>
        <v/>
      </c>
      <c r="L337" s="13" t="str">
        <f aca="false">IF(A337="","",IF(OR(I337="Devolvida",N(H337)&gt;0),"Sim","Não"))</f>
        <v/>
      </c>
    </row>
    <row r="338" customFormat="false" ht="15" hidden="false" customHeight="false" outlineLevel="0" collapsed="false">
      <c r="A338" s="18"/>
      <c r="B338" s="18"/>
      <c r="C338" s="25"/>
      <c r="D338" s="25"/>
      <c r="E338" s="25"/>
      <c r="F338" s="18"/>
      <c r="G338" s="18"/>
      <c r="H338" s="18"/>
      <c r="I338" s="18"/>
      <c r="J338" s="13" t="str">
        <f aca="false">IF(OR(D338="",E338=""),"",E338-D338)</f>
        <v/>
      </c>
      <c r="K338" s="13" t="str">
        <f aca="false">IF(OR(C338="",D338=""),"",D338-C338)</f>
        <v/>
      </c>
      <c r="L338" s="13" t="str">
        <f aca="false">IF(A338="","",IF(OR(I338="Devolvida",N(H338)&gt;0),"Sim","Não"))</f>
        <v/>
      </c>
    </row>
    <row r="339" customFormat="false" ht="15" hidden="false" customHeight="false" outlineLevel="0" collapsed="false">
      <c r="A339" s="18"/>
      <c r="B339" s="18"/>
      <c r="C339" s="25"/>
      <c r="D339" s="25"/>
      <c r="E339" s="25"/>
      <c r="F339" s="18"/>
      <c r="G339" s="18"/>
      <c r="H339" s="18"/>
      <c r="I339" s="18"/>
      <c r="J339" s="13" t="str">
        <f aca="false">IF(OR(D339="",E339=""),"",E339-D339)</f>
        <v/>
      </c>
      <c r="K339" s="13" t="str">
        <f aca="false">IF(OR(C339="",D339=""),"",D339-C339)</f>
        <v/>
      </c>
      <c r="L339" s="13" t="str">
        <f aca="false">IF(A339="","",IF(OR(I339="Devolvida",N(H339)&gt;0),"Sim","Não"))</f>
        <v/>
      </c>
    </row>
    <row r="340" customFormat="false" ht="15" hidden="false" customHeight="false" outlineLevel="0" collapsed="false">
      <c r="A340" s="18"/>
      <c r="B340" s="18"/>
      <c r="C340" s="25"/>
      <c r="D340" s="25"/>
      <c r="E340" s="25"/>
      <c r="F340" s="18"/>
      <c r="G340" s="18"/>
      <c r="H340" s="18"/>
      <c r="I340" s="18"/>
      <c r="J340" s="13" t="str">
        <f aca="false">IF(OR(D340="",E340=""),"",E340-D340)</f>
        <v/>
      </c>
      <c r="K340" s="13" t="str">
        <f aca="false">IF(OR(C340="",D340=""),"",D340-C340)</f>
        <v/>
      </c>
      <c r="L340" s="13" t="str">
        <f aca="false">IF(A340="","",IF(OR(I340="Devolvida",N(H340)&gt;0),"Sim","Não"))</f>
        <v/>
      </c>
    </row>
    <row r="341" customFormat="false" ht="15" hidden="false" customHeight="false" outlineLevel="0" collapsed="false">
      <c r="A341" s="18"/>
      <c r="B341" s="18"/>
      <c r="C341" s="25"/>
      <c r="D341" s="25"/>
      <c r="E341" s="25"/>
      <c r="F341" s="18"/>
      <c r="G341" s="18"/>
      <c r="H341" s="18"/>
      <c r="I341" s="18"/>
      <c r="J341" s="13" t="str">
        <f aca="false">IF(OR(D341="",E341=""),"",E341-D341)</f>
        <v/>
      </c>
      <c r="K341" s="13" t="str">
        <f aca="false">IF(OR(C341="",D341=""),"",D341-C341)</f>
        <v/>
      </c>
      <c r="L341" s="13" t="str">
        <f aca="false">IF(A341="","",IF(OR(I341="Devolvida",N(H341)&gt;0),"Sim","Não"))</f>
        <v/>
      </c>
    </row>
    <row r="342" customFormat="false" ht="15" hidden="false" customHeight="false" outlineLevel="0" collapsed="false">
      <c r="A342" s="18"/>
      <c r="B342" s="18"/>
      <c r="C342" s="25"/>
      <c r="D342" s="25"/>
      <c r="E342" s="25"/>
      <c r="F342" s="18"/>
      <c r="G342" s="18"/>
      <c r="H342" s="18"/>
      <c r="I342" s="18"/>
      <c r="J342" s="13" t="str">
        <f aca="false">IF(OR(D342="",E342=""),"",E342-D342)</f>
        <v/>
      </c>
      <c r="K342" s="13" t="str">
        <f aca="false">IF(OR(C342="",D342=""),"",D342-C342)</f>
        <v/>
      </c>
      <c r="L342" s="13" t="str">
        <f aca="false">IF(A342="","",IF(OR(I342="Devolvida",N(H342)&gt;0),"Sim","Não"))</f>
        <v/>
      </c>
    </row>
    <row r="343" customFormat="false" ht="15" hidden="false" customHeight="false" outlineLevel="0" collapsed="false">
      <c r="A343" s="18"/>
      <c r="B343" s="18"/>
      <c r="C343" s="25"/>
      <c r="D343" s="25"/>
      <c r="E343" s="25"/>
      <c r="F343" s="18"/>
      <c r="G343" s="18"/>
      <c r="H343" s="18"/>
      <c r="I343" s="18"/>
      <c r="J343" s="13" t="str">
        <f aca="false">IF(OR(D343="",E343=""),"",E343-D343)</f>
        <v/>
      </c>
      <c r="K343" s="13" t="str">
        <f aca="false">IF(OR(C343="",D343=""),"",D343-C343)</f>
        <v/>
      </c>
      <c r="L343" s="13" t="str">
        <f aca="false">IF(A343="","",IF(OR(I343="Devolvida",N(H343)&gt;0),"Sim","Não"))</f>
        <v/>
      </c>
    </row>
    <row r="344" customFormat="false" ht="15" hidden="false" customHeight="false" outlineLevel="0" collapsed="false">
      <c r="A344" s="18"/>
      <c r="B344" s="18"/>
      <c r="C344" s="25"/>
      <c r="D344" s="25"/>
      <c r="E344" s="25"/>
      <c r="F344" s="18"/>
      <c r="G344" s="18"/>
      <c r="H344" s="18"/>
      <c r="I344" s="18"/>
      <c r="J344" s="13" t="str">
        <f aca="false">IF(OR(D344="",E344=""),"",E344-D344)</f>
        <v/>
      </c>
      <c r="K344" s="13" t="str">
        <f aca="false">IF(OR(C344="",D344=""),"",D344-C344)</f>
        <v/>
      </c>
      <c r="L344" s="13" t="str">
        <f aca="false">IF(A344="","",IF(OR(I344="Devolvida",N(H344)&gt;0),"Sim","Não"))</f>
        <v/>
      </c>
    </row>
    <row r="345" customFormat="false" ht="15" hidden="false" customHeight="false" outlineLevel="0" collapsed="false">
      <c r="A345" s="18"/>
      <c r="B345" s="18"/>
      <c r="C345" s="25"/>
      <c r="D345" s="25"/>
      <c r="E345" s="25"/>
      <c r="F345" s="18"/>
      <c r="G345" s="18"/>
      <c r="H345" s="18"/>
      <c r="I345" s="18"/>
      <c r="J345" s="13" t="str">
        <f aca="false">IF(OR(D345="",E345=""),"",E345-D345)</f>
        <v/>
      </c>
      <c r="K345" s="13" t="str">
        <f aca="false">IF(OR(C345="",D345=""),"",D345-C345)</f>
        <v/>
      </c>
      <c r="L345" s="13" t="str">
        <f aca="false">IF(A345="","",IF(OR(I345="Devolvida",N(H345)&gt;0),"Sim","Não"))</f>
        <v/>
      </c>
    </row>
    <row r="346" customFormat="false" ht="15" hidden="false" customHeight="false" outlineLevel="0" collapsed="false">
      <c r="A346" s="18"/>
      <c r="B346" s="18"/>
      <c r="C346" s="25"/>
      <c r="D346" s="25"/>
      <c r="E346" s="25"/>
      <c r="F346" s="18"/>
      <c r="G346" s="18"/>
      <c r="H346" s="18"/>
      <c r="I346" s="18"/>
      <c r="J346" s="13" t="str">
        <f aca="false">IF(OR(D346="",E346=""),"",E346-D346)</f>
        <v/>
      </c>
      <c r="K346" s="13" t="str">
        <f aca="false">IF(OR(C346="",D346=""),"",D346-C346)</f>
        <v/>
      </c>
      <c r="L346" s="13" t="str">
        <f aca="false">IF(A346="","",IF(OR(I346="Devolvida",N(H346)&gt;0),"Sim","Não"))</f>
        <v/>
      </c>
    </row>
    <row r="347" customFormat="false" ht="15" hidden="false" customHeight="false" outlineLevel="0" collapsed="false">
      <c r="A347" s="18"/>
      <c r="B347" s="18"/>
      <c r="C347" s="25"/>
      <c r="D347" s="25"/>
      <c r="E347" s="25"/>
      <c r="F347" s="18"/>
      <c r="G347" s="18"/>
      <c r="H347" s="18"/>
      <c r="I347" s="18"/>
      <c r="J347" s="13" t="str">
        <f aca="false">IF(OR(D347="",E347=""),"",E347-D347)</f>
        <v/>
      </c>
      <c r="K347" s="13" t="str">
        <f aca="false">IF(OR(C347="",D347=""),"",D347-C347)</f>
        <v/>
      </c>
      <c r="L347" s="13" t="str">
        <f aca="false">IF(A347="","",IF(OR(I347="Devolvida",N(H347)&gt;0),"Sim","Não"))</f>
        <v/>
      </c>
    </row>
    <row r="348" customFormat="false" ht="15" hidden="false" customHeight="false" outlineLevel="0" collapsed="false">
      <c r="A348" s="18"/>
      <c r="B348" s="18"/>
      <c r="C348" s="25"/>
      <c r="D348" s="25"/>
      <c r="E348" s="25"/>
      <c r="F348" s="18"/>
      <c r="G348" s="18"/>
      <c r="H348" s="18"/>
      <c r="I348" s="18"/>
      <c r="J348" s="13" t="str">
        <f aca="false">IF(OR(D348="",E348=""),"",E348-D348)</f>
        <v/>
      </c>
      <c r="K348" s="13" t="str">
        <f aca="false">IF(OR(C348="",D348=""),"",D348-C348)</f>
        <v/>
      </c>
      <c r="L348" s="13" t="str">
        <f aca="false">IF(A348="","",IF(OR(I348="Devolvida",N(H348)&gt;0),"Sim","Não"))</f>
        <v/>
      </c>
    </row>
    <row r="349" customFormat="false" ht="15" hidden="false" customHeight="false" outlineLevel="0" collapsed="false">
      <c r="A349" s="18"/>
      <c r="B349" s="18"/>
      <c r="C349" s="25"/>
      <c r="D349" s="25"/>
      <c r="E349" s="25"/>
      <c r="F349" s="18"/>
      <c r="G349" s="18"/>
      <c r="H349" s="18"/>
      <c r="I349" s="18"/>
      <c r="J349" s="13" t="str">
        <f aca="false">IF(OR(D349="",E349=""),"",E349-D349)</f>
        <v/>
      </c>
      <c r="K349" s="13" t="str">
        <f aca="false">IF(OR(C349="",D349=""),"",D349-C349)</f>
        <v/>
      </c>
      <c r="L349" s="13" t="str">
        <f aca="false">IF(A349="","",IF(OR(I349="Devolvida",N(H349)&gt;0),"Sim","Não"))</f>
        <v/>
      </c>
    </row>
    <row r="350" customFormat="false" ht="15" hidden="false" customHeight="false" outlineLevel="0" collapsed="false">
      <c r="A350" s="18"/>
      <c r="B350" s="18"/>
      <c r="C350" s="25"/>
      <c r="D350" s="25"/>
      <c r="E350" s="25"/>
      <c r="F350" s="18"/>
      <c r="G350" s="18"/>
      <c r="H350" s="18"/>
      <c r="I350" s="18"/>
      <c r="J350" s="13" t="str">
        <f aca="false">IF(OR(D350="",E350=""),"",E350-D350)</f>
        <v/>
      </c>
      <c r="K350" s="13" t="str">
        <f aca="false">IF(OR(C350="",D350=""),"",D350-C350)</f>
        <v/>
      </c>
      <c r="L350" s="13" t="str">
        <f aca="false">IF(A350="","",IF(OR(I350="Devolvida",N(H350)&gt;0),"Sim","Não"))</f>
        <v/>
      </c>
    </row>
    <row r="351" customFormat="false" ht="15" hidden="false" customHeight="false" outlineLevel="0" collapsed="false">
      <c r="A351" s="18"/>
      <c r="B351" s="18"/>
      <c r="C351" s="25"/>
      <c r="D351" s="25"/>
      <c r="E351" s="25"/>
      <c r="F351" s="18"/>
      <c r="G351" s="18"/>
      <c r="H351" s="18"/>
      <c r="I351" s="18"/>
      <c r="J351" s="13" t="str">
        <f aca="false">IF(OR(D351="",E351=""),"",E351-D351)</f>
        <v/>
      </c>
      <c r="K351" s="13" t="str">
        <f aca="false">IF(OR(C351="",D351=""),"",D351-C351)</f>
        <v/>
      </c>
      <c r="L351" s="13" t="str">
        <f aca="false">IF(A351="","",IF(OR(I351="Devolvida",N(H351)&gt;0),"Sim","Não"))</f>
        <v/>
      </c>
    </row>
    <row r="352" customFormat="false" ht="15" hidden="false" customHeight="false" outlineLevel="0" collapsed="false">
      <c r="A352" s="18"/>
      <c r="B352" s="18"/>
      <c r="C352" s="25"/>
      <c r="D352" s="25"/>
      <c r="E352" s="25"/>
      <c r="F352" s="18"/>
      <c r="G352" s="18"/>
      <c r="H352" s="18"/>
      <c r="I352" s="18"/>
      <c r="J352" s="13" t="str">
        <f aca="false">IF(OR(D352="",E352=""),"",E352-D352)</f>
        <v/>
      </c>
      <c r="K352" s="13" t="str">
        <f aca="false">IF(OR(C352="",D352=""),"",D352-C352)</f>
        <v/>
      </c>
      <c r="L352" s="13" t="str">
        <f aca="false">IF(A352="","",IF(OR(I352="Devolvida",N(H352)&gt;0),"Sim","Não"))</f>
        <v/>
      </c>
    </row>
    <row r="353" customFormat="false" ht="15" hidden="false" customHeight="false" outlineLevel="0" collapsed="false">
      <c r="A353" s="18"/>
      <c r="B353" s="18"/>
      <c r="C353" s="25"/>
      <c r="D353" s="25"/>
      <c r="E353" s="25"/>
      <c r="F353" s="18"/>
      <c r="G353" s="18"/>
      <c r="H353" s="18"/>
      <c r="I353" s="18"/>
      <c r="J353" s="13" t="str">
        <f aca="false">IF(OR(D353="",E353=""),"",E353-D353)</f>
        <v/>
      </c>
      <c r="K353" s="13" t="str">
        <f aca="false">IF(OR(C353="",D353=""),"",D353-C353)</f>
        <v/>
      </c>
      <c r="L353" s="13" t="str">
        <f aca="false">IF(A353="","",IF(OR(I353="Devolvida",N(H353)&gt;0),"Sim","Não"))</f>
        <v/>
      </c>
    </row>
    <row r="354" customFormat="false" ht="15" hidden="false" customHeight="false" outlineLevel="0" collapsed="false">
      <c r="A354" s="18"/>
      <c r="B354" s="18"/>
      <c r="C354" s="25"/>
      <c r="D354" s="25"/>
      <c r="E354" s="25"/>
      <c r="F354" s="18"/>
      <c r="G354" s="18"/>
      <c r="H354" s="18"/>
      <c r="I354" s="18"/>
      <c r="J354" s="13" t="str">
        <f aca="false">IF(OR(D354="",E354=""),"",E354-D354)</f>
        <v/>
      </c>
      <c r="K354" s="13" t="str">
        <f aca="false">IF(OR(C354="",D354=""),"",D354-C354)</f>
        <v/>
      </c>
      <c r="L354" s="13" t="str">
        <f aca="false">IF(A354="","",IF(OR(I354="Devolvida",N(H354)&gt;0),"Sim","Não"))</f>
        <v/>
      </c>
    </row>
    <row r="355" customFormat="false" ht="15" hidden="false" customHeight="false" outlineLevel="0" collapsed="false">
      <c r="A355" s="18"/>
      <c r="B355" s="18"/>
      <c r="C355" s="25"/>
      <c r="D355" s="25"/>
      <c r="E355" s="25"/>
      <c r="F355" s="18"/>
      <c r="G355" s="18"/>
      <c r="H355" s="18"/>
      <c r="I355" s="18"/>
      <c r="J355" s="13" t="str">
        <f aca="false">IF(OR(D355="",E355=""),"",E355-D355)</f>
        <v/>
      </c>
      <c r="K355" s="13" t="str">
        <f aca="false">IF(OR(C355="",D355=""),"",D355-C355)</f>
        <v/>
      </c>
      <c r="L355" s="13" t="str">
        <f aca="false">IF(A355="","",IF(OR(I355="Devolvida",N(H355)&gt;0),"Sim","Não"))</f>
        <v/>
      </c>
    </row>
    <row r="356" customFormat="false" ht="15" hidden="false" customHeight="false" outlineLevel="0" collapsed="false">
      <c r="A356" s="18"/>
      <c r="B356" s="18"/>
      <c r="C356" s="25"/>
      <c r="D356" s="25"/>
      <c r="E356" s="25"/>
      <c r="F356" s="18"/>
      <c r="G356" s="18"/>
      <c r="H356" s="18"/>
      <c r="I356" s="18"/>
      <c r="J356" s="13" t="str">
        <f aca="false">IF(OR(D356="",E356=""),"",E356-D356)</f>
        <v/>
      </c>
      <c r="K356" s="13" t="str">
        <f aca="false">IF(OR(C356="",D356=""),"",D356-C356)</f>
        <v/>
      </c>
      <c r="L356" s="13" t="str">
        <f aca="false">IF(A356="","",IF(OR(I356="Devolvida",N(H356)&gt;0),"Sim","Não"))</f>
        <v/>
      </c>
    </row>
    <row r="357" customFormat="false" ht="15" hidden="false" customHeight="false" outlineLevel="0" collapsed="false">
      <c r="A357" s="18"/>
      <c r="B357" s="18"/>
      <c r="C357" s="25"/>
      <c r="D357" s="25"/>
      <c r="E357" s="25"/>
      <c r="F357" s="18"/>
      <c r="G357" s="18"/>
      <c r="H357" s="18"/>
      <c r="I357" s="18"/>
      <c r="J357" s="13" t="str">
        <f aca="false">IF(OR(D357="",E357=""),"",E357-D357)</f>
        <v/>
      </c>
      <c r="K357" s="13" t="str">
        <f aca="false">IF(OR(C357="",D357=""),"",D357-C357)</f>
        <v/>
      </c>
      <c r="L357" s="13" t="str">
        <f aca="false">IF(A357="","",IF(OR(I357="Devolvida",N(H357)&gt;0),"Sim","Não"))</f>
        <v/>
      </c>
    </row>
    <row r="358" customFormat="false" ht="15" hidden="false" customHeight="false" outlineLevel="0" collapsed="false">
      <c r="A358" s="18"/>
      <c r="B358" s="18"/>
      <c r="C358" s="25"/>
      <c r="D358" s="25"/>
      <c r="E358" s="25"/>
      <c r="F358" s="18"/>
      <c r="G358" s="18"/>
      <c r="H358" s="18"/>
      <c r="I358" s="18"/>
      <c r="J358" s="13" t="str">
        <f aca="false">IF(OR(D358="",E358=""),"",E358-D358)</f>
        <v/>
      </c>
      <c r="K358" s="13" t="str">
        <f aca="false">IF(OR(C358="",D358=""),"",D358-C358)</f>
        <v/>
      </c>
      <c r="L358" s="13" t="str">
        <f aca="false">IF(A358="","",IF(OR(I358="Devolvida",N(H358)&gt;0),"Sim","Não"))</f>
        <v/>
      </c>
    </row>
    <row r="359" customFormat="false" ht="15" hidden="false" customHeight="false" outlineLevel="0" collapsed="false">
      <c r="A359" s="18"/>
      <c r="B359" s="18"/>
      <c r="C359" s="25"/>
      <c r="D359" s="25"/>
      <c r="E359" s="25"/>
      <c r="F359" s="18"/>
      <c r="G359" s="18"/>
      <c r="H359" s="18"/>
      <c r="I359" s="18"/>
      <c r="J359" s="13" t="str">
        <f aca="false">IF(OR(D359="",E359=""),"",E359-D359)</f>
        <v/>
      </c>
      <c r="K359" s="13" t="str">
        <f aca="false">IF(OR(C359="",D359=""),"",D359-C359)</f>
        <v/>
      </c>
      <c r="L359" s="13" t="str">
        <f aca="false">IF(A359="","",IF(OR(I359="Devolvida",N(H359)&gt;0),"Sim","Não"))</f>
        <v/>
      </c>
    </row>
    <row r="360" customFormat="false" ht="15" hidden="false" customHeight="false" outlineLevel="0" collapsed="false">
      <c r="A360" s="18"/>
      <c r="B360" s="18"/>
      <c r="C360" s="25"/>
      <c r="D360" s="25"/>
      <c r="E360" s="25"/>
      <c r="F360" s="18"/>
      <c r="G360" s="18"/>
      <c r="H360" s="18"/>
      <c r="I360" s="18"/>
      <c r="J360" s="13" t="str">
        <f aca="false">IF(OR(D360="",E360=""),"",E360-D360)</f>
        <v/>
      </c>
      <c r="K360" s="13" t="str">
        <f aca="false">IF(OR(C360="",D360=""),"",D360-C360)</f>
        <v/>
      </c>
      <c r="L360" s="13" t="str">
        <f aca="false">IF(A360="","",IF(OR(I360="Devolvida",N(H360)&gt;0),"Sim","Não"))</f>
        <v/>
      </c>
    </row>
    <row r="361" customFormat="false" ht="15" hidden="false" customHeight="false" outlineLevel="0" collapsed="false">
      <c r="A361" s="18"/>
      <c r="B361" s="18"/>
      <c r="C361" s="25"/>
      <c r="D361" s="25"/>
      <c r="E361" s="25"/>
      <c r="F361" s="18"/>
      <c r="G361" s="18"/>
      <c r="H361" s="18"/>
      <c r="I361" s="18"/>
      <c r="J361" s="13" t="str">
        <f aca="false">IF(OR(D361="",E361=""),"",E361-D361)</f>
        <v/>
      </c>
      <c r="K361" s="13" t="str">
        <f aca="false">IF(OR(C361="",D361=""),"",D361-C361)</f>
        <v/>
      </c>
      <c r="L361" s="13" t="str">
        <f aca="false">IF(A361="","",IF(OR(I361="Devolvida",N(H361)&gt;0),"Sim","Não"))</f>
        <v/>
      </c>
    </row>
    <row r="362" customFormat="false" ht="15" hidden="false" customHeight="false" outlineLevel="0" collapsed="false">
      <c r="A362" s="18"/>
      <c r="B362" s="18"/>
      <c r="C362" s="25"/>
      <c r="D362" s="25"/>
      <c r="E362" s="25"/>
      <c r="F362" s="18"/>
      <c r="G362" s="18"/>
      <c r="H362" s="18"/>
      <c r="I362" s="18"/>
      <c r="J362" s="13" t="str">
        <f aca="false">IF(OR(D362="",E362=""),"",E362-D362)</f>
        <v/>
      </c>
      <c r="K362" s="13" t="str">
        <f aca="false">IF(OR(C362="",D362=""),"",D362-C362)</f>
        <v/>
      </c>
      <c r="L362" s="13" t="str">
        <f aca="false">IF(A362="","",IF(OR(I362="Devolvida",N(H362)&gt;0),"Sim","Não"))</f>
        <v/>
      </c>
    </row>
    <row r="363" customFormat="false" ht="15" hidden="false" customHeight="false" outlineLevel="0" collapsed="false">
      <c r="A363" s="18"/>
      <c r="B363" s="18"/>
      <c r="C363" s="25"/>
      <c r="D363" s="25"/>
      <c r="E363" s="25"/>
      <c r="F363" s="18"/>
      <c r="G363" s="18"/>
      <c r="H363" s="18"/>
      <c r="I363" s="18"/>
      <c r="J363" s="13" t="str">
        <f aca="false">IF(OR(D363="",E363=""),"",E363-D363)</f>
        <v/>
      </c>
      <c r="K363" s="13" t="str">
        <f aca="false">IF(OR(C363="",D363=""),"",D363-C363)</f>
        <v/>
      </c>
      <c r="L363" s="13" t="str">
        <f aca="false">IF(A363="","",IF(OR(I363="Devolvida",N(H363)&gt;0),"Sim","Não"))</f>
        <v/>
      </c>
    </row>
    <row r="364" customFormat="false" ht="15" hidden="false" customHeight="false" outlineLevel="0" collapsed="false">
      <c r="A364" s="18"/>
      <c r="B364" s="18"/>
      <c r="C364" s="25"/>
      <c r="D364" s="25"/>
      <c r="E364" s="25"/>
      <c r="F364" s="18"/>
      <c r="G364" s="18"/>
      <c r="H364" s="18"/>
      <c r="I364" s="18"/>
      <c r="J364" s="13" t="str">
        <f aca="false">IF(OR(D364="",E364=""),"",E364-D364)</f>
        <v/>
      </c>
      <c r="K364" s="13" t="str">
        <f aca="false">IF(OR(C364="",D364=""),"",D364-C364)</f>
        <v/>
      </c>
      <c r="L364" s="13" t="str">
        <f aca="false">IF(A364="","",IF(OR(I364="Devolvida",N(H364)&gt;0),"Sim","Não"))</f>
        <v/>
      </c>
    </row>
    <row r="365" customFormat="false" ht="15" hidden="false" customHeight="false" outlineLevel="0" collapsed="false">
      <c r="A365" s="18"/>
      <c r="B365" s="18"/>
      <c r="C365" s="25"/>
      <c r="D365" s="25"/>
      <c r="E365" s="25"/>
      <c r="F365" s="18"/>
      <c r="G365" s="18"/>
      <c r="H365" s="18"/>
      <c r="I365" s="18"/>
      <c r="J365" s="13" t="str">
        <f aca="false">IF(OR(D365="",E365=""),"",E365-D365)</f>
        <v/>
      </c>
      <c r="K365" s="13" t="str">
        <f aca="false">IF(OR(C365="",D365=""),"",D365-C365)</f>
        <v/>
      </c>
      <c r="L365" s="13" t="str">
        <f aca="false">IF(A365="","",IF(OR(I365="Devolvida",N(H365)&gt;0),"Sim","Não"))</f>
        <v/>
      </c>
    </row>
    <row r="366" customFormat="false" ht="15" hidden="false" customHeight="false" outlineLevel="0" collapsed="false">
      <c r="A366" s="18"/>
      <c r="B366" s="18"/>
      <c r="C366" s="25"/>
      <c r="D366" s="25"/>
      <c r="E366" s="25"/>
      <c r="F366" s="18"/>
      <c r="G366" s="18"/>
      <c r="H366" s="18"/>
      <c r="I366" s="18"/>
      <c r="J366" s="13" t="str">
        <f aca="false">IF(OR(D366="",E366=""),"",E366-D366)</f>
        <v/>
      </c>
      <c r="K366" s="13" t="str">
        <f aca="false">IF(OR(C366="",D366=""),"",D366-C366)</f>
        <v/>
      </c>
      <c r="L366" s="13" t="str">
        <f aca="false">IF(A366="","",IF(OR(I366="Devolvida",N(H366)&gt;0),"Sim","Não"))</f>
        <v/>
      </c>
    </row>
    <row r="367" customFormat="false" ht="15" hidden="false" customHeight="false" outlineLevel="0" collapsed="false">
      <c r="A367" s="18"/>
      <c r="B367" s="18"/>
      <c r="C367" s="25"/>
      <c r="D367" s="25"/>
      <c r="E367" s="25"/>
      <c r="F367" s="18"/>
      <c r="G367" s="18"/>
      <c r="H367" s="18"/>
      <c r="I367" s="18"/>
      <c r="J367" s="13" t="str">
        <f aca="false">IF(OR(D367="",E367=""),"",E367-D367)</f>
        <v/>
      </c>
      <c r="K367" s="13" t="str">
        <f aca="false">IF(OR(C367="",D367=""),"",D367-C367)</f>
        <v/>
      </c>
      <c r="L367" s="13" t="str">
        <f aca="false">IF(A367="","",IF(OR(I367="Devolvida",N(H367)&gt;0),"Sim","Não"))</f>
        <v/>
      </c>
    </row>
    <row r="368" customFormat="false" ht="15" hidden="false" customHeight="false" outlineLevel="0" collapsed="false">
      <c r="A368" s="18"/>
      <c r="B368" s="18"/>
      <c r="C368" s="25"/>
      <c r="D368" s="25"/>
      <c r="E368" s="25"/>
      <c r="F368" s="18"/>
      <c r="G368" s="18"/>
      <c r="H368" s="18"/>
      <c r="I368" s="18"/>
      <c r="J368" s="13" t="str">
        <f aca="false">IF(OR(D368="",E368=""),"",E368-D368)</f>
        <v/>
      </c>
      <c r="K368" s="13" t="str">
        <f aca="false">IF(OR(C368="",D368=""),"",D368-C368)</f>
        <v/>
      </c>
      <c r="L368" s="13" t="str">
        <f aca="false">IF(A368="","",IF(OR(I368="Devolvida",N(H368)&gt;0),"Sim","Não"))</f>
        <v/>
      </c>
    </row>
    <row r="369" customFormat="false" ht="15" hidden="false" customHeight="false" outlineLevel="0" collapsed="false">
      <c r="A369" s="18"/>
      <c r="B369" s="18"/>
      <c r="C369" s="25"/>
      <c r="D369" s="25"/>
      <c r="E369" s="25"/>
      <c r="F369" s="18"/>
      <c r="G369" s="18"/>
      <c r="H369" s="18"/>
      <c r="I369" s="18"/>
      <c r="J369" s="13" t="str">
        <f aca="false">IF(OR(D369="",E369=""),"",E369-D369)</f>
        <v/>
      </c>
      <c r="K369" s="13" t="str">
        <f aca="false">IF(OR(C369="",D369=""),"",D369-C369)</f>
        <v/>
      </c>
      <c r="L369" s="13" t="str">
        <f aca="false">IF(A369="","",IF(OR(I369="Devolvida",N(H369)&gt;0),"Sim","Não"))</f>
        <v/>
      </c>
    </row>
    <row r="370" customFormat="false" ht="15" hidden="false" customHeight="false" outlineLevel="0" collapsed="false">
      <c r="A370" s="18"/>
      <c r="B370" s="18"/>
      <c r="C370" s="25"/>
      <c r="D370" s="25"/>
      <c r="E370" s="25"/>
      <c r="F370" s="18"/>
      <c r="G370" s="18"/>
      <c r="H370" s="18"/>
      <c r="I370" s="18"/>
      <c r="J370" s="13" t="str">
        <f aca="false">IF(OR(D370="",E370=""),"",E370-D370)</f>
        <v/>
      </c>
      <c r="K370" s="13" t="str">
        <f aca="false">IF(OR(C370="",D370=""),"",D370-C370)</f>
        <v/>
      </c>
      <c r="L370" s="13" t="str">
        <f aca="false">IF(A370="","",IF(OR(I370="Devolvida",N(H370)&gt;0),"Sim","Não"))</f>
        <v/>
      </c>
    </row>
    <row r="371" customFormat="false" ht="15" hidden="false" customHeight="false" outlineLevel="0" collapsed="false">
      <c r="A371" s="18"/>
      <c r="B371" s="18"/>
      <c r="C371" s="25"/>
      <c r="D371" s="25"/>
      <c r="E371" s="25"/>
      <c r="F371" s="18"/>
      <c r="G371" s="18"/>
      <c r="H371" s="18"/>
      <c r="I371" s="18"/>
      <c r="J371" s="13" t="str">
        <f aca="false">IF(OR(D371="",E371=""),"",E371-D371)</f>
        <v/>
      </c>
      <c r="K371" s="13" t="str">
        <f aca="false">IF(OR(C371="",D371=""),"",D371-C371)</f>
        <v/>
      </c>
      <c r="L371" s="13" t="str">
        <f aca="false">IF(A371="","",IF(OR(I371="Devolvida",N(H371)&gt;0),"Sim","Não"))</f>
        <v/>
      </c>
    </row>
    <row r="372" customFormat="false" ht="15" hidden="false" customHeight="false" outlineLevel="0" collapsed="false">
      <c r="A372" s="18"/>
      <c r="B372" s="18"/>
      <c r="C372" s="25"/>
      <c r="D372" s="25"/>
      <c r="E372" s="25"/>
      <c r="F372" s="18"/>
      <c r="G372" s="18"/>
      <c r="H372" s="18"/>
      <c r="I372" s="18"/>
      <c r="J372" s="13" t="str">
        <f aca="false">IF(OR(D372="",E372=""),"",E372-D372)</f>
        <v/>
      </c>
      <c r="K372" s="13" t="str">
        <f aca="false">IF(OR(C372="",D372=""),"",D372-C372)</f>
        <v/>
      </c>
      <c r="L372" s="13" t="str">
        <f aca="false">IF(A372="","",IF(OR(I372="Devolvida",N(H372)&gt;0),"Sim","Não"))</f>
        <v/>
      </c>
    </row>
    <row r="373" customFormat="false" ht="15" hidden="false" customHeight="false" outlineLevel="0" collapsed="false">
      <c r="A373" s="18"/>
      <c r="B373" s="18"/>
      <c r="C373" s="25"/>
      <c r="D373" s="25"/>
      <c r="E373" s="25"/>
      <c r="F373" s="18"/>
      <c r="G373" s="18"/>
      <c r="H373" s="18"/>
      <c r="I373" s="18"/>
      <c r="J373" s="13" t="str">
        <f aca="false">IF(OR(D373="",E373=""),"",E373-D373)</f>
        <v/>
      </c>
      <c r="K373" s="13" t="str">
        <f aca="false">IF(OR(C373="",D373=""),"",D373-C373)</f>
        <v/>
      </c>
      <c r="L373" s="13" t="str">
        <f aca="false">IF(A373="","",IF(OR(I373="Devolvida",N(H373)&gt;0),"Sim","Não"))</f>
        <v/>
      </c>
    </row>
    <row r="374" customFormat="false" ht="15" hidden="false" customHeight="false" outlineLevel="0" collapsed="false">
      <c r="A374" s="18"/>
      <c r="B374" s="18"/>
      <c r="C374" s="25"/>
      <c r="D374" s="25"/>
      <c r="E374" s="25"/>
      <c r="F374" s="18"/>
      <c r="G374" s="18"/>
      <c r="H374" s="18"/>
      <c r="I374" s="18"/>
      <c r="J374" s="13" t="str">
        <f aca="false">IF(OR(D374="",E374=""),"",E374-D374)</f>
        <v/>
      </c>
      <c r="K374" s="13" t="str">
        <f aca="false">IF(OR(C374="",D374=""),"",D374-C374)</f>
        <v/>
      </c>
      <c r="L374" s="13" t="str">
        <f aca="false">IF(A374="","",IF(OR(I374="Devolvida",N(H374)&gt;0),"Sim","Não"))</f>
        <v/>
      </c>
    </row>
    <row r="375" customFormat="false" ht="15" hidden="false" customHeight="false" outlineLevel="0" collapsed="false">
      <c r="A375" s="18"/>
      <c r="B375" s="18"/>
      <c r="C375" s="25"/>
      <c r="D375" s="25"/>
      <c r="E375" s="25"/>
      <c r="F375" s="18"/>
      <c r="G375" s="18"/>
      <c r="H375" s="18"/>
      <c r="I375" s="18"/>
      <c r="J375" s="13" t="str">
        <f aca="false">IF(OR(D375="",E375=""),"",E375-D375)</f>
        <v/>
      </c>
      <c r="K375" s="13" t="str">
        <f aca="false">IF(OR(C375="",D375=""),"",D375-C375)</f>
        <v/>
      </c>
      <c r="L375" s="13" t="str">
        <f aca="false">IF(A375="","",IF(OR(I375="Devolvida",N(H375)&gt;0),"Sim","Não"))</f>
        <v/>
      </c>
    </row>
    <row r="376" customFormat="false" ht="15" hidden="false" customHeight="false" outlineLevel="0" collapsed="false">
      <c r="A376" s="18"/>
      <c r="B376" s="18"/>
      <c r="C376" s="25"/>
      <c r="D376" s="25"/>
      <c r="E376" s="25"/>
      <c r="F376" s="18"/>
      <c r="G376" s="18"/>
      <c r="H376" s="18"/>
      <c r="I376" s="18"/>
      <c r="J376" s="13" t="str">
        <f aca="false">IF(OR(D376="",E376=""),"",E376-D376)</f>
        <v/>
      </c>
      <c r="K376" s="13" t="str">
        <f aca="false">IF(OR(C376="",D376=""),"",D376-C376)</f>
        <v/>
      </c>
      <c r="L376" s="13" t="str">
        <f aca="false">IF(A376="","",IF(OR(I376="Devolvida",N(H376)&gt;0),"Sim","Não"))</f>
        <v/>
      </c>
    </row>
    <row r="377" customFormat="false" ht="15" hidden="false" customHeight="false" outlineLevel="0" collapsed="false">
      <c r="A377" s="18"/>
      <c r="B377" s="18"/>
      <c r="C377" s="25"/>
      <c r="D377" s="25"/>
      <c r="E377" s="25"/>
      <c r="F377" s="18"/>
      <c r="G377" s="18"/>
      <c r="H377" s="18"/>
      <c r="I377" s="18"/>
      <c r="J377" s="13" t="str">
        <f aca="false">IF(OR(D377="",E377=""),"",E377-D377)</f>
        <v/>
      </c>
      <c r="K377" s="13" t="str">
        <f aca="false">IF(OR(C377="",D377=""),"",D377-C377)</f>
        <v/>
      </c>
      <c r="L377" s="13" t="str">
        <f aca="false">IF(A377="","",IF(OR(I377="Devolvida",N(H377)&gt;0),"Sim","Não"))</f>
        <v/>
      </c>
    </row>
    <row r="378" customFormat="false" ht="15" hidden="false" customHeight="false" outlineLevel="0" collapsed="false">
      <c r="A378" s="18"/>
      <c r="B378" s="18"/>
      <c r="C378" s="25"/>
      <c r="D378" s="25"/>
      <c r="E378" s="25"/>
      <c r="F378" s="18"/>
      <c r="G378" s="18"/>
      <c r="H378" s="18"/>
      <c r="I378" s="18"/>
      <c r="J378" s="13" t="str">
        <f aca="false">IF(OR(D378="",E378=""),"",E378-D378)</f>
        <v/>
      </c>
      <c r="K378" s="13" t="str">
        <f aca="false">IF(OR(C378="",D378=""),"",D378-C378)</f>
        <v/>
      </c>
      <c r="L378" s="13" t="str">
        <f aca="false">IF(A378="","",IF(OR(I378="Devolvida",N(H378)&gt;0),"Sim","Não"))</f>
        <v/>
      </c>
    </row>
    <row r="379" customFormat="false" ht="15" hidden="false" customHeight="false" outlineLevel="0" collapsed="false">
      <c r="A379" s="18"/>
      <c r="B379" s="18"/>
      <c r="C379" s="25"/>
      <c r="D379" s="25"/>
      <c r="E379" s="25"/>
      <c r="F379" s="18"/>
      <c r="G379" s="18"/>
      <c r="H379" s="18"/>
      <c r="I379" s="18"/>
      <c r="J379" s="13" t="str">
        <f aca="false">IF(OR(D379="",E379=""),"",E379-D379)</f>
        <v/>
      </c>
      <c r="K379" s="13" t="str">
        <f aca="false">IF(OR(C379="",D379=""),"",D379-C379)</f>
        <v/>
      </c>
      <c r="L379" s="13" t="str">
        <f aca="false">IF(A379="","",IF(OR(I379="Devolvida",N(H379)&gt;0),"Sim","Não"))</f>
        <v/>
      </c>
    </row>
    <row r="380" customFormat="false" ht="15" hidden="false" customHeight="false" outlineLevel="0" collapsed="false">
      <c r="A380" s="18"/>
      <c r="B380" s="18"/>
      <c r="C380" s="25"/>
      <c r="D380" s="25"/>
      <c r="E380" s="25"/>
      <c r="F380" s="18"/>
      <c r="G380" s="18"/>
      <c r="H380" s="18"/>
      <c r="I380" s="18"/>
      <c r="J380" s="13" t="str">
        <f aca="false">IF(OR(D380="",E380=""),"",E380-D380)</f>
        <v/>
      </c>
      <c r="K380" s="13" t="str">
        <f aca="false">IF(OR(C380="",D380=""),"",D380-C380)</f>
        <v/>
      </c>
      <c r="L380" s="13" t="str">
        <f aca="false">IF(A380="","",IF(OR(I380="Devolvida",N(H380)&gt;0),"Sim","Não"))</f>
        <v/>
      </c>
    </row>
    <row r="381" customFormat="false" ht="15" hidden="false" customHeight="false" outlineLevel="0" collapsed="false">
      <c r="A381" s="18"/>
      <c r="B381" s="18"/>
      <c r="C381" s="25"/>
      <c r="D381" s="25"/>
      <c r="E381" s="25"/>
      <c r="F381" s="18"/>
      <c r="G381" s="18"/>
      <c r="H381" s="18"/>
      <c r="I381" s="18"/>
      <c r="J381" s="13" t="str">
        <f aca="false">IF(OR(D381="",E381=""),"",E381-D381)</f>
        <v/>
      </c>
      <c r="K381" s="13" t="str">
        <f aca="false">IF(OR(C381="",D381=""),"",D381-C381)</f>
        <v/>
      </c>
      <c r="L381" s="13" t="str">
        <f aca="false">IF(A381="","",IF(OR(I381="Devolvida",N(H381)&gt;0),"Sim","Não"))</f>
        <v/>
      </c>
    </row>
    <row r="382" customFormat="false" ht="15" hidden="false" customHeight="false" outlineLevel="0" collapsed="false">
      <c r="A382" s="18"/>
      <c r="B382" s="18"/>
      <c r="C382" s="25"/>
      <c r="D382" s="25"/>
      <c r="E382" s="25"/>
      <c r="F382" s="18"/>
      <c r="G382" s="18"/>
      <c r="H382" s="18"/>
      <c r="I382" s="18"/>
      <c r="J382" s="13" t="str">
        <f aca="false">IF(OR(D382="",E382=""),"",E382-D382)</f>
        <v/>
      </c>
      <c r="K382" s="13" t="str">
        <f aca="false">IF(OR(C382="",D382=""),"",D382-C382)</f>
        <v/>
      </c>
      <c r="L382" s="13" t="str">
        <f aca="false">IF(A382="","",IF(OR(I382="Devolvida",N(H382)&gt;0),"Sim","Não"))</f>
        <v/>
      </c>
    </row>
    <row r="383" customFormat="false" ht="15" hidden="false" customHeight="false" outlineLevel="0" collapsed="false">
      <c r="A383" s="18"/>
      <c r="B383" s="18"/>
      <c r="C383" s="25"/>
      <c r="D383" s="25"/>
      <c r="E383" s="25"/>
      <c r="F383" s="18"/>
      <c r="G383" s="18"/>
      <c r="H383" s="18"/>
      <c r="I383" s="18"/>
      <c r="J383" s="13" t="str">
        <f aca="false">IF(OR(D383="",E383=""),"",E383-D383)</f>
        <v/>
      </c>
      <c r="K383" s="13" t="str">
        <f aca="false">IF(OR(C383="",D383=""),"",D383-C383)</f>
        <v/>
      </c>
      <c r="L383" s="13" t="str">
        <f aca="false">IF(A383="","",IF(OR(I383="Devolvida",N(H383)&gt;0),"Sim","Não"))</f>
        <v/>
      </c>
    </row>
    <row r="384" customFormat="false" ht="15" hidden="false" customHeight="false" outlineLevel="0" collapsed="false">
      <c r="A384" s="18"/>
      <c r="B384" s="18"/>
      <c r="C384" s="25"/>
      <c r="D384" s="25"/>
      <c r="E384" s="25"/>
      <c r="F384" s="18"/>
      <c r="G384" s="18"/>
      <c r="H384" s="18"/>
      <c r="I384" s="18"/>
      <c r="J384" s="13" t="str">
        <f aca="false">IF(OR(D384="",E384=""),"",E384-D384)</f>
        <v/>
      </c>
      <c r="K384" s="13" t="str">
        <f aca="false">IF(OR(C384="",D384=""),"",D384-C384)</f>
        <v/>
      </c>
      <c r="L384" s="13" t="str">
        <f aca="false">IF(A384="","",IF(OR(I384="Devolvida",N(H384)&gt;0),"Sim","Não"))</f>
        <v/>
      </c>
    </row>
    <row r="385" customFormat="false" ht="15" hidden="false" customHeight="false" outlineLevel="0" collapsed="false">
      <c r="A385" s="18"/>
      <c r="B385" s="18"/>
      <c r="C385" s="25"/>
      <c r="D385" s="25"/>
      <c r="E385" s="25"/>
      <c r="F385" s="18"/>
      <c r="G385" s="18"/>
      <c r="H385" s="18"/>
      <c r="I385" s="18"/>
      <c r="J385" s="13" t="str">
        <f aca="false">IF(OR(D385="",E385=""),"",E385-D385)</f>
        <v/>
      </c>
      <c r="K385" s="13" t="str">
        <f aca="false">IF(OR(C385="",D385=""),"",D385-C385)</f>
        <v/>
      </c>
      <c r="L385" s="13" t="str">
        <f aca="false">IF(A385="","",IF(OR(I385="Devolvida",N(H385)&gt;0),"Sim","Não"))</f>
        <v/>
      </c>
    </row>
    <row r="386" customFormat="false" ht="15" hidden="false" customHeight="false" outlineLevel="0" collapsed="false">
      <c r="A386" s="18"/>
      <c r="B386" s="18"/>
      <c r="C386" s="25"/>
      <c r="D386" s="25"/>
      <c r="E386" s="25"/>
      <c r="F386" s="18"/>
      <c r="G386" s="18"/>
      <c r="H386" s="18"/>
      <c r="I386" s="18"/>
      <c r="J386" s="13" t="str">
        <f aca="false">IF(OR(D386="",E386=""),"",E386-D386)</f>
        <v/>
      </c>
      <c r="K386" s="13" t="str">
        <f aca="false">IF(OR(C386="",D386=""),"",D386-C386)</f>
        <v/>
      </c>
      <c r="L386" s="13" t="str">
        <f aca="false">IF(A386="","",IF(OR(I386="Devolvida",N(H386)&gt;0),"Sim","Não"))</f>
        <v/>
      </c>
    </row>
    <row r="387" customFormat="false" ht="15" hidden="false" customHeight="false" outlineLevel="0" collapsed="false">
      <c r="A387" s="18"/>
      <c r="B387" s="18"/>
      <c r="C387" s="25"/>
      <c r="D387" s="25"/>
      <c r="E387" s="25"/>
      <c r="F387" s="18"/>
      <c r="G387" s="18"/>
      <c r="H387" s="18"/>
      <c r="I387" s="18"/>
      <c r="J387" s="13" t="str">
        <f aca="false">IF(OR(D387="",E387=""),"",E387-D387)</f>
        <v/>
      </c>
      <c r="K387" s="13" t="str">
        <f aca="false">IF(OR(C387="",D387=""),"",D387-C387)</f>
        <v/>
      </c>
      <c r="L387" s="13" t="str">
        <f aca="false">IF(A387="","",IF(OR(I387="Devolvida",N(H387)&gt;0),"Sim","Não"))</f>
        <v/>
      </c>
    </row>
    <row r="388" customFormat="false" ht="15" hidden="false" customHeight="false" outlineLevel="0" collapsed="false">
      <c r="A388" s="18"/>
      <c r="B388" s="18"/>
      <c r="C388" s="25"/>
      <c r="D388" s="25"/>
      <c r="E388" s="25"/>
      <c r="F388" s="18"/>
      <c r="G388" s="18"/>
      <c r="H388" s="18"/>
      <c r="I388" s="18"/>
      <c r="J388" s="13" t="str">
        <f aca="false">IF(OR(D388="",E388=""),"",E388-D388)</f>
        <v/>
      </c>
      <c r="K388" s="13" t="str">
        <f aca="false">IF(OR(C388="",D388=""),"",D388-C388)</f>
        <v/>
      </c>
      <c r="L388" s="13" t="str">
        <f aca="false">IF(A388="","",IF(OR(I388="Devolvida",N(H388)&gt;0),"Sim","Não"))</f>
        <v/>
      </c>
    </row>
    <row r="389" customFormat="false" ht="15" hidden="false" customHeight="false" outlineLevel="0" collapsed="false">
      <c r="A389" s="18"/>
      <c r="B389" s="18"/>
      <c r="C389" s="25"/>
      <c r="D389" s="25"/>
      <c r="E389" s="25"/>
      <c r="F389" s="18"/>
      <c r="G389" s="18"/>
      <c r="H389" s="18"/>
      <c r="I389" s="18"/>
      <c r="J389" s="13" t="str">
        <f aca="false">IF(OR(D389="",E389=""),"",E389-D389)</f>
        <v/>
      </c>
      <c r="K389" s="13" t="str">
        <f aca="false">IF(OR(C389="",D389=""),"",D389-C389)</f>
        <v/>
      </c>
      <c r="L389" s="13" t="str">
        <f aca="false">IF(A389="","",IF(OR(I389="Devolvida",N(H389)&gt;0),"Sim","Não"))</f>
        <v/>
      </c>
    </row>
    <row r="390" customFormat="false" ht="15" hidden="false" customHeight="false" outlineLevel="0" collapsed="false">
      <c r="A390" s="18"/>
      <c r="B390" s="18"/>
      <c r="C390" s="25"/>
      <c r="D390" s="25"/>
      <c r="E390" s="25"/>
      <c r="F390" s="18"/>
      <c r="G390" s="18"/>
      <c r="H390" s="18"/>
      <c r="I390" s="18"/>
      <c r="J390" s="13" t="str">
        <f aca="false">IF(OR(D390="",E390=""),"",E390-D390)</f>
        <v/>
      </c>
      <c r="K390" s="13" t="str">
        <f aca="false">IF(OR(C390="",D390=""),"",D390-C390)</f>
        <v/>
      </c>
      <c r="L390" s="13" t="str">
        <f aca="false">IF(A390="","",IF(OR(I390="Devolvida",N(H390)&gt;0),"Sim","Não"))</f>
        <v/>
      </c>
    </row>
    <row r="391" customFormat="false" ht="15" hidden="false" customHeight="false" outlineLevel="0" collapsed="false">
      <c r="A391" s="18"/>
      <c r="B391" s="18"/>
      <c r="C391" s="25"/>
      <c r="D391" s="25"/>
      <c r="E391" s="25"/>
      <c r="F391" s="18"/>
      <c r="G391" s="18"/>
      <c r="H391" s="18"/>
      <c r="I391" s="18"/>
      <c r="J391" s="13" t="str">
        <f aca="false">IF(OR(D391="",E391=""),"",E391-D391)</f>
        <v/>
      </c>
      <c r="K391" s="13" t="str">
        <f aca="false">IF(OR(C391="",D391=""),"",D391-C391)</f>
        <v/>
      </c>
      <c r="L391" s="13" t="str">
        <f aca="false">IF(A391="","",IF(OR(I391="Devolvida",N(H391)&gt;0),"Sim","Não"))</f>
        <v/>
      </c>
    </row>
    <row r="392" customFormat="false" ht="15" hidden="false" customHeight="false" outlineLevel="0" collapsed="false">
      <c r="A392" s="18"/>
      <c r="B392" s="18"/>
      <c r="C392" s="25"/>
      <c r="D392" s="25"/>
      <c r="E392" s="25"/>
      <c r="F392" s="18"/>
      <c r="G392" s="18"/>
      <c r="H392" s="18"/>
      <c r="I392" s="18"/>
      <c r="J392" s="13" t="str">
        <f aca="false">IF(OR(D392="",E392=""),"",E392-D392)</f>
        <v/>
      </c>
      <c r="K392" s="13" t="str">
        <f aca="false">IF(OR(C392="",D392=""),"",D392-C392)</f>
        <v/>
      </c>
      <c r="L392" s="13" t="str">
        <f aca="false">IF(A392="","",IF(OR(I392="Devolvida",N(H392)&gt;0),"Sim","Não"))</f>
        <v/>
      </c>
    </row>
    <row r="393" customFormat="false" ht="15" hidden="false" customHeight="false" outlineLevel="0" collapsed="false">
      <c r="A393" s="18"/>
      <c r="B393" s="18"/>
      <c r="C393" s="25"/>
      <c r="D393" s="25"/>
      <c r="E393" s="25"/>
      <c r="F393" s="18"/>
      <c r="G393" s="18"/>
      <c r="H393" s="18"/>
      <c r="I393" s="18"/>
      <c r="J393" s="13" t="str">
        <f aca="false">IF(OR(D393="",E393=""),"",E393-D393)</f>
        <v/>
      </c>
      <c r="K393" s="13" t="str">
        <f aca="false">IF(OR(C393="",D393=""),"",D393-C393)</f>
        <v/>
      </c>
      <c r="L393" s="13" t="str">
        <f aca="false">IF(A393="","",IF(OR(I393="Devolvida",N(H393)&gt;0),"Sim","Não"))</f>
        <v/>
      </c>
    </row>
    <row r="394" customFormat="false" ht="15" hidden="false" customHeight="false" outlineLevel="0" collapsed="false">
      <c r="A394" s="18"/>
      <c r="B394" s="18"/>
      <c r="C394" s="25"/>
      <c r="D394" s="25"/>
      <c r="E394" s="25"/>
      <c r="F394" s="18"/>
      <c r="G394" s="18"/>
      <c r="H394" s="18"/>
      <c r="I394" s="18"/>
      <c r="J394" s="13" t="str">
        <f aca="false">IF(OR(D394="",E394=""),"",E394-D394)</f>
        <v/>
      </c>
      <c r="K394" s="13" t="str">
        <f aca="false">IF(OR(C394="",D394=""),"",D394-C394)</f>
        <v/>
      </c>
      <c r="L394" s="13" t="str">
        <f aca="false">IF(A394="","",IF(OR(I394="Devolvida",N(H394)&gt;0),"Sim","Não"))</f>
        <v/>
      </c>
    </row>
    <row r="395" customFormat="false" ht="15" hidden="false" customHeight="false" outlineLevel="0" collapsed="false">
      <c r="A395" s="18"/>
      <c r="B395" s="18"/>
      <c r="C395" s="25"/>
      <c r="D395" s="25"/>
      <c r="E395" s="25"/>
      <c r="F395" s="18"/>
      <c r="G395" s="18"/>
      <c r="H395" s="18"/>
      <c r="I395" s="18"/>
      <c r="J395" s="13" t="str">
        <f aca="false">IF(OR(D395="",E395=""),"",E395-D395)</f>
        <v/>
      </c>
      <c r="K395" s="13" t="str">
        <f aca="false">IF(OR(C395="",D395=""),"",D395-C395)</f>
        <v/>
      </c>
      <c r="L395" s="13" t="str">
        <f aca="false">IF(A395="","",IF(OR(I395="Devolvida",N(H395)&gt;0),"Sim","Não"))</f>
        <v/>
      </c>
    </row>
    <row r="396" customFormat="false" ht="15" hidden="false" customHeight="false" outlineLevel="0" collapsed="false">
      <c r="A396" s="18"/>
      <c r="B396" s="18"/>
      <c r="C396" s="25"/>
      <c r="D396" s="25"/>
      <c r="E396" s="25"/>
      <c r="F396" s="18"/>
      <c r="G396" s="18"/>
      <c r="H396" s="18"/>
      <c r="I396" s="18"/>
      <c r="J396" s="13" t="str">
        <f aca="false">IF(OR(D396="",E396=""),"",E396-D396)</f>
        <v/>
      </c>
      <c r="K396" s="13" t="str">
        <f aca="false">IF(OR(C396="",D396=""),"",D396-C396)</f>
        <v/>
      </c>
      <c r="L396" s="13" t="str">
        <f aca="false">IF(A396="","",IF(OR(I396="Devolvida",N(H396)&gt;0),"Sim","Não"))</f>
        <v/>
      </c>
    </row>
    <row r="397" customFormat="false" ht="15" hidden="false" customHeight="false" outlineLevel="0" collapsed="false">
      <c r="A397" s="18"/>
      <c r="B397" s="18"/>
      <c r="C397" s="25"/>
      <c r="D397" s="25"/>
      <c r="E397" s="25"/>
      <c r="F397" s="18"/>
      <c r="G397" s="18"/>
      <c r="H397" s="18"/>
      <c r="I397" s="18"/>
      <c r="J397" s="13" t="str">
        <f aca="false">IF(OR(D397="",E397=""),"",E397-D397)</f>
        <v/>
      </c>
      <c r="K397" s="13" t="str">
        <f aca="false">IF(OR(C397="",D397=""),"",D397-C397)</f>
        <v/>
      </c>
      <c r="L397" s="13" t="str">
        <f aca="false">IF(A397="","",IF(OR(I397="Devolvida",N(H397)&gt;0),"Sim","Não"))</f>
        <v/>
      </c>
    </row>
    <row r="398" customFormat="false" ht="15" hidden="false" customHeight="false" outlineLevel="0" collapsed="false">
      <c r="A398" s="18"/>
      <c r="B398" s="18"/>
      <c r="C398" s="25"/>
      <c r="D398" s="25"/>
      <c r="E398" s="25"/>
      <c r="F398" s="18"/>
      <c r="G398" s="18"/>
      <c r="H398" s="18"/>
      <c r="I398" s="18"/>
      <c r="J398" s="13" t="str">
        <f aca="false">IF(OR(D398="",E398=""),"",E398-D398)</f>
        <v/>
      </c>
      <c r="K398" s="13" t="str">
        <f aca="false">IF(OR(C398="",D398=""),"",D398-C398)</f>
        <v/>
      </c>
      <c r="L398" s="13" t="str">
        <f aca="false">IF(A398="","",IF(OR(I398="Devolvida",N(H398)&gt;0),"Sim","Não"))</f>
        <v/>
      </c>
    </row>
    <row r="399" customFormat="false" ht="15" hidden="false" customHeight="false" outlineLevel="0" collapsed="false">
      <c r="A399" s="18"/>
      <c r="B399" s="18"/>
      <c r="C399" s="25"/>
      <c r="D399" s="25"/>
      <c r="E399" s="25"/>
      <c r="F399" s="18"/>
      <c r="G399" s="18"/>
      <c r="H399" s="18"/>
      <c r="I399" s="18"/>
      <c r="J399" s="13" t="str">
        <f aca="false">IF(OR(D399="",E399=""),"",E399-D399)</f>
        <v/>
      </c>
      <c r="K399" s="13" t="str">
        <f aca="false">IF(OR(C399="",D399=""),"",D399-C399)</f>
        <v/>
      </c>
      <c r="L399" s="13" t="str">
        <f aca="false">IF(A399="","",IF(OR(I399="Devolvida",N(H399)&gt;0),"Sim","Não"))</f>
        <v/>
      </c>
    </row>
    <row r="400" customFormat="false" ht="15" hidden="false" customHeight="false" outlineLevel="0" collapsed="false">
      <c r="A400" s="18"/>
      <c r="B400" s="18"/>
      <c r="C400" s="25"/>
      <c r="D400" s="25"/>
      <c r="E400" s="25"/>
      <c r="F400" s="18"/>
      <c r="G400" s="18"/>
      <c r="H400" s="18"/>
      <c r="I400" s="18"/>
      <c r="J400" s="13" t="str">
        <f aca="false">IF(OR(D400="",E400=""),"",E400-D400)</f>
        <v/>
      </c>
      <c r="K400" s="13" t="str">
        <f aca="false">IF(OR(C400="",D400=""),"",D400-C400)</f>
        <v/>
      </c>
      <c r="L400" s="13" t="str">
        <f aca="false">IF(A400="","",IF(OR(I400="Devolvida",N(H400)&gt;0),"Sim","Não"))</f>
        <v/>
      </c>
    </row>
    <row r="401" customFormat="false" ht="15" hidden="false" customHeight="false" outlineLevel="0" collapsed="false">
      <c r="A401" s="18"/>
      <c r="B401" s="18"/>
      <c r="C401" s="25"/>
      <c r="D401" s="25"/>
      <c r="E401" s="25"/>
      <c r="F401" s="18"/>
      <c r="G401" s="18"/>
      <c r="H401" s="18"/>
      <c r="I401" s="18"/>
      <c r="J401" s="13" t="str">
        <f aca="false">IF(OR(D401="",E401=""),"",E401-D401)</f>
        <v/>
      </c>
      <c r="K401" s="13" t="str">
        <f aca="false">IF(OR(C401="",D401=""),"",D401-C401)</f>
        <v/>
      </c>
      <c r="L401" s="13" t="str">
        <f aca="false">IF(A401="","",IF(OR(I401="Devolvida",N(H401)&gt;0),"Sim","Não"))</f>
        <v/>
      </c>
    </row>
    <row r="402" customFormat="false" ht="15" hidden="false" customHeight="false" outlineLevel="0" collapsed="false">
      <c r="A402" s="18"/>
      <c r="B402" s="18"/>
      <c r="C402" s="25"/>
      <c r="D402" s="25"/>
      <c r="E402" s="25"/>
      <c r="F402" s="18"/>
      <c r="G402" s="18"/>
      <c r="H402" s="18"/>
      <c r="I402" s="18"/>
      <c r="J402" s="13" t="str">
        <f aca="false">IF(OR(D402="",E402=""),"",E402-D402)</f>
        <v/>
      </c>
      <c r="K402" s="13" t="str">
        <f aca="false">IF(OR(C402="",D402=""),"",D402-C402)</f>
        <v/>
      </c>
      <c r="L402" s="13" t="str">
        <f aca="false">IF(A402="","",IF(OR(I402="Devolvida",N(H402)&gt;0),"Sim","Não"))</f>
        <v/>
      </c>
    </row>
    <row r="403" customFormat="false" ht="15" hidden="false" customHeight="false" outlineLevel="0" collapsed="false">
      <c r="A403" s="18"/>
      <c r="B403" s="18"/>
      <c r="C403" s="25"/>
      <c r="D403" s="25"/>
      <c r="E403" s="25"/>
      <c r="F403" s="18"/>
      <c r="G403" s="18"/>
      <c r="H403" s="18"/>
      <c r="I403" s="18"/>
      <c r="J403" s="13" t="str">
        <f aca="false">IF(OR(D403="",E403=""),"",E403-D403)</f>
        <v/>
      </c>
      <c r="K403" s="13" t="str">
        <f aca="false">IF(OR(C403="",D403=""),"",D403-C403)</f>
        <v/>
      </c>
      <c r="L403" s="13" t="str">
        <f aca="false">IF(A403="","",IF(OR(I403="Devolvida",N(H403)&gt;0),"Sim","Não"))</f>
        <v/>
      </c>
    </row>
    <row r="404" customFormat="false" ht="15" hidden="false" customHeight="false" outlineLevel="0" collapsed="false">
      <c r="A404" s="18"/>
      <c r="B404" s="18"/>
      <c r="C404" s="25"/>
      <c r="D404" s="25"/>
      <c r="E404" s="25"/>
      <c r="F404" s="18"/>
      <c r="G404" s="18"/>
      <c r="H404" s="18"/>
      <c r="I404" s="18"/>
      <c r="J404" s="13" t="str">
        <f aca="false">IF(OR(D404="",E404=""),"",E404-D404)</f>
        <v/>
      </c>
      <c r="K404" s="13" t="str">
        <f aca="false">IF(OR(C404="",D404=""),"",D404-C404)</f>
        <v/>
      </c>
      <c r="L404" s="13" t="str">
        <f aca="false">IF(A404="","",IF(OR(I404="Devolvida",N(H404)&gt;0),"Sim","Não"))</f>
        <v/>
      </c>
    </row>
    <row r="405" customFormat="false" ht="15" hidden="false" customHeight="false" outlineLevel="0" collapsed="false">
      <c r="A405" s="18"/>
      <c r="B405" s="18"/>
      <c r="C405" s="25"/>
      <c r="D405" s="25"/>
      <c r="E405" s="25"/>
      <c r="F405" s="18"/>
      <c r="G405" s="18"/>
      <c r="H405" s="18"/>
      <c r="I405" s="18"/>
      <c r="J405" s="13" t="str">
        <f aca="false">IF(OR(D405="",E405=""),"",E405-D405)</f>
        <v/>
      </c>
      <c r="K405" s="13" t="str">
        <f aca="false">IF(OR(C405="",D405=""),"",D405-C405)</f>
        <v/>
      </c>
      <c r="L405" s="13" t="str">
        <f aca="false">IF(A405="","",IF(OR(I405="Devolvida",N(H405)&gt;0),"Sim","Não"))</f>
        <v/>
      </c>
    </row>
    <row r="406" customFormat="false" ht="15" hidden="false" customHeight="false" outlineLevel="0" collapsed="false">
      <c r="A406" s="18"/>
      <c r="B406" s="18"/>
      <c r="C406" s="25"/>
      <c r="D406" s="25"/>
      <c r="E406" s="25"/>
      <c r="F406" s="18"/>
      <c r="G406" s="18"/>
      <c r="H406" s="18"/>
      <c r="I406" s="18"/>
      <c r="J406" s="13" t="str">
        <f aca="false">IF(OR(D406="",E406=""),"",E406-D406)</f>
        <v/>
      </c>
      <c r="K406" s="13" t="str">
        <f aca="false">IF(OR(C406="",D406=""),"",D406-C406)</f>
        <v/>
      </c>
      <c r="L406" s="13" t="str">
        <f aca="false">IF(A406="","",IF(OR(I406="Devolvida",N(H406)&gt;0),"Sim","Não"))</f>
        <v/>
      </c>
    </row>
    <row r="407" customFormat="false" ht="15" hidden="false" customHeight="false" outlineLevel="0" collapsed="false">
      <c r="A407" s="18"/>
      <c r="B407" s="18"/>
      <c r="C407" s="25"/>
      <c r="D407" s="25"/>
      <c r="E407" s="25"/>
      <c r="F407" s="18"/>
      <c r="G407" s="18"/>
      <c r="H407" s="18"/>
      <c r="I407" s="18"/>
      <c r="J407" s="13" t="str">
        <f aca="false">IF(OR(D407="",E407=""),"",E407-D407)</f>
        <v/>
      </c>
      <c r="K407" s="13" t="str">
        <f aca="false">IF(OR(C407="",D407=""),"",D407-C407)</f>
        <v/>
      </c>
      <c r="L407" s="13" t="str">
        <f aca="false">IF(A407="","",IF(OR(I407="Devolvida",N(H407)&gt;0),"Sim","Não"))</f>
        <v/>
      </c>
    </row>
    <row r="408" customFormat="false" ht="15" hidden="false" customHeight="false" outlineLevel="0" collapsed="false">
      <c r="A408" s="18"/>
      <c r="B408" s="18"/>
      <c r="C408" s="25"/>
      <c r="D408" s="25"/>
      <c r="E408" s="25"/>
      <c r="F408" s="18"/>
      <c r="G408" s="18"/>
      <c r="H408" s="18"/>
      <c r="I408" s="18"/>
      <c r="J408" s="13" t="str">
        <f aca="false">IF(OR(D408="",E408=""),"",E408-D408)</f>
        <v/>
      </c>
      <c r="K408" s="13" t="str">
        <f aca="false">IF(OR(C408="",D408=""),"",D408-C408)</f>
        <v/>
      </c>
      <c r="L408" s="13" t="str">
        <f aca="false">IF(A408="","",IF(OR(I408="Devolvida",N(H408)&gt;0),"Sim","Não"))</f>
        <v/>
      </c>
    </row>
    <row r="409" customFormat="false" ht="15" hidden="false" customHeight="false" outlineLevel="0" collapsed="false">
      <c r="A409" s="18"/>
      <c r="B409" s="18"/>
      <c r="C409" s="25"/>
      <c r="D409" s="25"/>
      <c r="E409" s="25"/>
      <c r="F409" s="18"/>
      <c r="G409" s="18"/>
      <c r="H409" s="18"/>
      <c r="I409" s="18"/>
      <c r="J409" s="13" t="str">
        <f aca="false">IF(OR(D409="",E409=""),"",E409-D409)</f>
        <v/>
      </c>
      <c r="K409" s="13" t="str">
        <f aca="false">IF(OR(C409="",D409=""),"",D409-C409)</f>
        <v/>
      </c>
      <c r="L409" s="13" t="str">
        <f aca="false">IF(A409="","",IF(OR(I409="Devolvida",N(H409)&gt;0),"Sim","Não"))</f>
        <v/>
      </c>
    </row>
    <row r="410" customFormat="false" ht="15" hidden="false" customHeight="false" outlineLevel="0" collapsed="false">
      <c r="A410" s="18"/>
      <c r="B410" s="18"/>
      <c r="C410" s="25"/>
      <c r="D410" s="25"/>
      <c r="E410" s="25"/>
      <c r="F410" s="18"/>
      <c r="G410" s="18"/>
      <c r="H410" s="18"/>
      <c r="I410" s="18"/>
      <c r="J410" s="13" t="str">
        <f aca="false">IF(OR(D410="",E410=""),"",E410-D410)</f>
        <v/>
      </c>
      <c r="K410" s="13" t="str">
        <f aca="false">IF(OR(C410="",D410=""),"",D410-C410)</f>
        <v/>
      </c>
      <c r="L410" s="13" t="str">
        <f aca="false">IF(A410="","",IF(OR(I410="Devolvida",N(H410)&gt;0),"Sim","Não"))</f>
        <v/>
      </c>
    </row>
    <row r="411" customFormat="false" ht="15" hidden="false" customHeight="false" outlineLevel="0" collapsed="false">
      <c r="A411" s="18"/>
      <c r="B411" s="18"/>
      <c r="C411" s="25"/>
      <c r="D411" s="25"/>
      <c r="E411" s="25"/>
      <c r="F411" s="18"/>
      <c r="G411" s="18"/>
      <c r="H411" s="18"/>
      <c r="I411" s="18"/>
      <c r="J411" s="13" t="str">
        <f aca="false">IF(OR(D411="",E411=""),"",E411-D411)</f>
        <v/>
      </c>
      <c r="K411" s="13" t="str">
        <f aca="false">IF(OR(C411="",D411=""),"",D411-C411)</f>
        <v/>
      </c>
      <c r="L411" s="13" t="str">
        <f aca="false">IF(A411="","",IF(OR(I411="Devolvida",N(H411)&gt;0),"Sim","Não"))</f>
        <v/>
      </c>
    </row>
    <row r="412" customFormat="false" ht="15" hidden="false" customHeight="false" outlineLevel="0" collapsed="false">
      <c r="A412" s="18"/>
      <c r="B412" s="18"/>
      <c r="C412" s="25"/>
      <c r="D412" s="25"/>
      <c r="E412" s="25"/>
      <c r="F412" s="18"/>
      <c r="G412" s="18"/>
      <c r="H412" s="18"/>
      <c r="I412" s="18"/>
      <c r="J412" s="13" t="str">
        <f aca="false">IF(OR(D412="",E412=""),"",E412-D412)</f>
        <v/>
      </c>
      <c r="K412" s="13" t="str">
        <f aca="false">IF(OR(C412="",D412=""),"",D412-C412)</f>
        <v/>
      </c>
      <c r="L412" s="13" t="str">
        <f aca="false">IF(A412="","",IF(OR(I412="Devolvida",N(H412)&gt;0),"Sim","Não"))</f>
        <v/>
      </c>
    </row>
    <row r="413" customFormat="false" ht="15" hidden="false" customHeight="false" outlineLevel="0" collapsed="false">
      <c r="A413" s="18"/>
      <c r="B413" s="18"/>
      <c r="C413" s="25"/>
      <c r="D413" s="25"/>
      <c r="E413" s="25"/>
      <c r="F413" s="18"/>
      <c r="G413" s="18"/>
      <c r="H413" s="18"/>
      <c r="I413" s="18"/>
      <c r="J413" s="13" t="str">
        <f aca="false">IF(OR(D413="",E413=""),"",E413-D413)</f>
        <v/>
      </c>
      <c r="K413" s="13" t="str">
        <f aca="false">IF(OR(C413="",D413=""),"",D413-C413)</f>
        <v/>
      </c>
      <c r="L413" s="13" t="str">
        <f aca="false">IF(A413="","",IF(OR(I413="Devolvida",N(H413)&gt;0),"Sim","Não"))</f>
        <v/>
      </c>
    </row>
    <row r="414" customFormat="false" ht="15" hidden="false" customHeight="false" outlineLevel="0" collapsed="false">
      <c r="A414" s="18"/>
      <c r="B414" s="18"/>
      <c r="C414" s="25"/>
      <c r="D414" s="25"/>
      <c r="E414" s="25"/>
      <c r="F414" s="18"/>
      <c r="G414" s="18"/>
      <c r="H414" s="18"/>
      <c r="I414" s="18"/>
      <c r="J414" s="13" t="str">
        <f aca="false">IF(OR(D414="",E414=""),"",E414-D414)</f>
        <v/>
      </c>
      <c r="K414" s="13" t="str">
        <f aca="false">IF(OR(C414="",D414=""),"",D414-C414)</f>
        <v/>
      </c>
      <c r="L414" s="13" t="str">
        <f aca="false">IF(A414="","",IF(OR(I414="Devolvida",N(H414)&gt;0),"Sim","Não"))</f>
        <v/>
      </c>
    </row>
    <row r="415" customFormat="false" ht="15" hidden="false" customHeight="false" outlineLevel="0" collapsed="false">
      <c r="A415" s="18"/>
      <c r="B415" s="18"/>
      <c r="C415" s="25"/>
      <c r="D415" s="25"/>
      <c r="E415" s="25"/>
      <c r="F415" s="18"/>
      <c r="G415" s="18"/>
      <c r="H415" s="18"/>
      <c r="I415" s="18"/>
      <c r="J415" s="13" t="str">
        <f aca="false">IF(OR(D415="",E415=""),"",E415-D415)</f>
        <v/>
      </c>
      <c r="K415" s="13" t="str">
        <f aca="false">IF(OR(C415="",D415=""),"",D415-C415)</f>
        <v/>
      </c>
      <c r="L415" s="13" t="str">
        <f aca="false">IF(A415="","",IF(OR(I415="Devolvida",N(H415)&gt;0),"Sim","Não"))</f>
        <v/>
      </c>
    </row>
    <row r="416" customFormat="false" ht="15" hidden="false" customHeight="false" outlineLevel="0" collapsed="false">
      <c r="A416" s="18"/>
      <c r="B416" s="18"/>
      <c r="C416" s="25"/>
      <c r="D416" s="25"/>
      <c r="E416" s="25"/>
      <c r="F416" s="18"/>
      <c r="G416" s="18"/>
      <c r="H416" s="18"/>
      <c r="I416" s="18"/>
      <c r="J416" s="13" t="str">
        <f aca="false">IF(OR(D416="",E416=""),"",E416-D416)</f>
        <v/>
      </c>
      <c r="K416" s="13" t="str">
        <f aca="false">IF(OR(C416="",D416=""),"",D416-C416)</f>
        <v/>
      </c>
      <c r="L416" s="13" t="str">
        <f aca="false">IF(A416="","",IF(OR(I416="Devolvida",N(H416)&gt;0),"Sim","Não"))</f>
        <v/>
      </c>
    </row>
    <row r="417" customFormat="false" ht="15" hidden="false" customHeight="false" outlineLevel="0" collapsed="false">
      <c r="A417" s="18"/>
      <c r="B417" s="18"/>
      <c r="C417" s="25"/>
      <c r="D417" s="25"/>
      <c r="E417" s="25"/>
      <c r="F417" s="18"/>
      <c r="G417" s="18"/>
      <c r="H417" s="18"/>
      <c r="I417" s="18"/>
      <c r="J417" s="13" t="str">
        <f aca="false">IF(OR(D417="",E417=""),"",E417-D417)</f>
        <v/>
      </c>
      <c r="K417" s="13" t="str">
        <f aca="false">IF(OR(C417="",D417=""),"",D417-C417)</f>
        <v/>
      </c>
      <c r="L417" s="13" t="str">
        <f aca="false">IF(A417="","",IF(OR(I417="Devolvida",N(H417)&gt;0),"Sim","Não"))</f>
        <v/>
      </c>
    </row>
    <row r="418" customFormat="false" ht="15" hidden="false" customHeight="false" outlineLevel="0" collapsed="false">
      <c r="A418" s="18"/>
      <c r="B418" s="18"/>
      <c r="C418" s="25"/>
      <c r="D418" s="25"/>
      <c r="E418" s="25"/>
      <c r="F418" s="18"/>
      <c r="G418" s="18"/>
      <c r="H418" s="18"/>
      <c r="I418" s="18"/>
      <c r="J418" s="13" t="str">
        <f aca="false">IF(OR(D418="",E418=""),"",E418-D418)</f>
        <v/>
      </c>
      <c r="K418" s="13" t="str">
        <f aca="false">IF(OR(C418="",D418=""),"",D418-C418)</f>
        <v/>
      </c>
      <c r="L418" s="13" t="str">
        <f aca="false">IF(A418="","",IF(OR(I418="Devolvida",N(H418)&gt;0),"Sim","Não"))</f>
        <v/>
      </c>
    </row>
    <row r="419" customFormat="false" ht="15" hidden="false" customHeight="false" outlineLevel="0" collapsed="false">
      <c r="A419" s="18"/>
      <c r="B419" s="18"/>
      <c r="C419" s="25"/>
      <c r="D419" s="25"/>
      <c r="E419" s="25"/>
      <c r="F419" s="18"/>
      <c r="G419" s="18"/>
      <c r="H419" s="18"/>
      <c r="I419" s="18"/>
      <c r="J419" s="13" t="str">
        <f aca="false">IF(OR(D419="",E419=""),"",E419-D419)</f>
        <v/>
      </c>
      <c r="K419" s="13" t="str">
        <f aca="false">IF(OR(C419="",D419=""),"",D419-C419)</f>
        <v/>
      </c>
      <c r="L419" s="13" t="str">
        <f aca="false">IF(A419="","",IF(OR(I419="Devolvida",N(H419)&gt;0),"Sim","Não"))</f>
        <v/>
      </c>
    </row>
    <row r="420" customFormat="false" ht="15" hidden="false" customHeight="false" outlineLevel="0" collapsed="false">
      <c r="A420" s="18"/>
      <c r="B420" s="18"/>
      <c r="C420" s="25"/>
      <c r="D420" s="25"/>
      <c r="E420" s="25"/>
      <c r="F420" s="18"/>
      <c r="G420" s="18"/>
      <c r="H420" s="18"/>
      <c r="I420" s="18"/>
      <c r="J420" s="13" t="str">
        <f aca="false">IF(OR(D420="",E420=""),"",E420-D420)</f>
        <v/>
      </c>
      <c r="K420" s="13" t="str">
        <f aca="false">IF(OR(C420="",D420=""),"",D420-C420)</f>
        <v/>
      </c>
      <c r="L420" s="13" t="str">
        <f aca="false">IF(A420="","",IF(OR(I420="Devolvida",N(H420)&gt;0),"Sim","Não"))</f>
        <v/>
      </c>
    </row>
    <row r="421" customFormat="false" ht="15" hidden="false" customHeight="false" outlineLevel="0" collapsed="false">
      <c r="A421" s="18"/>
      <c r="B421" s="18"/>
      <c r="C421" s="25"/>
      <c r="D421" s="25"/>
      <c r="E421" s="25"/>
      <c r="F421" s="18"/>
      <c r="G421" s="18"/>
      <c r="H421" s="18"/>
      <c r="I421" s="18"/>
      <c r="J421" s="13" t="str">
        <f aca="false">IF(OR(D421="",E421=""),"",E421-D421)</f>
        <v/>
      </c>
      <c r="K421" s="13" t="str">
        <f aca="false">IF(OR(C421="",D421=""),"",D421-C421)</f>
        <v/>
      </c>
      <c r="L421" s="13" t="str">
        <f aca="false">IF(A421="","",IF(OR(I421="Devolvida",N(H421)&gt;0),"Sim","Não"))</f>
        <v/>
      </c>
    </row>
    <row r="422" customFormat="false" ht="15" hidden="false" customHeight="false" outlineLevel="0" collapsed="false">
      <c r="A422" s="18"/>
      <c r="B422" s="18"/>
      <c r="C422" s="25"/>
      <c r="D422" s="25"/>
      <c r="E422" s="25"/>
      <c r="F422" s="18"/>
      <c r="G422" s="18"/>
      <c r="H422" s="18"/>
      <c r="I422" s="18"/>
      <c r="J422" s="13" t="str">
        <f aca="false">IF(OR(D422="",E422=""),"",E422-D422)</f>
        <v/>
      </c>
      <c r="K422" s="13" t="str">
        <f aca="false">IF(OR(C422="",D422=""),"",D422-C422)</f>
        <v/>
      </c>
      <c r="L422" s="13" t="str">
        <f aca="false">IF(A422="","",IF(OR(I422="Devolvida",N(H422)&gt;0),"Sim","Não"))</f>
        <v/>
      </c>
    </row>
    <row r="423" customFormat="false" ht="15" hidden="false" customHeight="false" outlineLevel="0" collapsed="false">
      <c r="A423" s="18"/>
      <c r="B423" s="18"/>
      <c r="C423" s="25"/>
      <c r="D423" s="25"/>
      <c r="E423" s="25"/>
      <c r="F423" s="18"/>
      <c r="G423" s="18"/>
      <c r="H423" s="18"/>
      <c r="I423" s="18"/>
      <c r="J423" s="13" t="str">
        <f aca="false">IF(OR(D423="",E423=""),"",E423-D423)</f>
        <v/>
      </c>
      <c r="K423" s="13" t="str">
        <f aca="false">IF(OR(C423="",D423=""),"",D423-C423)</f>
        <v/>
      </c>
      <c r="L423" s="13" t="str">
        <f aca="false">IF(A423="","",IF(OR(I423="Devolvida",N(H423)&gt;0),"Sim","Não"))</f>
        <v/>
      </c>
    </row>
    <row r="424" customFormat="false" ht="15" hidden="false" customHeight="false" outlineLevel="0" collapsed="false">
      <c r="A424" s="18"/>
      <c r="B424" s="18"/>
      <c r="C424" s="25"/>
      <c r="D424" s="25"/>
      <c r="E424" s="25"/>
      <c r="F424" s="18"/>
      <c r="G424" s="18"/>
      <c r="H424" s="18"/>
      <c r="I424" s="18"/>
      <c r="J424" s="13" t="str">
        <f aca="false">IF(OR(D424="",E424=""),"",E424-D424)</f>
        <v/>
      </c>
      <c r="K424" s="13" t="str">
        <f aca="false">IF(OR(C424="",D424=""),"",D424-C424)</f>
        <v/>
      </c>
      <c r="L424" s="13" t="str">
        <f aca="false">IF(A424="","",IF(OR(I424="Devolvida",N(H424)&gt;0),"Sim","Não"))</f>
        <v/>
      </c>
    </row>
    <row r="425" customFormat="false" ht="15" hidden="false" customHeight="false" outlineLevel="0" collapsed="false">
      <c r="A425" s="18"/>
      <c r="B425" s="18"/>
      <c r="C425" s="25"/>
      <c r="D425" s="25"/>
      <c r="E425" s="25"/>
      <c r="F425" s="18"/>
      <c r="G425" s="18"/>
      <c r="H425" s="18"/>
      <c r="I425" s="18"/>
      <c r="J425" s="13" t="str">
        <f aca="false">IF(OR(D425="",E425=""),"",E425-D425)</f>
        <v/>
      </c>
      <c r="K425" s="13" t="str">
        <f aca="false">IF(OR(C425="",D425=""),"",D425-C425)</f>
        <v/>
      </c>
      <c r="L425" s="13" t="str">
        <f aca="false">IF(A425="","",IF(OR(I425="Devolvida",N(H425)&gt;0),"Sim","Não"))</f>
        <v/>
      </c>
    </row>
    <row r="426" customFormat="false" ht="15" hidden="false" customHeight="false" outlineLevel="0" collapsed="false">
      <c r="A426" s="18"/>
      <c r="B426" s="18"/>
      <c r="C426" s="25"/>
      <c r="D426" s="25"/>
      <c r="E426" s="25"/>
      <c r="F426" s="18"/>
      <c r="G426" s="18"/>
      <c r="H426" s="18"/>
      <c r="I426" s="18"/>
      <c r="J426" s="13" t="str">
        <f aca="false">IF(OR(D426="",E426=""),"",E426-D426)</f>
        <v/>
      </c>
      <c r="K426" s="13" t="str">
        <f aca="false">IF(OR(C426="",D426=""),"",D426-C426)</f>
        <v/>
      </c>
      <c r="L426" s="13" t="str">
        <f aca="false">IF(A426="","",IF(OR(I426="Devolvida",N(H426)&gt;0),"Sim","Não"))</f>
        <v/>
      </c>
    </row>
    <row r="427" customFormat="false" ht="15" hidden="false" customHeight="false" outlineLevel="0" collapsed="false">
      <c r="A427" s="18"/>
      <c r="B427" s="18"/>
      <c r="C427" s="25"/>
      <c r="D427" s="25"/>
      <c r="E427" s="25"/>
      <c r="F427" s="18"/>
      <c r="G427" s="18"/>
      <c r="H427" s="18"/>
      <c r="I427" s="18"/>
      <c r="J427" s="13" t="str">
        <f aca="false">IF(OR(D427="",E427=""),"",E427-D427)</f>
        <v/>
      </c>
      <c r="K427" s="13" t="str">
        <f aca="false">IF(OR(C427="",D427=""),"",D427-C427)</f>
        <v/>
      </c>
      <c r="L427" s="13" t="str">
        <f aca="false">IF(A427="","",IF(OR(I427="Devolvida",N(H427)&gt;0),"Sim","Não"))</f>
        <v/>
      </c>
    </row>
    <row r="428" customFormat="false" ht="15" hidden="false" customHeight="false" outlineLevel="0" collapsed="false">
      <c r="A428" s="18"/>
      <c r="B428" s="18"/>
      <c r="C428" s="25"/>
      <c r="D428" s="25"/>
      <c r="E428" s="25"/>
      <c r="F428" s="18"/>
      <c r="G428" s="18"/>
      <c r="H428" s="18"/>
      <c r="I428" s="18"/>
      <c r="J428" s="13" t="str">
        <f aca="false">IF(OR(D428="",E428=""),"",E428-D428)</f>
        <v/>
      </c>
      <c r="K428" s="13" t="str">
        <f aca="false">IF(OR(C428="",D428=""),"",D428-C428)</f>
        <v/>
      </c>
      <c r="L428" s="13" t="str">
        <f aca="false">IF(A428="","",IF(OR(I428="Devolvida",N(H428)&gt;0),"Sim","Não"))</f>
        <v/>
      </c>
    </row>
    <row r="429" customFormat="false" ht="15" hidden="false" customHeight="false" outlineLevel="0" collapsed="false">
      <c r="A429" s="18"/>
      <c r="B429" s="18"/>
      <c r="C429" s="25"/>
      <c r="D429" s="25"/>
      <c r="E429" s="25"/>
      <c r="F429" s="18"/>
      <c r="G429" s="18"/>
      <c r="H429" s="18"/>
      <c r="I429" s="18"/>
      <c r="J429" s="13" t="str">
        <f aca="false">IF(OR(D429="",E429=""),"",E429-D429)</f>
        <v/>
      </c>
      <c r="K429" s="13" t="str">
        <f aca="false">IF(OR(C429="",D429=""),"",D429-C429)</f>
        <v/>
      </c>
      <c r="L429" s="13" t="str">
        <f aca="false">IF(A429="","",IF(OR(I429="Devolvida",N(H429)&gt;0),"Sim","Não"))</f>
        <v/>
      </c>
    </row>
    <row r="430" customFormat="false" ht="15" hidden="false" customHeight="false" outlineLevel="0" collapsed="false">
      <c r="A430" s="18"/>
      <c r="B430" s="18"/>
      <c r="C430" s="25"/>
      <c r="D430" s="25"/>
      <c r="E430" s="25"/>
      <c r="F430" s="18"/>
      <c r="G430" s="18"/>
      <c r="H430" s="18"/>
      <c r="I430" s="18"/>
      <c r="J430" s="13" t="str">
        <f aca="false">IF(OR(D430="",E430=""),"",E430-D430)</f>
        <v/>
      </c>
      <c r="K430" s="13" t="str">
        <f aca="false">IF(OR(C430="",D430=""),"",D430-C430)</f>
        <v/>
      </c>
      <c r="L430" s="13" t="str">
        <f aca="false">IF(A430="","",IF(OR(I430="Devolvida",N(H430)&gt;0),"Sim","Não"))</f>
        <v/>
      </c>
    </row>
    <row r="431" customFormat="false" ht="15" hidden="false" customHeight="false" outlineLevel="0" collapsed="false">
      <c r="A431" s="18"/>
      <c r="B431" s="18"/>
      <c r="C431" s="25"/>
      <c r="D431" s="25"/>
      <c r="E431" s="25"/>
      <c r="F431" s="18"/>
      <c r="G431" s="18"/>
      <c r="H431" s="18"/>
      <c r="I431" s="18"/>
      <c r="J431" s="13" t="str">
        <f aca="false">IF(OR(D431="",E431=""),"",E431-D431)</f>
        <v/>
      </c>
      <c r="K431" s="13" t="str">
        <f aca="false">IF(OR(C431="",D431=""),"",D431-C431)</f>
        <v/>
      </c>
      <c r="L431" s="13" t="str">
        <f aca="false">IF(A431="","",IF(OR(I431="Devolvida",N(H431)&gt;0),"Sim","Não"))</f>
        <v/>
      </c>
    </row>
    <row r="432" customFormat="false" ht="15" hidden="false" customHeight="false" outlineLevel="0" collapsed="false">
      <c r="A432" s="18"/>
      <c r="B432" s="18"/>
      <c r="C432" s="25"/>
      <c r="D432" s="25"/>
      <c r="E432" s="25"/>
      <c r="F432" s="18"/>
      <c r="G432" s="18"/>
      <c r="H432" s="18"/>
      <c r="I432" s="18"/>
      <c r="J432" s="13" t="str">
        <f aca="false">IF(OR(D432="",E432=""),"",E432-D432)</f>
        <v/>
      </c>
      <c r="K432" s="13" t="str">
        <f aca="false">IF(OR(C432="",D432=""),"",D432-C432)</f>
        <v/>
      </c>
      <c r="L432" s="13" t="str">
        <f aca="false">IF(A432="","",IF(OR(I432="Devolvida",N(H432)&gt;0),"Sim","Não"))</f>
        <v/>
      </c>
    </row>
    <row r="433" customFormat="false" ht="15" hidden="false" customHeight="false" outlineLevel="0" collapsed="false">
      <c r="A433" s="18"/>
      <c r="B433" s="18"/>
      <c r="C433" s="25"/>
      <c r="D433" s="25"/>
      <c r="E433" s="25"/>
      <c r="F433" s="18"/>
      <c r="G433" s="18"/>
      <c r="H433" s="18"/>
      <c r="I433" s="18"/>
      <c r="J433" s="13" t="str">
        <f aca="false">IF(OR(D433="",E433=""),"",E433-D433)</f>
        <v/>
      </c>
      <c r="K433" s="13" t="str">
        <f aca="false">IF(OR(C433="",D433=""),"",D433-C433)</f>
        <v/>
      </c>
      <c r="L433" s="13" t="str">
        <f aca="false">IF(A433="","",IF(OR(I433="Devolvida",N(H433)&gt;0),"Sim","Não"))</f>
        <v/>
      </c>
    </row>
    <row r="434" customFormat="false" ht="15" hidden="false" customHeight="false" outlineLevel="0" collapsed="false">
      <c r="A434" s="18"/>
      <c r="B434" s="18"/>
      <c r="C434" s="25"/>
      <c r="D434" s="25"/>
      <c r="E434" s="25"/>
      <c r="F434" s="18"/>
      <c r="G434" s="18"/>
      <c r="H434" s="18"/>
      <c r="I434" s="18"/>
      <c r="J434" s="13" t="str">
        <f aca="false">IF(OR(D434="",E434=""),"",E434-D434)</f>
        <v/>
      </c>
      <c r="K434" s="13" t="str">
        <f aca="false">IF(OR(C434="",D434=""),"",D434-C434)</f>
        <v/>
      </c>
      <c r="L434" s="13" t="str">
        <f aca="false">IF(A434="","",IF(OR(I434="Devolvida",N(H434)&gt;0),"Sim","Não"))</f>
        <v/>
      </c>
    </row>
    <row r="435" customFormat="false" ht="15" hidden="false" customHeight="false" outlineLevel="0" collapsed="false">
      <c r="A435" s="18"/>
      <c r="B435" s="18"/>
      <c r="C435" s="25"/>
      <c r="D435" s="25"/>
      <c r="E435" s="25"/>
      <c r="F435" s="18"/>
      <c r="G435" s="18"/>
      <c r="H435" s="18"/>
      <c r="I435" s="18"/>
      <c r="J435" s="13" t="str">
        <f aca="false">IF(OR(D435="",E435=""),"",E435-D435)</f>
        <v/>
      </c>
      <c r="K435" s="13" t="str">
        <f aca="false">IF(OR(C435="",D435=""),"",D435-C435)</f>
        <v/>
      </c>
      <c r="L435" s="13" t="str">
        <f aca="false">IF(A435="","",IF(OR(I435="Devolvida",N(H435)&gt;0),"Sim","Não"))</f>
        <v/>
      </c>
    </row>
    <row r="436" customFormat="false" ht="15" hidden="false" customHeight="false" outlineLevel="0" collapsed="false">
      <c r="A436" s="18"/>
      <c r="B436" s="18"/>
      <c r="C436" s="25"/>
      <c r="D436" s="25"/>
      <c r="E436" s="25"/>
      <c r="F436" s="18"/>
      <c r="G436" s="18"/>
      <c r="H436" s="18"/>
      <c r="I436" s="18"/>
      <c r="J436" s="13" t="str">
        <f aca="false">IF(OR(D436="",E436=""),"",E436-D436)</f>
        <v/>
      </c>
      <c r="K436" s="13" t="str">
        <f aca="false">IF(OR(C436="",D436=""),"",D436-C436)</f>
        <v/>
      </c>
      <c r="L436" s="13" t="str">
        <f aca="false">IF(A436="","",IF(OR(I436="Devolvida",N(H436)&gt;0),"Sim","Não"))</f>
        <v/>
      </c>
    </row>
    <row r="437" customFormat="false" ht="15" hidden="false" customHeight="false" outlineLevel="0" collapsed="false">
      <c r="A437" s="18"/>
      <c r="B437" s="18"/>
      <c r="C437" s="25"/>
      <c r="D437" s="25"/>
      <c r="E437" s="25"/>
      <c r="F437" s="18"/>
      <c r="G437" s="18"/>
      <c r="H437" s="18"/>
      <c r="I437" s="18"/>
      <c r="J437" s="13" t="str">
        <f aca="false">IF(OR(D437="",E437=""),"",E437-D437)</f>
        <v/>
      </c>
      <c r="K437" s="13" t="str">
        <f aca="false">IF(OR(C437="",D437=""),"",D437-C437)</f>
        <v/>
      </c>
      <c r="L437" s="13" t="str">
        <f aca="false">IF(A437="","",IF(OR(I437="Devolvida",N(H437)&gt;0),"Sim","Não"))</f>
        <v/>
      </c>
    </row>
    <row r="438" customFormat="false" ht="15" hidden="false" customHeight="false" outlineLevel="0" collapsed="false">
      <c r="A438" s="18"/>
      <c r="B438" s="18"/>
      <c r="C438" s="25"/>
      <c r="D438" s="25"/>
      <c r="E438" s="25"/>
      <c r="F438" s="18"/>
      <c r="G438" s="18"/>
      <c r="H438" s="18"/>
      <c r="I438" s="18"/>
      <c r="J438" s="13" t="str">
        <f aca="false">IF(OR(D438="",E438=""),"",E438-D438)</f>
        <v/>
      </c>
      <c r="K438" s="13" t="str">
        <f aca="false">IF(OR(C438="",D438=""),"",D438-C438)</f>
        <v/>
      </c>
      <c r="L438" s="13" t="str">
        <f aca="false">IF(A438="","",IF(OR(I438="Devolvida",N(H438)&gt;0),"Sim","Não"))</f>
        <v/>
      </c>
    </row>
    <row r="439" customFormat="false" ht="15" hidden="false" customHeight="false" outlineLevel="0" collapsed="false">
      <c r="A439" s="18"/>
      <c r="B439" s="18"/>
      <c r="C439" s="25"/>
      <c r="D439" s="25"/>
      <c r="E439" s="25"/>
      <c r="F439" s="18"/>
      <c r="G439" s="18"/>
      <c r="H439" s="18"/>
      <c r="I439" s="18"/>
      <c r="J439" s="13" t="str">
        <f aca="false">IF(OR(D439="",E439=""),"",E439-D439)</f>
        <v/>
      </c>
      <c r="K439" s="13" t="str">
        <f aca="false">IF(OR(C439="",D439=""),"",D439-C439)</f>
        <v/>
      </c>
      <c r="L439" s="13" t="str">
        <f aca="false">IF(A439="","",IF(OR(I439="Devolvida",N(H439)&gt;0),"Sim","Não"))</f>
        <v/>
      </c>
    </row>
    <row r="440" customFormat="false" ht="15" hidden="false" customHeight="false" outlineLevel="0" collapsed="false">
      <c r="A440" s="18"/>
      <c r="B440" s="18"/>
      <c r="C440" s="25"/>
      <c r="D440" s="25"/>
      <c r="E440" s="25"/>
      <c r="F440" s="18"/>
      <c r="G440" s="18"/>
      <c r="H440" s="18"/>
      <c r="I440" s="18"/>
      <c r="J440" s="13" t="str">
        <f aca="false">IF(OR(D440="",E440=""),"",E440-D440)</f>
        <v/>
      </c>
      <c r="K440" s="13" t="str">
        <f aca="false">IF(OR(C440="",D440=""),"",D440-C440)</f>
        <v/>
      </c>
      <c r="L440" s="13" t="str">
        <f aca="false">IF(A440="","",IF(OR(I440="Devolvida",N(H440)&gt;0),"Sim","Não"))</f>
        <v/>
      </c>
    </row>
    <row r="441" customFormat="false" ht="15" hidden="false" customHeight="false" outlineLevel="0" collapsed="false">
      <c r="A441" s="18"/>
      <c r="B441" s="18"/>
      <c r="C441" s="25"/>
      <c r="D441" s="25"/>
      <c r="E441" s="25"/>
      <c r="F441" s="18"/>
      <c r="G441" s="18"/>
      <c r="H441" s="18"/>
      <c r="I441" s="18"/>
      <c r="J441" s="13" t="str">
        <f aca="false">IF(OR(D441="",E441=""),"",E441-D441)</f>
        <v/>
      </c>
      <c r="K441" s="13" t="str">
        <f aca="false">IF(OR(C441="",D441=""),"",D441-C441)</f>
        <v/>
      </c>
      <c r="L441" s="13" t="str">
        <f aca="false">IF(A441="","",IF(OR(I441="Devolvida",N(H441)&gt;0),"Sim","Não"))</f>
        <v/>
      </c>
    </row>
    <row r="442" customFormat="false" ht="15" hidden="false" customHeight="false" outlineLevel="0" collapsed="false">
      <c r="A442" s="18"/>
      <c r="B442" s="18"/>
      <c r="C442" s="25"/>
      <c r="D442" s="25"/>
      <c r="E442" s="25"/>
      <c r="F442" s="18"/>
      <c r="G442" s="18"/>
      <c r="H442" s="18"/>
      <c r="I442" s="18"/>
      <c r="J442" s="13" t="str">
        <f aca="false">IF(OR(D442="",E442=""),"",E442-D442)</f>
        <v/>
      </c>
      <c r="K442" s="13" t="str">
        <f aca="false">IF(OR(C442="",D442=""),"",D442-C442)</f>
        <v/>
      </c>
      <c r="L442" s="13" t="str">
        <f aca="false">IF(A442="","",IF(OR(I442="Devolvida",N(H442)&gt;0),"Sim","Não"))</f>
        <v/>
      </c>
    </row>
    <row r="443" customFormat="false" ht="15" hidden="false" customHeight="false" outlineLevel="0" collapsed="false">
      <c r="A443" s="18"/>
      <c r="B443" s="18"/>
      <c r="C443" s="25"/>
      <c r="D443" s="25"/>
      <c r="E443" s="25"/>
      <c r="F443" s="18"/>
      <c r="G443" s="18"/>
      <c r="H443" s="18"/>
      <c r="I443" s="18"/>
      <c r="J443" s="13" t="str">
        <f aca="false">IF(OR(D443="",E443=""),"",E443-D443)</f>
        <v/>
      </c>
      <c r="K443" s="13" t="str">
        <f aca="false">IF(OR(C443="",D443=""),"",D443-C443)</f>
        <v/>
      </c>
      <c r="L443" s="13" t="str">
        <f aca="false">IF(A443="","",IF(OR(I443="Devolvida",N(H443)&gt;0),"Sim","Não"))</f>
        <v/>
      </c>
    </row>
    <row r="444" customFormat="false" ht="15" hidden="false" customHeight="false" outlineLevel="0" collapsed="false">
      <c r="A444" s="18"/>
      <c r="B444" s="18"/>
      <c r="C444" s="25"/>
      <c r="D444" s="25"/>
      <c r="E444" s="25"/>
      <c r="F444" s="18"/>
      <c r="G444" s="18"/>
      <c r="H444" s="18"/>
      <c r="I444" s="18"/>
      <c r="J444" s="13" t="str">
        <f aca="false">IF(OR(D444="",E444=""),"",E444-D444)</f>
        <v/>
      </c>
      <c r="K444" s="13" t="str">
        <f aca="false">IF(OR(C444="",D444=""),"",D444-C444)</f>
        <v/>
      </c>
      <c r="L444" s="13" t="str">
        <f aca="false">IF(A444="","",IF(OR(I444="Devolvida",N(H444)&gt;0),"Sim","Não"))</f>
        <v/>
      </c>
    </row>
    <row r="445" customFormat="false" ht="15" hidden="false" customHeight="false" outlineLevel="0" collapsed="false">
      <c r="A445" s="18"/>
      <c r="B445" s="18"/>
      <c r="C445" s="25"/>
      <c r="D445" s="25"/>
      <c r="E445" s="25"/>
      <c r="F445" s="18"/>
      <c r="G445" s="18"/>
      <c r="H445" s="18"/>
      <c r="I445" s="18"/>
      <c r="J445" s="13" t="str">
        <f aca="false">IF(OR(D445="",E445=""),"",E445-D445)</f>
        <v/>
      </c>
      <c r="K445" s="13" t="str">
        <f aca="false">IF(OR(C445="",D445=""),"",D445-C445)</f>
        <v/>
      </c>
      <c r="L445" s="13" t="str">
        <f aca="false">IF(A445="","",IF(OR(I445="Devolvida",N(H445)&gt;0),"Sim","Não"))</f>
        <v/>
      </c>
    </row>
    <row r="446" customFormat="false" ht="15" hidden="false" customHeight="false" outlineLevel="0" collapsed="false">
      <c r="A446" s="18"/>
      <c r="B446" s="18"/>
      <c r="C446" s="25"/>
      <c r="D446" s="25"/>
      <c r="E446" s="25"/>
      <c r="F446" s="18"/>
      <c r="G446" s="18"/>
      <c r="H446" s="18"/>
      <c r="I446" s="18"/>
      <c r="J446" s="13" t="str">
        <f aca="false">IF(OR(D446="",E446=""),"",E446-D446)</f>
        <v/>
      </c>
      <c r="K446" s="13" t="str">
        <f aca="false">IF(OR(C446="",D446=""),"",D446-C446)</f>
        <v/>
      </c>
      <c r="L446" s="13" t="str">
        <f aca="false">IF(A446="","",IF(OR(I446="Devolvida",N(H446)&gt;0),"Sim","Não"))</f>
        <v/>
      </c>
    </row>
    <row r="447" customFormat="false" ht="15" hidden="false" customHeight="false" outlineLevel="0" collapsed="false">
      <c r="A447" s="18"/>
      <c r="B447" s="18"/>
      <c r="C447" s="25"/>
      <c r="D447" s="25"/>
      <c r="E447" s="25"/>
      <c r="F447" s="18"/>
      <c r="G447" s="18"/>
      <c r="H447" s="18"/>
      <c r="I447" s="18"/>
      <c r="J447" s="13" t="str">
        <f aca="false">IF(OR(D447="",E447=""),"",E447-D447)</f>
        <v/>
      </c>
      <c r="K447" s="13" t="str">
        <f aca="false">IF(OR(C447="",D447=""),"",D447-C447)</f>
        <v/>
      </c>
      <c r="L447" s="13" t="str">
        <f aca="false">IF(A447="","",IF(OR(I447="Devolvida",N(H447)&gt;0),"Sim","Não"))</f>
        <v/>
      </c>
    </row>
    <row r="448" customFormat="false" ht="15" hidden="false" customHeight="false" outlineLevel="0" collapsed="false">
      <c r="A448" s="18"/>
      <c r="B448" s="18"/>
      <c r="C448" s="25"/>
      <c r="D448" s="25"/>
      <c r="E448" s="25"/>
      <c r="F448" s="18"/>
      <c r="G448" s="18"/>
      <c r="H448" s="18"/>
      <c r="I448" s="18"/>
      <c r="J448" s="13" t="str">
        <f aca="false">IF(OR(D448="",E448=""),"",E448-D448)</f>
        <v/>
      </c>
      <c r="K448" s="13" t="str">
        <f aca="false">IF(OR(C448="",D448=""),"",D448-C448)</f>
        <v/>
      </c>
      <c r="L448" s="13" t="str">
        <f aca="false">IF(A448="","",IF(OR(I448="Devolvida",N(H448)&gt;0),"Sim","Não"))</f>
        <v/>
      </c>
    </row>
    <row r="449" customFormat="false" ht="15" hidden="false" customHeight="false" outlineLevel="0" collapsed="false">
      <c r="A449" s="18"/>
      <c r="B449" s="18"/>
      <c r="C449" s="25"/>
      <c r="D449" s="25"/>
      <c r="E449" s="25"/>
      <c r="F449" s="18"/>
      <c r="G449" s="18"/>
      <c r="H449" s="18"/>
      <c r="I449" s="18"/>
      <c r="J449" s="13" t="str">
        <f aca="false">IF(OR(D449="",E449=""),"",E449-D449)</f>
        <v/>
      </c>
      <c r="K449" s="13" t="str">
        <f aca="false">IF(OR(C449="",D449=""),"",D449-C449)</f>
        <v/>
      </c>
      <c r="L449" s="13" t="str">
        <f aca="false">IF(A449="","",IF(OR(I449="Devolvida",N(H449)&gt;0),"Sim","Não"))</f>
        <v/>
      </c>
    </row>
    <row r="450" customFormat="false" ht="15" hidden="false" customHeight="false" outlineLevel="0" collapsed="false">
      <c r="A450" s="18"/>
      <c r="B450" s="18"/>
      <c r="C450" s="25"/>
      <c r="D450" s="25"/>
      <c r="E450" s="25"/>
      <c r="F450" s="18"/>
      <c r="G450" s="18"/>
      <c r="H450" s="18"/>
      <c r="I450" s="18"/>
      <c r="J450" s="13" t="str">
        <f aca="false">IF(OR(D450="",E450=""),"",E450-D450)</f>
        <v/>
      </c>
      <c r="K450" s="13" t="str">
        <f aca="false">IF(OR(C450="",D450=""),"",D450-C450)</f>
        <v/>
      </c>
      <c r="L450" s="13" t="str">
        <f aca="false">IF(A450="","",IF(OR(I450="Devolvida",N(H450)&gt;0),"Sim","Não"))</f>
        <v/>
      </c>
    </row>
    <row r="451" customFormat="false" ht="15" hidden="false" customHeight="false" outlineLevel="0" collapsed="false">
      <c r="A451" s="18"/>
      <c r="B451" s="18"/>
      <c r="C451" s="25"/>
      <c r="D451" s="25"/>
      <c r="E451" s="25"/>
      <c r="F451" s="18"/>
      <c r="G451" s="18"/>
      <c r="H451" s="18"/>
      <c r="I451" s="18"/>
      <c r="J451" s="13" t="str">
        <f aca="false">IF(OR(D451="",E451=""),"",E451-D451)</f>
        <v/>
      </c>
      <c r="K451" s="13" t="str">
        <f aca="false">IF(OR(C451="",D451=""),"",D451-C451)</f>
        <v/>
      </c>
      <c r="L451" s="13" t="str">
        <f aca="false">IF(A451="","",IF(OR(I451="Devolvida",N(H451)&gt;0),"Sim","Não"))</f>
        <v/>
      </c>
    </row>
    <row r="452" customFormat="false" ht="15" hidden="false" customHeight="false" outlineLevel="0" collapsed="false">
      <c r="A452" s="18"/>
      <c r="B452" s="18"/>
      <c r="C452" s="25"/>
      <c r="D452" s="25"/>
      <c r="E452" s="25"/>
      <c r="F452" s="18"/>
      <c r="G452" s="18"/>
      <c r="H452" s="18"/>
      <c r="I452" s="18"/>
      <c r="J452" s="13" t="str">
        <f aca="false">IF(OR(D452="",E452=""),"",E452-D452)</f>
        <v/>
      </c>
      <c r="K452" s="13" t="str">
        <f aca="false">IF(OR(C452="",D452=""),"",D452-C452)</f>
        <v/>
      </c>
      <c r="L452" s="13" t="str">
        <f aca="false">IF(A452="","",IF(OR(I452="Devolvida",N(H452)&gt;0),"Sim","Não"))</f>
        <v/>
      </c>
    </row>
    <row r="453" customFormat="false" ht="15" hidden="false" customHeight="false" outlineLevel="0" collapsed="false">
      <c r="A453" s="18"/>
      <c r="B453" s="18"/>
      <c r="C453" s="25"/>
      <c r="D453" s="25"/>
      <c r="E453" s="25"/>
      <c r="F453" s="18"/>
      <c r="G453" s="18"/>
      <c r="H453" s="18"/>
      <c r="I453" s="18"/>
      <c r="J453" s="13" t="str">
        <f aca="false">IF(OR(D453="",E453=""),"",E453-D453)</f>
        <v/>
      </c>
      <c r="K453" s="13" t="str">
        <f aca="false">IF(OR(C453="",D453=""),"",D453-C453)</f>
        <v/>
      </c>
      <c r="L453" s="13" t="str">
        <f aca="false">IF(A453="","",IF(OR(I453="Devolvida",N(H453)&gt;0),"Sim","Não"))</f>
        <v/>
      </c>
    </row>
    <row r="454" customFormat="false" ht="15" hidden="false" customHeight="false" outlineLevel="0" collapsed="false">
      <c r="A454" s="18"/>
      <c r="B454" s="18"/>
      <c r="C454" s="25"/>
      <c r="D454" s="25"/>
      <c r="E454" s="25"/>
      <c r="F454" s="18"/>
      <c r="G454" s="18"/>
      <c r="H454" s="18"/>
      <c r="I454" s="18"/>
      <c r="J454" s="13" t="str">
        <f aca="false">IF(OR(D454="",E454=""),"",E454-D454)</f>
        <v/>
      </c>
      <c r="K454" s="13" t="str">
        <f aca="false">IF(OR(C454="",D454=""),"",D454-C454)</f>
        <v/>
      </c>
      <c r="L454" s="13" t="str">
        <f aca="false">IF(A454="","",IF(OR(I454="Devolvida",N(H454)&gt;0),"Sim","Não"))</f>
        <v/>
      </c>
    </row>
    <row r="455" customFormat="false" ht="15" hidden="false" customHeight="false" outlineLevel="0" collapsed="false">
      <c r="A455" s="18"/>
      <c r="B455" s="18"/>
      <c r="C455" s="25"/>
      <c r="D455" s="25"/>
      <c r="E455" s="25"/>
      <c r="F455" s="18"/>
      <c r="G455" s="18"/>
      <c r="H455" s="18"/>
      <c r="I455" s="18"/>
      <c r="J455" s="13" t="str">
        <f aca="false">IF(OR(D455="",E455=""),"",E455-D455)</f>
        <v/>
      </c>
      <c r="K455" s="13" t="str">
        <f aca="false">IF(OR(C455="",D455=""),"",D455-C455)</f>
        <v/>
      </c>
      <c r="L455" s="13" t="str">
        <f aca="false">IF(A455="","",IF(OR(I455="Devolvida",N(H455)&gt;0),"Sim","Não"))</f>
        <v/>
      </c>
    </row>
    <row r="456" customFormat="false" ht="15" hidden="false" customHeight="false" outlineLevel="0" collapsed="false">
      <c r="A456" s="18"/>
      <c r="B456" s="18"/>
      <c r="C456" s="25"/>
      <c r="D456" s="25"/>
      <c r="E456" s="25"/>
      <c r="F456" s="18"/>
      <c r="G456" s="18"/>
      <c r="H456" s="18"/>
      <c r="I456" s="18"/>
      <c r="J456" s="13" t="str">
        <f aca="false">IF(OR(D456="",E456=""),"",E456-D456)</f>
        <v/>
      </c>
      <c r="K456" s="13" t="str">
        <f aca="false">IF(OR(C456="",D456=""),"",D456-C456)</f>
        <v/>
      </c>
      <c r="L456" s="13" t="str">
        <f aca="false">IF(A456="","",IF(OR(I456="Devolvida",N(H456)&gt;0),"Sim","Não"))</f>
        <v/>
      </c>
    </row>
    <row r="457" customFormat="false" ht="15" hidden="false" customHeight="false" outlineLevel="0" collapsed="false">
      <c r="A457" s="18"/>
      <c r="B457" s="18"/>
      <c r="C457" s="25"/>
      <c r="D457" s="25"/>
      <c r="E457" s="25"/>
      <c r="F457" s="18"/>
      <c r="G457" s="18"/>
      <c r="H457" s="18"/>
      <c r="I457" s="18"/>
      <c r="J457" s="13" t="str">
        <f aca="false">IF(OR(D457="",E457=""),"",E457-D457)</f>
        <v/>
      </c>
      <c r="K457" s="13" t="str">
        <f aca="false">IF(OR(C457="",D457=""),"",D457-C457)</f>
        <v/>
      </c>
      <c r="L457" s="13" t="str">
        <f aca="false">IF(A457="","",IF(OR(I457="Devolvida",N(H457)&gt;0),"Sim","Não"))</f>
        <v/>
      </c>
    </row>
    <row r="458" customFormat="false" ht="15" hidden="false" customHeight="false" outlineLevel="0" collapsed="false">
      <c r="A458" s="18"/>
      <c r="B458" s="18"/>
      <c r="C458" s="25"/>
      <c r="D458" s="25"/>
      <c r="E458" s="25"/>
      <c r="F458" s="18"/>
      <c r="G458" s="18"/>
      <c r="H458" s="18"/>
      <c r="I458" s="18"/>
      <c r="J458" s="13" t="str">
        <f aca="false">IF(OR(D458="",E458=""),"",E458-D458)</f>
        <v/>
      </c>
      <c r="K458" s="13" t="str">
        <f aca="false">IF(OR(C458="",D458=""),"",D458-C458)</f>
        <v/>
      </c>
      <c r="L458" s="13" t="str">
        <f aca="false">IF(A458="","",IF(OR(I458="Devolvida",N(H458)&gt;0),"Sim","Não"))</f>
        <v/>
      </c>
    </row>
    <row r="459" customFormat="false" ht="15" hidden="false" customHeight="false" outlineLevel="0" collapsed="false">
      <c r="A459" s="18"/>
      <c r="B459" s="18"/>
      <c r="C459" s="25"/>
      <c r="D459" s="25"/>
      <c r="E459" s="25"/>
      <c r="F459" s="18"/>
      <c r="G459" s="18"/>
      <c r="H459" s="18"/>
      <c r="I459" s="18"/>
      <c r="J459" s="13" t="str">
        <f aca="false">IF(OR(D459="",E459=""),"",E459-D459)</f>
        <v/>
      </c>
      <c r="K459" s="13" t="str">
        <f aca="false">IF(OR(C459="",D459=""),"",D459-C459)</f>
        <v/>
      </c>
      <c r="L459" s="13" t="str">
        <f aca="false">IF(A459="","",IF(OR(I459="Devolvida",N(H459)&gt;0),"Sim","Não"))</f>
        <v/>
      </c>
    </row>
    <row r="460" customFormat="false" ht="15" hidden="false" customHeight="false" outlineLevel="0" collapsed="false">
      <c r="A460" s="18"/>
      <c r="B460" s="18"/>
      <c r="C460" s="25"/>
      <c r="D460" s="25"/>
      <c r="E460" s="25"/>
      <c r="F460" s="18"/>
      <c r="G460" s="18"/>
      <c r="H460" s="18"/>
      <c r="I460" s="18"/>
      <c r="J460" s="13" t="str">
        <f aca="false">IF(OR(D460="",E460=""),"",E460-D460)</f>
        <v/>
      </c>
      <c r="K460" s="13" t="str">
        <f aca="false">IF(OR(C460="",D460=""),"",D460-C460)</f>
        <v/>
      </c>
      <c r="L460" s="13" t="str">
        <f aca="false">IF(A460="","",IF(OR(I460="Devolvida",N(H460)&gt;0),"Sim","Não"))</f>
        <v/>
      </c>
    </row>
    <row r="461" customFormat="false" ht="15" hidden="false" customHeight="false" outlineLevel="0" collapsed="false">
      <c r="A461" s="18"/>
      <c r="B461" s="18"/>
      <c r="C461" s="25"/>
      <c r="D461" s="25"/>
      <c r="E461" s="25"/>
      <c r="F461" s="18"/>
      <c r="G461" s="18"/>
      <c r="H461" s="18"/>
      <c r="I461" s="18"/>
      <c r="J461" s="13" t="str">
        <f aca="false">IF(OR(D461="",E461=""),"",E461-D461)</f>
        <v/>
      </c>
      <c r="K461" s="13" t="str">
        <f aca="false">IF(OR(C461="",D461=""),"",D461-C461)</f>
        <v/>
      </c>
      <c r="L461" s="13" t="str">
        <f aca="false">IF(A461="","",IF(OR(I461="Devolvida",N(H461)&gt;0),"Sim","Não"))</f>
        <v/>
      </c>
    </row>
    <row r="462" customFormat="false" ht="15" hidden="false" customHeight="false" outlineLevel="0" collapsed="false">
      <c r="A462" s="18"/>
      <c r="B462" s="18"/>
      <c r="C462" s="25"/>
      <c r="D462" s="25"/>
      <c r="E462" s="25"/>
      <c r="F462" s="18"/>
      <c r="G462" s="18"/>
      <c r="H462" s="18"/>
      <c r="I462" s="18"/>
      <c r="J462" s="13" t="str">
        <f aca="false">IF(OR(D462="",E462=""),"",E462-D462)</f>
        <v/>
      </c>
      <c r="K462" s="13" t="str">
        <f aca="false">IF(OR(C462="",D462=""),"",D462-C462)</f>
        <v/>
      </c>
      <c r="L462" s="13" t="str">
        <f aca="false">IF(A462="","",IF(OR(I462="Devolvida",N(H462)&gt;0),"Sim","Não"))</f>
        <v/>
      </c>
    </row>
    <row r="463" customFormat="false" ht="15" hidden="false" customHeight="false" outlineLevel="0" collapsed="false">
      <c r="A463" s="18"/>
      <c r="B463" s="18"/>
      <c r="C463" s="25"/>
      <c r="D463" s="25"/>
      <c r="E463" s="25"/>
      <c r="F463" s="18"/>
      <c r="G463" s="18"/>
      <c r="H463" s="18"/>
      <c r="I463" s="18"/>
      <c r="J463" s="13" t="str">
        <f aca="false">IF(OR(D463="",E463=""),"",E463-D463)</f>
        <v/>
      </c>
      <c r="K463" s="13" t="str">
        <f aca="false">IF(OR(C463="",D463=""),"",D463-C463)</f>
        <v/>
      </c>
      <c r="L463" s="13" t="str">
        <f aca="false">IF(A463="","",IF(OR(I463="Devolvida",N(H463)&gt;0),"Sim","Não"))</f>
        <v/>
      </c>
    </row>
    <row r="464" customFormat="false" ht="15" hidden="false" customHeight="false" outlineLevel="0" collapsed="false">
      <c r="A464" s="18"/>
      <c r="B464" s="18"/>
      <c r="C464" s="25"/>
      <c r="D464" s="25"/>
      <c r="E464" s="25"/>
      <c r="F464" s="18"/>
      <c r="G464" s="18"/>
      <c r="H464" s="18"/>
      <c r="I464" s="18"/>
      <c r="J464" s="13" t="str">
        <f aca="false">IF(OR(D464="",E464=""),"",E464-D464)</f>
        <v/>
      </c>
      <c r="K464" s="13" t="str">
        <f aca="false">IF(OR(C464="",D464=""),"",D464-C464)</f>
        <v/>
      </c>
      <c r="L464" s="13" t="str">
        <f aca="false">IF(A464="","",IF(OR(I464="Devolvida",N(H464)&gt;0),"Sim","Não"))</f>
        <v/>
      </c>
    </row>
    <row r="465" customFormat="false" ht="15" hidden="false" customHeight="false" outlineLevel="0" collapsed="false">
      <c r="A465" s="18"/>
      <c r="B465" s="18"/>
      <c r="C465" s="25"/>
      <c r="D465" s="25"/>
      <c r="E465" s="25"/>
      <c r="F465" s="18"/>
      <c r="G465" s="18"/>
      <c r="H465" s="18"/>
      <c r="I465" s="18"/>
      <c r="J465" s="13" t="str">
        <f aca="false">IF(OR(D465="",E465=""),"",E465-D465)</f>
        <v/>
      </c>
      <c r="K465" s="13" t="str">
        <f aca="false">IF(OR(C465="",D465=""),"",D465-C465)</f>
        <v/>
      </c>
      <c r="L465" s="13" t="str">
        <f aca="false">IF(A465="","",IF(OR(I465="Devolvida",N(H465)&gt;0),"Sim","Não"))</f>
        <v/>
      </c>
    </row>
    <row r="466" customFormat="false" ht="15" hidden="false" customHeight="false" outlineLevel="0" collapsed="false">
      <c r="A466" s="18"/>
      <c r="B466" s="18"/>
      <c r="C466" s="25"/>
      <c r="D466" s="25"/>
      <c r="E466" s="25"/>
      <c r="F466" s="18"/>
      <c r="G466" s="18"/>
      <c r="H466" s="18"/>
      <c r="I466" s="18"/>
      <c r="J466" s="13" t="str">
        <f aca="false">IF(OR(D466="",E466=""),"",E466-D466)</f>
        <v/>
      </c>
      <c r="K466" s="13" t="str">
        <f aca="false">IF(OR(C466="",D466=""),"",D466-C466)</f>
        <v/>
      </c>
      <c r="L466" s="13" t="str">
        <f aca="false">IF(A466="","",IF(OR(I466="Devolvida",N(H466)&gt;0),"Sim","Não"))</f>
        <v/>
      </c>
    </row>
    <row r="467" customFormat="false" ht="15" hidden="false" customHeight="false" outlineLevel="0" collapsed="false">
      <c r="A467" s="18"/>
      <c r="B467" s="18"/>
      <c r="C467" s="25"/>
      <c r="D467" s="25"/>
      <c r="E467" s="25"/>
      <c r="F467" s="18"/>
      <c r="G467" s="18"/>
      <c r="H467" s="18"/>
      <c r="I467" s="18"/>
      <c r="J467" s="13" t="str">
        <f aca="false">IF(OR(D467="",E467=""),"",E467-D467)</f>
        <v/>
      </c>
      <c r="K467" s="13" t="str">
        <f aca="false">IF(OR(C467="",D467=""),"",D467-C467)</f>
        <v/>
      </c>
      <c r="L467" s="13" t="str">
        <f aca="false">IF(A467="","",IF(OR(I467="Devolvida",N(H467)&gt;0),"Sim","Não"))</f>
        <v/>
      </c>
    </row>
    <row r="468" customFormat="false" ht="15" hidden="false" customHeight="false" outlineLevel="0" collapsed="false">
      <c r="A468" s="18"/>
      <c r="B468" s="18"/>
      <c r="C468" s="25"/>
      <c r="D468" s="25"/>
      <c r="E468" s="25"/>
      <c r="F468" s="18"/>
      <c r="G468" s="18"/>
      <c r="H468" s="18"/>
      <c r="I468" s="18"/>
      <c r="J468" s="13" t="str">
        <f aca="false">IF(OR(D468="",E468=""),"",E468-D468)</f>
        <v/>
      </c>
      <c r="K468" s="13" t="str">
        <f aca="false">IF(OR(C468="",D468=""),"",D468-C468)</f>
        <v/>
      </c>
      <c r="L468" s="13" t="str">
        <f aca="false">IF(A468="","",IF(OR(I468="Devolvida",N(H468)&gt;0),"Sim","Não"))</f>
        <v/>
      </c>
    </row>
    <row r="469" customFormat="false" ht="15" hidden="false" customHeight="false" outlineLevel="0" collapsed="false">
      <c r="A469" s="18"/>
      <c r="B469" s="18"/>
      <c r="C469" s="25"/>
      <c r="D469" s="25"/>
      <c r="E469" s="25"/>
      <c r="F469" s="18"/>
      <c r="G469" s="18"/>
      <c r="H469" s="18"/>
      <c r="I469" s="18"/>
      <c r="J469" s="13" t="str">
        <f aca="false">IF(OR(D469="",E469=""),"",E469-D469)</f>
        <v/>
      </c>
      <c r="K469" s="13" t="str">
        <f aca="false">IF(OR(C469="",D469=""),"",D469-C469)</f>
        <v/>
      </c>
      <c r="L469" s="13" t="str">
        <f aca="false">IF(A469="","",IF(OR(I469="Devolvida",N(H469)&gt;0),"Sim","Não"))</f>
        <v/>
      </c>
    </row>
    <row r="470" customFormat="false" ht="15" hidden="false" customHeight="false" outlineLevel="0" collapsed="false">
      <c r="A470" s="18"/>
      <c r="B470" s="18"/>
      <c r="C470" s="25"/>
      <c r="D470" s="25"/>
      <c r="E470" s="25"/>
      <c r="F470" s="18"/>
      <c r="G470" s="18"/>
      <c r="H470" s="18"/>
      <c r="I470" s="18"/>
      <c r="J470" s="13" t="str">
        <f aca="false">IF(OR(D470="",E470=""),"",E470-D470)</f>
        <v/>
      </c>
      <c r="K470" s="13" t="str">
        <f aca="false">IF(OR(C470="",D470=""),"",D470-C470)</f>
        <v/>
      </c>
      <c r="L470" s="13" t="str">
        <f aca="false">IF(A470="","",IF(OR(I470="Devolvida",N(H470)&gt;0),"Sim","Não"))</f>
        <v/>
      </c>
    </row>
    <row r="471" customFormat="false" ht="15" hidden="false" customHeight="false" outlineLevel="0" collapsed="false">
      <c r="A471" s="18"/>
      <c r="B471" s="18"/>
      <c r="C471" s="25"/>
      <c r="D471" s="25"/>
      <c r="E471" s="25"/>
      <c r="F471" s="18"/>
      <c r="G471" s="18"/>
      <c r="H471" s="18"/>
      <c r="I471" s="18"/>
      <c r="J471" s="13" t="str">
        <f aca="false">IF(OR(D471="",E471=""),"",E471-D471)</f>
        <v/>
      </c>
      <c r="K471" s="13" t="str">
        <f aca="false">IF(OR(C471="",D471=""),"",D471-C471)</f>
        <v/>
      </c>
      <c r="L471" s="13" t="str">
        <f aca="false">IF(A471="","",IF(OR(I471="Devolvida",N(H471)&gt;0),"Sim","Não"))</f>
        <v/>
      </c>
    </row>
    <row r="472" customFormat="false" ht="15" hidden="false" customHeight="false" outlineLevel="0" collapsed="false">
      <c r="A472" s="18"/>
      <c r="B472" s="18"/>
      <c r="C472" s="25"/>
      <c r="D472" s="25"/>
      <c r="E472" s="25"/>
      <c r="F472" s="18"/>
      <c r="G472" s="18"/>
      <c r="H472" s="18"/>
      <c r="I472" s="18"/>
      <c r="J472" s="13" t="str">
        <f aca="false">IF(OR(D472="",E472=""),"",E472-D472)</f>
        <v/>
      </c>
      <c r="K472" s="13" t="str">
        <f aca="false">IF(OR(C472="",D472=""),"",D472-C472)</f>
        <v/>
      </c>
      <c r="L472" s="13" t="str">
        <f aca="false">IF(A472="","",IF(OR(I472="Devolvida",N(H472)&gt;0),"Sim","Não"))</f>
        <v/>
      </c>
    </row>
    <row r="473" customFormat="false" ht="15" hidden="false" customHeight="false" outlineLevel="0" collapsed="false">
      <c r="A473" s="18"/>
      <c r="B473" s="18"/>
      <c r="C473" s="25"/>
      <c r="D473" s="25"/>
      <c r="E473" s="25"/>
      <c r="F473" s="18"/>
      <c r="G473" s="18"/>
      <c r="H473" s="18"/>
      <c r="I473" s="18"/>
      <c r="J473" s="13" t="str">
        <f aca="false">IF(OR(D473="",E473=""),"",E473-D473)</f>
        <v/>
      </c>
      <c r="K473" s="13" t="str">
        <f aca="false">IF(OR(C473="",D473=""),"",D473-C473)</f>
        <v/>
      </c>
      <c r="L473" s="13" t="str">
        <f aca="false">IF(A473="","",IF(OR(I473="Devolvida",N(H473)&gt;0),"Sim","Não"))</f>
        <v/>
      </c>
    </row>
    <row r="474" customFormat="false" ht="15" hidden="false" customHeight="false" outlineLevel="0" collapsed="false">
      <c r="A474" s="18"/>
      <c r="B474" s="18"/>
      <c r="C474" s="25"/>
      <c r="D474" s="25"/>
      <c r="E474" s="25"/>
      <c r="F474" s="18"/>
      <c r="G474" s="18"/>
      <c r="H474" s="18"/>
      <c r="I474" s="18"/>
      <c r="J474" s="13" t="str">
        <f aca="false">IF(OR(D474="",E474=""),"",E474-D474)</f>
        <v/>
      </c>
      <c r="K474" s="13" t="str">
        <f aca="false">IF(OR(C474="",D474=""),"",D474-C474)</f>
        <v/>
      </c>
      <c r="L474" s="13" t="str">
        <f aca="false">IF(A474="","",IF(OR(I474="Devolvida",N(H474)&gt;0),"Sim","Não"))</f>
        <v/>
      </c>
    </row>
    <row r="475" customFormat="false" ht="15" hidden="false" customHeight="false" outlineLevel="0" collapsed="false">
      <c r="A475" s="18"/>
      <c r="B475" s="18"/>
      <c r="C475" s="25"/>
      <c r="D475" s="25"/>
      <c r="E475" s="25"/>
      <c r="F475" s="18"/>
      <c r="G475" s="18"/>
      <c r="H475" s="18"/>
      <c r="I475" s="18"/>
      <c r="J475" s="13" t="str">
        <f aca="false">IF(OR(D475="",E475=""),"",E475-D475)</f>
        <v/>
      </c>
      <c r="K475" s="13" t="str">
        <f aca="false">IF(OR(C475="",D475=""),"",D475-C475)</f>
        <v/>
      </c>
      <c r="L475" s="13" t="str">
        <f aca="false">IF(A475="","",IF(OR(I475="Devolvida",N(H475)&gt;0),"Sim","Não"))</f>
        <v/>
      </c>
    </row>
    <row r="476" customFormat="false" ht="15" hidden="false" customHeight="false" outlineLevel="0" collapsed="false">
      <c r="A476" s="18"/>
      <c r="B476" s="18"/>
      <c r="C476" s="25"/>
      <c r="D476" s="25"/>
      <c r="E476" s="25"/>
      <c r="F476" s="18"/>
      <c r="G476" s="18"/>
      <c r="H476" s="18"/>
      <c r="I476" s="18"/>
      <c r="J476" s="13" t="str">
        <f aca="false">IF(OR(D476="",E476=""),"",E476-D476)</f>
        <v/>
      </c>
      <c r="K476" s="13" t="str">
        <f aca="false">IF(OR(C476="",D476=""),"",D476-C476)</f>
        <v/>
      </c>
      <c r="L476" s="13" t="str">
        <f aca="false">IF(A476="","",IF(OR(I476="Devolvida",N(H476)&gt;0),"Sim","Não"))</f>
        <v/>
      </c>
    </row>
    <row r="477" customFormat="false" ht="15" hidden="false" customHeight="false" outlineLevel="0" collapsed="false">
      <c r="A477" s="18"/>
      <c r="B477" s="18"/>
      <c r="C477" s="25"/>
      <c r="D477" s="25"/>
      <c r="E477" s="25"/>
      <c r="F477" s="18"/>
      <c r="G477" s="18"/>
      <c r="H477" s="18"/>
      <c r="I477" s="18"/>
      <c r="J477" s="13" t="str">
        <f aca="false">IF(OR(D477="",E477=""),"",E477-D477)</f>
        <v/>
      </c>
      <c r="K477" s="13" t="str">
        <f aca="false">IF(OR(C477="",D477=""),"",D477-C477)</f>
        <v/>
      </c>
      <c r="L477" s="13" t="str">
        <f aca="false">IF(A477="","",IF(OR(I477="Devolvida",N(H477)&gt;0),"Sim","Não"))</f>
        <v/>
      </c>
    </row>
    <row r="478" customFormat="false" ht="15" hidden="false" customHeight="false" outlineLevel="0" collapsed="false">
      <c r="A478" s="18"/>
      <c r="B478" s="18"/>
      <c r="C478" s="25"/>
      <c r="D478" s="25"/>
      <c r="E478" s="25"/>
      <c r="F478" s="18"/>
      <c r="G478" s="18"/>
      <c r="H478" s="18"/>
      <c r="I478" s="18"/>
      <c r="J478" s="13" t="str">
        <f aca="false">IF(OR(D478="",E478=""),"",E478-D478)</f>
        <v/>
      </c>
      <c r="K478" s="13" t="str">
        <f aca="false">IF(OR(C478="",D478=""),"",D478-C478)</f>
        <v/>
      </c>
      <c r="L478" s="13" t="str">
        <f aca="false">IF(A478="","",IF(OR(I478="Devolvida",N(H478)&gt;0),"Sim","Não"))</f>
        <v/>
      </c>
    </row>
    <row r="479" customFormat="false" ht="15" hidden="false" customHeight="false" outlineLevel="0" collapsed="false">
      <c r="A479" s="18"/>
      <c r="B479" s="18"/>
      <c r="C479" s="25"/>
      <c r="D479" s="25"/>
      <c r="E479" s="25"/>
      <c r="F479" s="18"/>
      <c r="G479" s="18"/>
      <c r="H479" s="18"/>
      <c r="I479" s="18"/>
      <c r="J479" s="13" t="str">
        <f aca="false">IF(OR(D479="",E479=""),"",E479-D479)</f>
        <v/>
      </c>
      <c r="K479" s="13" t="str">
        <f aca="false">IF(OR(C479="",D479=""),"",D479-C479)</f>
        <v/>
      </c>
      <c r="L479" s="13" t="str">
        <f aca="false">IF(A479="","",IF(OR(I479="Devolvida",N(H479)&gt;0),"Sim","Não"))</f>
        <v/>
      </c>
    </row>
    <row r="480" customFormat="false" ht="15" hidden="false" customHeight="false" outlineLevel="0" collapsed="false">
      <c r="A480" s="18"/>
      <c r="B480" s="18"/>
      <c r="C480" s="25"/>
      <c r="D480" s="25"/>
      <c r="E480" s="25"/>
      <c r="F480" s="18"/>
      <c r="G480" s="18"/>
      <c r="H480" s="18"/>
      <c r="I480" s="18"/>
      <c r="J480" s="13" t="str">
        <f aca="false">IF(OR(D480="",E480=""),"",E480-D480)</f>
        <v/>
      </c>
      <c r="K480" s="13" t="str">
        <f aca="false">IF(OR(C480="",D480=""),"",D480-C480)</f>
        <v/>
      </c>
      <c r="L480" s="13" t="str">
        <f aca="false">IF(A480="","",IF(OR(I480="Devolvida",N(H480)&gt;0),"Sim","Não"))</f>
        <v/>
      </c>
    </row>
    <row r="481" customFormat="false" ht="15" hidden="false" customHeight="false" outlineLevel="0" collapsed="false">
      <c r="A481" s="18"/>
      <c r="B481" s="18"/>
      <c r="C481" s="25"/>
      <c r="D481" s="25"/>
      <c r="E481" s="25"/>
      <c r="F481" s="18"/>
      <c r="G481" s="18"/>
      <c r="H481" s="18"/>
      <c r="I481" s="18"/>
      <c r="J481" s="13" t="str">
        <f aca="false">IF(OR(D481="",E481=""),"",E481-D481)</f>
        <v/>
      </c>
      <c r="K481" s="13" t="str">
        <f aca="false">IF(OR(C481="",D481=""),"",D481-C481)</f>
        <v/>
      </c>
      <c r="L481" s="13" t="str">
        <f aca="false">IF(A481="","",IF(OR(I481="Devolvida",N(H481)&gt;0),"Sim","Não"))</f>
        <v/>
      </c>
    </row>
    <row r="482" customFormat="false" ht="15" hidden="false" customHeight="false" outlineLevel="0" collapsed="false">
      <c r="A482" s="18"/>
      <c r="B482" s="18"/>
      <c r="C482" s="25"/>
      <c r="D482" s="25"/>
      <c r="E482" s="25"/>
      <c r="F482" s="18"/>
      <c r="G482" s="18"/>
      <c r="H482" s="18"/>
      <c r="I482" s="18"/>
      <c r="J482" s="13" t="str">
        <f aca="false">IF(OR(D482="",E482=""),"",E482-D482)</f>
        <v/>
      </c>
      <c r="K482" s="13" t="str">
        <f aca="false">IF(OR(C482="",D482=""),"",D482-C482)</f>
        <v/>
      </c>
      <c r="L482" s="13" t="str">
        <f aca="false">IF(A482="","",IF(OR(I482="Devolvida",N(H482)&gt;0),"Sim","Não"))</f>
        <v/>
      </c>
    </row>
    <row r="483" customFormat="false" ht="15" hidden="false" customHeight="false" outlineLevel="0" collapsed="false">
      <c r="A483" s="18"/>
      <c r="B483" s="18"/>
      <c r="C483" s="25"/>
      <c r="D483" s="25"/>
      <c r="E483" s="25"/>
      <c r="F483" s="18"/>
      <c r="G483" s="18"/>
      <c r="H483" s="18"/>
      <c r="I483" s="18"/>
      <c r="J483" s="13" t="str">
        <f aca="false">IF(OR(D483="",E483=""),"",E483-D483)</f>
        <v/>
      </c>
      <c r="K483" s="13" t="str">
        <f aca="false">IF(OR(C483="",D483=""),"",D483-C483)</f>
        <v/>
      </c>
      <c r="L483" s="13" t="str">
        <f aca="false">IF(A483="","",IF(OR(I483="Devolvida",N(H483)&gt;0),"Sim","Não"))</f>
        <v/>
      </c>
    </row>
    <row r="484" customFormat="false" ht="15" hidden="false" customHeight="false" outlineLevel="0" collapsed="false">
      <c r="A484" s="18"/>
      <c r="B484" s="18"/>
      <c r="C484" s="25"/>
      <c r="D484" s="25"/>
      <c r="E484" s="25"/>
      <c r="F484" s="18"/>
      <c r="G484" s="18"/>
      <c r="H484" s="18"/>
      <c r="I484" s="18"/>
      <c r="J484" s="13" t="str">
        <f aca="false">IF(OR(D484="",E484=""),"",E484-D484)</f>
        <v/>
      </c>
      <c r="K484" s="13" t="str">
        <f aca="false">IF(OR(C484="",D484=""),"",D484-C484)</f>
        <v/>
      </c>
      <c r="L484" s="13" t="str">
        <f aca="false">IF(A484="","",IF(OR(I484="Devolvida",N(H484)&gt;0),"Sim","Não"))</f>
        <v/>
      </c>
    </row>
    <row r="485" customFormat="false" ht="15" hidden="false" customHeight="false" outlineLevel="0" collapsed="false">
      <c r="A485" s="18"/>
      <c r="B485" s="18"/>
      <c r="C485" s="25"/>
      <c r="D485" s="25"/>
      <c r="E485" s="25"/>
      <c r="F485" s="18"/>
      <c r="G485" s="18"/>
      <c r="H485" s="18"/>
      <c r="I485" s="18"/>
      <c r="J485" s="13" t="str">
        <f aca="false">IF(OR(D485="",E485=""),"",E485-D485)</f>
        <v/>
      </c>
      <c r="K485" s="13" t="str">
        <f aca="false">IF(OR(C485="",D485=""),"",D485-C485)</f>
        <v/>
      </c>
      <c r="L485" s="13" t="str">
        <f aca="false">IF(A485="","",IF(OR(I485="Devolvida",N(H485)&gt;0),"Sim","Não"))</f>
        <v/>
      </c>
    </row>
    <row r="486" customFormat="false" ht="15" hidden="false" customHeight="false" outlineLevel="0" collapsed="false">
      <c r="A486" s="18"/>
      <c r="B486" s="18"/>
      <c r="C486" s="25"/>
      <c r="D486" s="25"/>
      <c r="E486" s="25"/>
      <c r="F486" s="18"/>
      <c r="G486" s="18"/>
      <c r="H486" s="18"/>
      <c r="I486" s="18"/>
      <c r="J486" s="13" t="str">
        <f aca="false">IF(OR(D486="",E486=""),"",E486-D486)</f>
        <v/>
      </c>
      <c r="K486" s="13" t="str">
        <f aca="false">IF(OR(C486="",D486=""),"",D486-C486)</f>
        <v/>
      </c>
      <c r="L486" s="13" t="str">
        <f aca="false">IF(A486="","",IF(OR(I486="Devolvida",N(H486)&gt;0),"Sim","Não"))</f>
        <v/>
      </c>
    </row>
    <row r="487" customFormat="false" ht="15" hidden="false" customHeight="false" outlineLevel="0" collapsed="false">
      <c r="A487" s="18"/>
      <c r="B487" s="18"/>
      <c r="C487" s="25"/>
      <c r="D487" s="25"/>
      <c r="E487" s="25"/>
      <c r="F487" s="18"/>
      <c r="G487" s="18"/>
      <c r="H487" s="18"/>
      <c r="I487" s="18"/>
      <c r="J487" s="13" t="str">
        <f aca="false">IF(OR(D487="",E487=""),"",E487-D487)</f>
        <v/>
      </c>
      <c r="K487" s="13" t="str">
        <f aca="false">IF(OR(C487="",D487=""),"",D487-C487)</f>
        <v/>
      </c>
      <c r="L487" s="13" t="str">
        <f aca="false">IF(A487="","",IF(OR(I487="Devolvida",N(H487)&gt;0),"Sim","Não"))</f>
        <v/>
      </c>
    </row>
    <row r="488" customFormat="false" ht="15" hidden="false" customHeight="false" outlineLevel="0" collapsed="false">
      <c r="A488" s="18"/>
      <c r="B488" s="18"/>
      <c r="C488" s="25"/>
      <c r="D488" s="25"/>
      <c r="E488" s="25"/>
      <c r="F488" s="18"/>
      <c r="G488" s="18"/>
      <c r="H488" s="18"/>
      <c r="I488" s="18"/>
      <c r="J488" s="13" t="str">
        <f aca="false">IF(OR(D488="",E488=""),"",E488-D488)</f>
        <v/>
      </c>
      <c r="K488" s="13" t="str">
        <f aca="false">IF(OR(C488="",D488=""),"",D488-C488)</f>
        <v/>
      </c>
      <c r="L488" s="13" t="str">
        <f aca="false">IF(A488="","",IF(OR(I488="Devolvida",N(H488)&gt;0),"Sim","Não"))</f>
        <v/>
      </c>
    </row>
    <row r="489" customFormat="false" ht="15" hidden="false" customHeight="false" outlineLevel="0" collapsed="false">
      <c r="A489" s="18"/>
      <c r="B489" s="18"/>
      <c r="C489" s="25"/>
      <c r="D489" s="25"/>
      <c r="E489" s="25"/>
      <c r="F489" s="18"/>
      <c r="G489" s="18"/>
      <c r="H489" s="18"/>
      <c r="I489" s="18"/>
      <c r="J489" s="13" t="str">
        <f aca="false">IF(OR(D489="",E489=""),"",E489-D489)</f>
        <v/>
      </c>
      <c r="K489" s="13" t="str">
        <f aca="false">IF(OR(C489="",D489=""),"",D489-C489)</f>
        <v/>
      </c>
      <c r="L489" s="13" t="str">
        <f aca="false">IF(A489="","",IF(OR(I489="Devolvida",N(H489)&gt;0),"Sim","Não"))</f>
        <v/>
      </c>
    </row>
    <row r="490" customFormat="false" ht="15" hidden="false" customHeight="false" outlineLevel="0" collapsed="false">
      <c r="A490" s="18"/>
      <c r="B490" s="18"/>
      <c r="C490" s="25"/>
      <c r="D490" s="25"/>
      <c r="E490" s="25"/>
      <c r="F490" s="18"/>
      <c r="G490" s="18"/>
      <c r="H490" s="18"/>
      <c r="I490" s="18"/>
      <c r="J490" s="13" t="str">
        <f aca="false">IF(OR(D490="",E490=""),"",E490-D490)</f>
        <v/>
      </c>
      <c r="K490" s="13" t="str">
        <f aca="false">IF(OR(C490="",D490=""),"",D490-C490)</f>
        <v/>
      </c>
      <c r="L490" s="13" t="str">
        <f aca="false">IF(A490="","",IF(OR(I490="Devolvida",N(H490)&gt;0),"Sim","Não"))</f>
        <v/>
      </c>
    </row>
    <row r="491" customFormat="false" ht="15" hidden="false" customHeight="false" outlineLevel="0" collapsed="false">
      <c r="A491" s="18"/>
      <c r="B491" s="18"/>
      <c r="C491" s="25"/>
      <c r="D491" s="25"/>
      <c r="E491" s="25"/>
      <c r="F491" s="18"/>
      <c r="G491" s="18"/>
      <c r="H491" s="18"/>
      <c r="I491" s="18"/>
      <c r="J491" s="13" t="str">
        <f aca="false">IF(OR(D491="",E491=""),"",E491-D491)</f>
        <v/>
      </c>
      <c r="K491" s="13" t="str">
        <f aca="false">IF(OR(C491="",D491=""),"",D491-C491)</f>
        <v/>
      </c>
      <c r="L491" s="13" t="str">
        <f aca="false">IF(A491="","",IF(OR(I491="Devolvida",N(H491)&gt;0),"Sim","Não"))</f>
        <v/>
      </c>
    </row>
    <row r="492" customFormat="false" ht="15" hidden="false" customHeight="false" outlineLevel="0" collapsed="false">
      <c r="A492" s="18"/>
      <c r="B492" s="18"/>
      <c r="C492" s="25"/>
      <c r="D492" s="25"/>
      <c r="E492" s="25"/>
      <c r="F492" s="18"/>
      <c r="G492" s="18"/>
      <c r="H492" s="18"/>
      <c r="I492" s="18"/>
      <c r="J492" s="13" t="str">
        <f aca="false">IF(OR(D492="",E492=""),"",E492-D492)</f>
        <v/>
      </c>
      <c r="K492" s="13" t="str">
        <f aca="false">IF(OR(C492="",D492=""),"",D492-C492)</f>
        <v/>
      </c>
      <c r="L492" s="13" t="str">
        <f aca="false">IF(A492="","",IF(OR(I492="Devolvida",N(H492)&gt;0),"Sim","Não"))</f>
        <v/>
      </c>
    </row>
    <row r="493" customFormat="false" ht="15" hidden="false" customHeight="false" outlineLevel="0" collapsed="false">
      <c r="A493" s="18"/>
      <c r="B493" s="18"/>
      <c r="C493" s="25"/>
      <c r="D493" s="25"/>
      <c r="E493" s="25"/>
      <c r="F493" s="18"/>
      <c r="G493" s="18"/>
      <c r="H493" s="18"/>
      <c r="I493" s="18"/>
      <c r="J493" s="13" t="str">
        <f aca="false">IF(OR(D493="",E493=""),"",E493-D493)</f>
        <v/>
      </c>
      <c r="K493" s="13" t="str">
        <f aca="false">IF(OR(C493="",D493=""),"",D493-C493)</f>
        <v/>
      </c>
      <c r="L493" s="13" t="str">
        <f aca="false">IF(A493="","",IF(OR(I493="Devolvida",N(H493)&gt;0),"Sim","Não"))</f>
        <v/>
      </c>
    </row>
    <row r="494" customFormat="false" ht="15" hidden="false" customHeight="false" outlineLevel="0" collapsed="false">
      <c r="A494" s="18"/>
      <c r="B494" s="18"/>
      <c r="C494" s="25"/>
      <c r="D494" s="25"/>
      <c r="E494" s="25"/>
      <c r="F494" s="18"/>
      <c r="G494" s="18"/>
      <c r="H494" s="18"/>
      <c r="I494" s="18"/>
      <c r="J494" s="13" t="str">
        <f aca="false">IF(OR(D494="",E494=""),"",E494-D494)</f>
        <v/>
      </c>
      <c r="K494" s="13" t="str">
        <f aca="false">IF(OR(C494="",D494=""),"",D494-C494)</f>
        <v/>
      </c>
      <c r="L494" s="13" t="str">
        <f aca="false">IF(A494="","",IF(OR(I494="Devolvida",N(H494)&gt;0),"Sim","Não"))</f>
        <v/>
      </c>
    </row>
    <row r="495" customFormat="false" ht="15" hidden="false" customHeight="false" outlineLevel="0" collapsed="false">
      <c r="A495" s="18"/>
      <c r="B495" s="18"/>
      <c r="C495" s="25"/>
      <c r="D495" s="25"/>
      <c r="E495" s="25"/>
      <c r="F495" s="18"/>
      <c r="G495" s="18"/>
      <c r="H495" s="18"/>
      <c r="I495" s="18"/>
      <c r="J495" s="13" t="str">
        <f aca="false">IF(OR(D495="",E495=""),"",E495-D495)</f>
        <v/>
      </c>
      <c r="K495" s="13" t="str">
        <f aca="false">IF(OR(C495="",D495=""),"",D495-C495)</f>
        <v/>
      </c>
      <c r="L495" s="13" t="str">
        <f aca="false">IF(A495="","",IF(OR(I495="Devolvida",N(H495)&gt;0),"Sim","Não"))</f>
        <v/>
      </c>
    </row>
    <row r="496" customFormat="false" ht="15" hidden="false" customHeight="false" outlineLevel="0" collapsed="false">
      <c r="A496" s="18"/>
      <c r="B496" s="18"/>
      <c r="C496" s="25"/>
      <c r="D496" s="25"/>
      <c r="E496" s="25"/>
      <c r="F496" s="18"/>
      <c r="G496" s="18"/>
      <c r="H496" s="18"/>
      <c r="I496" s="18"/>
      <c r="J496" s="13" t="str">
        <f aca="false">IF(OR(D496="",E496=""),"",E496-D496)</f>
        <v/>
      </c>
      <c r="K496" s="13" t="str">
        <f aca="false">IF(OR(C496="",D496=""),"",D496-C496)</f>
        <v/>
      </c>
      <c r="L496" s="13" t="str">
        <f aca="false">IF(A496="","",IF(OR(I496="Devolvida",N(H496)&gt;0),"Sim","Não"))</f>
        <v/>
      </c>
    </row>
    <row r="497" customFormat="false" ht="15" hidden="false" customHeight="false" outlineLevel="0" collapsed="false">
      <c r="A497" s="18"/>
      <c r="B497" s="18"/>
      <c r="C497" s="25"/>
      <c r="D497" s="25"/>
      <c r="E497" s="25"/>
      <c r="F497" s="18"/>
      <c r="G497" s="18"/>
      <c r="H497" s="18"/>
      <c r="I497" s="18"/>
      <c r="J497" s="13" t="str">
        <f aca="false">IF(OR(D497="",E497=""),"",E497-D497)</f>
        <v/>
      </c>
      <c r="K497" s="13" t="str">
        <f aca="false">IF(OR(C497="",D497=""),"",D497-C497)</f>
        <v/>
      </c>
      <c r="L497" s="13" t="str">
        <f aca="false">IF(A497="","",IF(OR(I497="Devolvida",N(H497)&gt;0),"Sim","Não"))</f>
        <v/>
      </c>
    </row>
    <row r="498" customFormat="false" ht="15" hidden="false" customHeight="false" outlineLevel="0" collapsed="false">
      <c r="A498" s="18"/>
      <c r="B498" s="18"/>
      <c r="C498" s="25"/>
      <c r="D498" s="25"/>
      <c r="E498" s="25"/>
      <c r="F498" s="18"/>
      <c r="G498" s="18"/>
      <c r="H498" s="18"/>
      <c r="I498" s="18"/>
      <c r="J498" s="13" t="str">
        <f aca="false">IF(OR(D498="",E498=""),"",E498-D498)</f>
        <v/>
      </c>
      <c r="K498" s="13" t="str">
        <f aca="false">IF(OR(C498="",D498=""),"",D498-C498)</f>
        <v/>
      </c>
      <c r="L498" s="13" t="str">
        <f aca="false">IF(A498="","",IF(OR(I498="Devolvida",N(H498)&gt;0),"Sim","Não"))</f>
        <v/>
      </c>
    </row>
    <row r="499" customFormat="false" ht="15" hidden="false" customHeight="false" outlineLevel="0" collapsed="false">
      <c r="A499" s="18"/>
      <c r="B499" s="18"/>
      <c r="C499" s="25"/>
      <c r="D499" s="25"/>
      <c r="E499" s="25"/>
      <c r="F499" s="18"/>
      <c r="G499" s="18"/>
      <c r="H499" s="18"/>
      <c r="I499" s="18"/>
      <c r="J499" s="13" t="str">
        <f aca="false">IF(OR(D499="",E499=""),"",E499-D499)</f>
        <v/>
      </c>
      <c r="K499" s="13" t="str">
        <f aca="false">IF(OR(C499="",D499=""),"",D499-C499)</f>
        <v/>
      </c>
      <c r="L499" s="13" t="str">
        <f aca="false">IF(A499="","",IF(OR(I499="Devolvida",N(H499)&gt;0),"Sim","Não"))</f>
        <v/>
      </c>
    </row>
    <row r="500" customFormat="false" ht="15" hidden="false" customHeight="false" outlineLevel="0" collapsed="false">
      <c r="A500" s="18"/>
      <c r="B500" s="18"/>
      <c r="C500" s="25"/>
      <c r="D500" s="25"/>
      <c r="E500" s="25"/>
      <c r="F500" s="18"/>
      <c r="G500" s="18"/>
      <c r="H500" s="18"/>
      <c r="I500" s="18"/>
      <c r="J500" s="13" t="str">
        <f aca="false">IF(OR(D500="",E500=""),"",E500-D500)</f>
        <v/>
      </c>
      <c r="K500" s="13" t="str">
        <f aca="false">IF(OR(C500="",D500=""),"",D500-C500)</f>
        <v/>
      </c>
      <c r="L500" s="13" t="str">
        <f aca="false">IF(A500="","",IF(OR(I500="Devolvida",N(H500)&gt;0),"Sim","Não"))</f>
        <v/>
      </c>
    </row>
    <row r="501" customFormat="false" ht="15" hidden="false" customHeight="false" outlineLevel="0" collapsed="false">
      <c r="A501" s="18"/>
      <c r="B501" s="18"/>
      <c r="C501" s="25"/>
      <c r="D501" s="25"/>
      <c r="E501" s="25"/>
      <c r="F501" s="18"/>
      <c r="G501" s="18"/>
      <c r="H501" s="18"/>
      <c r="I501" s="18"/>
      <c r="J501" s="13" t="str">
        <f aca="false">IF(OR(D501="",E501=""),"",E501-D501)</f>
        <v/>
      </c>
      <c r="K501" s="13" t="str">
        <f aca="false">IF(OR(C501="",D501=""),"",D501-C501)</f>
        <v/>
      </c>
      <c r="L501" s="13" t="str">
        <f aca="false">IF(A501="","",IF(OR(I501="Devolvida",N(H501)&gt;0),"Sim","Não"))</f>
        <v/>
      </c>
    </row>
    <row r="502" customFormat="false" ht="15" hidden="false" customHeight="false" outlineLevel="0" collapsed="false">
      <c r="A502" s="18"/>
      <c r="B502" s="18"/>
      <c r="C502" s="25"/>
      <c r="D502" s="25"/>
      <c r="E502" s="25"/>
      <c r="F502" s="18"/>
      <c r="G502" s="18"/>
      <c r="H502" s="18"/>
      <c r="I502" s="18"/>
      <c r="J502" s="13" t="str">
        <f aca="false">IF(OR(D502="",E502=""),"",E502-D502)</f>
        <v/>
      </c>
      <c r="K502" s="13" t="str">
        <f aca="false">IF(OR(C502="",D502=""),"",D502-C502)</f>
        <v/>
      </c>
      <c r="L502" s="13" t="str">
        <f aca="false">IF(A502="","",IF(OR(I502="Devolvida",N(H502)&gt;0),"Sim","Não"))</f>
        <v/>
      </c>
    </row>
    <row r="503" customFormat="false" ht="15" hidden="false" customHeight="false" outlineLevel="0" collapsed="false">
      <c r="A503" s="18"/>
      <c r="B503" s="18"/>
      <c r="C503" s="25"/>
      <c r="D503" s="25"/>
      <c r="E503" s="25"/>
      <c r="F503" s="18"/>
      <c r="G503" s="18"/>
      <c r="H503" s="18"/>
      <c r="I503" s="18"/>
      <c r="J503" s="13" t="str">
        <f aca="false">IF(OR(D503="",E503=""),"",E503-D503)</f>
        <v/>
      </c>
      <c r="K503" s="13" t="str">
        <f aca="false">IF(OR(C503="",D503=""),"",D503-C503)</f>
        <v/>
      </c>
      <c r="L503" s="13" t="str">
        <f aca="false">IF(A503="","",IF(OR(I503="Devolvida",N(H503)&gt;0),"Sim","Não"))</f>
        <v/>
      </c>
    </row>
    <row r="504" customFormat="false" ht="15" hidden="false" customHeight="false" outlineLevel="0" collapsed="false">
      <c r="A504" s="18"/>
      <c r="B504" s="18"/>
      <c r="C504" s="25"/>
      <c r="D504" s="25"/>
      <c r="E504" s="25"/>
      <c r="F504" s="18"/>
      <c r="G504" s="18"/>
      <c r="H504" s="18"/>
      <c r="I504" s="18"/>
      <c r="J504" s="13" t="str">
        <f aca="false">IF(OR(D504="",E504=""),"",E504-D504)</f>
        <v/>
      </c>
      <c r="K504" s="13" t="str">
        <f aca="false">IF(OR(C504="",D504=""),"",D504-C504)</f>
        <v/>
      </c>
      <c r="L504" s="13" t="str">
        <f aca="false">IF(A504="","",IF(OR(I504="Devolvida",N(H504)&gt;0),"Sim","Não"))</f>
        <v/>
      </c>
    </row>
    <row r="505" customFormat="false" ht="15" hidden="false" customHeight="false" outlineLevel="0" collapsed="false">
      <c r="A505" s="18"/>
      <c r="B505" s="18"/>
      <c r="C505" s="25"/>
      <c r="D505" s="25"/>
      <c r="E505" s="25"/>
      <c r="F505" s="18"/>
      <c r="G505" s="18"/>
      <c r="H505" s="18"/>
      <c r="I505" s="18"/>
      <c r="J505" s="13" t="str">
        <f aca="false">IF(OR(D505="",E505=""),"",E505-D505)</f>
        <v/>
      </c>
      <c r="K505" s="13" t="str">
        <f aca="false">IF(OR(C505="",D505=""),"",D505-C505)</f>
        <v/>
      </c>
      <c r="L505" s="13" t="str">
        <f aca="false">IF(A505="","",IF(OR(I505="Devolvida",N(H505)&gt;0),"Sim","Não"))</f>
        <v/>
      </c>
    </row>
    <row r="506" customFormat="false" ht="15" hidden="false" customHeight="false" outlineLevel="0" collapsed="false">
      <c r="A506" s="18"/>
      <c r="B506" s="18"/>
      <c r="C506" s="25"/>
      <c r="D506" s="25"/>
      <c r="E506" s="25"/>
      <c r="F506" s="18"/>
      <c r="G506" s="18"/>
      <c r="H506" s="18"/>
      <c r="I506" s="18"/>
      <c r="J506" s="13" t="str">
        <f aca="false">IF(OR(D506="",E506=""),"",E506-D506)</f>
        <v/>
      </c>
      <c r="K506" s="13" t="str">
        <f aca="false">IF(OR(C506="",D506=""),"",D506-C506)</f>
        <v/>
      </c>
      <c r="L506" s="13" t="str">
        <f aca="false">IF(A506="","",IF(OR(I506="Devolvida",N(H506)&gt;0),"Sim","Não"))</f>
        <v/>
      </c>
    </row>
    <row r="507" customFormat="false" ht="15" hidden="false" customHeight="false" outlineLevel="0" collapsed="false">
      <c r="A507" s="18"/>
      <c r="B507" s="18"/>
      <c r="C507" s="25"/>
      <c r="D507" s="25"/>
      <c r="E507" s="25"/>
      <c r="F507" s="18"/>
      <c r="G507" s="18"/>
      <c r="H507" s="18"/>
      <c r="I507" s="18"/>
      <c r="J507" s="13" t="str">
        <f aca="false">IF(OR(D507="",E507=""),"",E507-D507)</f>
        <v/>
      </c>
      <c r="K507" s="13" t="str">
        <f aca="false">IF(OR(C507="",D507=""),"",D507-C507)</f>
        <v/>
      </c>
      <c r="L507" s="13" t="str">
        <f aca="false">IF(A507="","",IF(OR(I507="Devolvida",N(H507)&gt;0),"Sim","Não"))</f>
        <v/>
      </c>
    </row>
    <row r="508" customFormat="false" ht="15" hidden="false" customHeight="false" outlineLevel="0" collapsed="false">
      <c r="A508" s="18"/>
      <c r="B508" s="18"/>
      <c r="C508" s="25"/>
      <c r="D508" s="25"/>
      <c r="E508" s="25"/>
      <c r="F508" s="18"/>
      <c r="G508" s="18"/>
      <c r="H508" s="18"/>
      <c r="I508" s="18"/>
      <c r="J508" s="13" t="str">
        <f aca="false">IF(OR(D508="",E508=""),"",E508-D508)</f>
        <v/>
      </c>
      <c r="K508" s="13" t="str">
        <f aca="false">IF(OR(C508="",D508=""),"",D508-C508)</f>
        <v/>
      </c>
      <c r="L508" s="13" t="str">
        <f aca="false">IF(A508="","",IF(OR(I508="Devolvida",N(H508)&gt;0),"Sim","Não"))</f>
        <v/>
      </c>
    </row>
    <row r="509" customFormat="false" ht="15" hidden="false" customHeight="false" outlineLevel="0" collapsed="false">
      <c r="A509" s="18"/>
      <c r="B509" s="18"/>
      <c r="C509" s="25"/>
      <c r="D509" s="25"/>
      <c r="E509" s="25"/>
      <c r="F509" s="18"/>
      <c r="G509" s="18"/>
      <c r="H509" s="18"/>
      <c r="I509" s="18"/>
      <c r="J509" s="13" t="str">
        <f aca="false">IF(OR(D509="",E509=""),"",E509-D509)</f>
        <v/>
      </c>
      <c r="K509" s="13" t="str">
        <f aca="false">IF(OR(C509="",D509=""),"",D509-C509)</f>
        <v/>
      </c>
      <c r="L509" s="13" t="str">
        <f aca="false">IF(A509="","",IF(OR(I509="Devolvida",N(H509)&gt;0),"Sim","Não"))</f>
        <v/>
      </c>
    </row>
    <row r="510" customFormat="false" ht="15" hidden="false" customHeight="false" outlineLevel="0" collapsed="false">
      <c r="A510" s="18"/>
      <c r="B510" s="18"/>
      <c r="C510" s="25"/>
      <c r="D510" s="25"/>
      <c r="E510" s="25"/>
      <c r="F510" s="18"/>
      <c r="G510" s="18"/>
      <c r="H510" s="18"/>
      <c r="I510" s="18"/>
      <c r="J510" s="13" t="str">
        <f aca="false">IF(OR(D510="",E510=""),"",E510-D510)</f>
        <v/>
      </c>
      <c r="K510" s="13" t="str">
        <f aca="false">IF(OR(C510="",D510=""),"",D510-C510)</f>
        <v/>
      </c>
      <c r="L510" s="13" t="str">
        <f aca="false">IF(A510="","",IF(OR(I510="Devolvida",N(H510)&gt;0),"Sim","Não"))</f>
        <v/>
      </c>
    </row>
    <row r="511" customFormat="false" ht="15" hidden="false" customHeight="false" outlineLevel="0" collapsed="false">
      <c r="A511" s="18"/>
      <c r="B511" s="18"/>
      <c r="C511" s="25"/>
      <c r="D511" s="25"/>
      <c r="E511" s="25"/>
      <c r="F511" s="18"/>
      <c r="G511" s="18"/>
      <c r="H511" s="18"/>
      <c r="I511" s="18"/>
      <c r="J511" s="13" t="str">
        <f aca="false">IF(OR(D511="",E511=""),"",E511-D511)</f>
        <v/>
      </c>
      <c r="K511" s="13" t="str">
        <f aca="false">IF(OR(C511="",D511=""),"",D511-C511)</f>
        <v/>
      </c>
      <c r="L511" s="13" t="str">
        <f aca="false">IF(A511="","",IF(OR(I511="Devolvida",N(H511)&gt;0),"Sim","Não"))</f>
        <v/>
      </c>
    </row>
    <row r="512" customFormat="false" ht="15" hidden="false" customHeight="false" outlineLevel="0" collapsed="false">
      <c r="A512" s="18"/>
      <c r="B512" s="18"/>
      <c r="C512" s="25"/>
      <c r="D512" s="25"/>
      <c r="E512" s="25"/>
      <c r="F512" s="18"/>
      <c r="G512" s="18"/>
      <c r="H512" s="18"/>
      <c r="I512" s="18"/>
      <c r="J512" s="13" t="str">
        <f aca="false">IF(OR(D512="",E512=""),"",E512-D512)</f>
        <v/>
      </c>
      <c r="K512" s="13" t="str">
        <f aca="false">IF(OR(C512="",D512=""),"",D512-C512)</f>
        <v/>
      </c>
      <c r="L512" s="13" t="str">
        <f aca="false">IF(A512="","",IF(OR(I512="Devolvida",N(H512)&gt;0),"Sim","Não"))</f>
        <v/>
      </c>
    </row>
    <row r="513" customFormat="false" ht="15" hidden="false" customHeight="false" outlineLevel="0" collapsed="false">
      <c r="A513" s="18"/>
      <c r="B513" s="18"/>
      <c r="C513" s="25"/>
      <c r="D513" s="25"/>
      <c r="E513" s="25"/>
      <c r="F513" s="18"/>
      <c r="G513" s="18"/>
      <c r="H513" s="18"/>
      <c r="I513" s="18"/>
      <c r="J513" s="13" t="str">
        <f aca="false">IF(OR(D513="",E513=""),"",E513-D513)</f>
        <v/>
      </c>
      <c r="K513" s="13" t="str">
        <f aca="false">IF(OR(C513="",D513=""),"",D513-C513)</f>
        <v/>
      </c>
      <c r="L513" s="13" t="str">
        <f aca="false">IF(A513="","",IF(OR(I513="Devolvida",N(H513)&gt;0),"Sim","Não"))</f>
        <v/>
      </c>
    </row>
    <row r="514" customFormat="false" ht="15" hidden="false" customHeight="false" outlineLevel="0" collapsed="false">
      <c r="A514" s="18"/>
      <c r="B514" s="18"/>
      <c r="C514" s="25"/>
      <c r="D514" s="25"/>
      <c r="E514" s="25"/>
      <c r="F514" s="18"/>
      <c r="G514" s="18"/>
      <c r="H514" s="18"/>
      <c r="I514" s="18"/>
      <c r="J514" s="13" t="str">
        <f aca="false">IF(OR(D514="",E514=""),"",E514-D514)</f>
        <v/>
      </c>
      <c r="K514" s="13" t="str">
        <f aca="false">IF(OR(C514="",D514=""),"",D514-C514)</f>
        <v/>
      </c>
      <c r="L514" s="13" t="str">
        <f aca="false">IF(A514="","",IF(OR(I514="Devolvida",N(H514)&gt;0),"Sim","Não"))</f>
        <v/>
      </c>
    </row>
    <row r="515" customFormat="false" ht="15" hidden="false" customHeight="false" outlineLevel="0" collapsed="false">
      <c r="A515" s="18"/>
      <c r="B515" s="18"/>
      <c r="C515" s="25"/>
      <c r="D515" s="25"/>
      <c r="E515" s="25"/>
      <c r="F515" s="18"/>
      <c r="G515" s="18"/>
      <c r="H515" s="18"/>
      <c r="I515" s="18"/>
      <c r="J515" s="13" t="str">
        <f aca="false">IF(OR(D515="",E515=""),"",E515-D515)</f>
        <v/>
      </c>
      <c r="K515" s="13" t="str">
        <f aca="false">IF(OR(C515="",D515=""),"",D515-C515)</f>
        <v/>
      </c>
      <c r="L515" s="13" t="str">
        <f aca="false">IF(A515="","",IF(OR(I515="Devolvida",N(H515)&gt;0),"Sim","Não"))</f>
        <v/>
      </c>
    </row>
    <row r="516" customFormat="false" ht="15" hidden="false" customHeight="false" outlineLevel="0" collapsed="false">
      <c r="A516" s="18"/>
      <c r="B516" s="18"/>
      <c r="C516" s="25"/>
      <c r="D516" s="25"/>
      <c r="E516" s="25"/>
      <c r="F516" s="18"/>
      <c r="G516" s="18"/>
      <c r="H516" s="18"/>
      <c r="I516" s="18"/>
      <c r="J516" s="13" t="str">
        <f aca="false">IF(OR(D516="",E516=""),"",E516-D516)</f>
        <v/>
      </c>
      <c r="K516" s="13" t="str">
        <f aca="false">IF(OR(C516="",D516=""),"",D516-C516)</f>
        <v/>
      </c>
      <c r="L516" s="13" t="str">
        <f aca="false">IF(A516="","",IF(OR(I516="Devolvida",N(H516)&gt;0),"Sim","Não"))</f>
        <v/>
      </c>
    </row>
    <row r="517" customFormat="false" ht="15" hidden="false" customHeight="false" outlineLevel="0" collapsed="false">
      <c r="A517" s="18"/>
      <c r="B517" s="18"/>
      <c r="C517" s="25"/>
      <c r="D517" s="25"/>
      <c r="E517" s="25"/>
      <c r="F517" s="18"/>
      <c r="G517" s="18"/>
      <c r="H517" s="18"/>
      <c r="I517" s="18"/>
      <c r="J517" s="13" t="str">
        <f aca="false">IF(OR(D517="",E517=""),"",E517-D517)</f>
        <v/>
      </c>
      <c r="K517" s="13" t="str">
        <f aca="false">IF(OR(C517="",D517=""),"",D517-C517)</f>
        <v/>
      </c>
      <c r="L517" s="13" t="str">
        <f aca="false">IF(A517="","",IF(OR(I517="Devolvida",N(H517)&gt;0),"Sim","Não"))</f>
        <v/>
      </c>
    </row>
    <row r="518" customFormat="false" ht="15" hidden="false" customHeight="false" outlineLevel="0" collapsed="false">
      <c r="A518" s="18"/>
      <c r="B518" s="18"/>
      <c r="C518" s="25"/>
      <c r="D518" s="25"/>
      <c r="E518" s="25"/>
      <c r="F518" s="18"/>
      <c r="G518" s="18"/>
      <c r="H518" s="18"/>
      <c r="I518" s="18"/>
      <c r="J518" s="13" t="str">
        <f aca="false">IF(OR(D518="",E518=""),"",E518-D518)</f>
        <v/>
      </c>
      <c r="K518" s="13" t="str">
        <f aca="false">IF(OR(C518="",D518=""),"",D518-C518)</f>
        <v/>
      </c>
      <c r="L518" s="13" t="str">
        <f aca="false">IF(A518="","",IF(OR(I518="Devolvida",N(H518)&gt;0),"Sim","Não"))</f>
        <v/>
      </c>
    </row>
    <row r="519" customFormat="false" ht="15" hidden="false" customHeight="false" outlineLevel="0" collapsed="false">
      <c r="A519" s="18"/>
      <c r="B519" s="18"/>
      <c r="C519" s="25"/>
      <c r="D519" s="25"/>
      <c r="E519" s="25"/>
      <c r="F519" s="18"/>
      <c r="G519" s="18"/>
      <c r="H519" s="18"/>
      <c r="I519" s="18"/>
      <c r="J519" s="13" t="str">
        <f aca="false">IF(OR(D519="",E519=""),"",E519-D519)</f>
        <v/>
      </c>
      <c r="K519" s="13" t="str">
        <f aca="false">IF(OR(C519="",D519=""),"",D519-C519)</f>
        <v/>
      </c>
      <c r="L519" s="13" t="str">
        <f aca="false">IF(A519="","",IF(OR(I519="Devolvida",N(H519)&gt;0),"Sim","Não"))</f>
        <v/>
      </c>
    </row>
    <row r="520" customFormat="false" ht="15" hidden="false" customHeight="false" outlineLevel="0" collapsed="false">
      <c r="A520" s="18"/>
      <c r="B520" s="18"/>
      <c r="C520" s="25"/>
      <c r="D520" s="25"/>
      <c r="E520" s="25"/>
      <c r="F520" s="18"/>
      <c r="G520" s="18"/>
      <c r="H520" s="18"/>
      <c r="I520" s="18"/>
      <c r="J520" s="13" t="str">
        <f aca="false">IF(OR(D520="",E520=""),"",E520-D520)</f>
        <v/>
      </c>
      <c r="K520" s="13" t="str">
        <f aca="false">IF(OR(C520="",D520=""),"",D520-C520)</f>
        <v/>
      </c>
      <c r="L520" s="13" t="str">
        <f aca="false">IF(A520="","",IF(OR(I520="Devolvida",N(H520)&gt;0),"Sim","Não"))</f>
        <v/>
      </c>
    </row>
    <row r="521" customFormat="false" ht="15" hidden="false" customHeight="false" outlineLevel="0" collapsed="false">
      <c r="A521" s="18"/>
      <c r="B521" s="18"/>
      <c r="C521" s="25"/>
      <c r="D521" s="25"/>
      <c r="E521" s="25"/>
      <c r="F521" s="18"/>
      <c r="G521" s="18"/>
      <c r="H521" s="18"/>
      <c r="I521" s="18"/>
      <c r="J521" s="13" t="str">
        <f aca="false">IF(OR(D521="",E521=""),"",E521-D521)</f>
        <v/>
      </c>
      <c r="K521" s="13" t="str">
        <f aca="false">IF(OR(C521="",D521=""),"",D521-C521)</f>
        <v/>
      </c>
      <c r="L521" s="13" t="str">
        <f aca="false">IF(A521="","",IF(OR(I521="Devolvida",N(H521)&gt;0),"Sim","Não"))</f>
        <v/>
      </c>
    </row>
    <row r="522" customFormat="false" ht="15" hidden="false" customHeight="false" outlineLevel="0" collapsed="false">
      <c r="A522" s="18"/>
      <c r="B522" s="18"/>
      <c r="C522" s="25"/>
      <c r="D522" s="25"/>
      <c r="E522" s="25"/>
      <c r="F522" s="18"/>
      <c r="G522" s="18"/>
      <c r="H522" s="18"/>
      <c r="I522" s="18"/>
      <c r="J522" s="13" t="str">
        <f aca="false">IF(OR(D522="",E522=""),"",E522-D522)</f>
        <v/>
      </c>
      <c r="K522" s="13" t="str">
        <f aca="false">IF(OR(C522="",D522=""),"",D522-C522)</f>
        <v/>
      </c>
      <c r="L522" s="13" t="str">
        <f aca="false">IF(A522="","",IF(OR(I522="Devolvida",N(H522)&gt;0),"Sim","Não"))</f>
        <v/>
      </c>
    </row>
    <row r="523" customFormat="false" ht="15" hidden="false" customHeight="false" outlineLevel="0" collapsed="false">
      <c r="A523" s="18"/>
      <c r="B523" s="18"/>
      <c r="C523" s="25"/>
      <c r="D523" s="25"/>
      <c r="E523" s="25"/>
      <c r="F523" s="18"/>
      <c r="G523" s="18"/>
      <c r="H523" s="18"/>
      <c r="I523" s="18"/>
      <c r="J523" s="13" t="str">
        <f aca="false">IF(OR(D523="",E523=""),"",E523-D523)</f>
        <v/>
      </c>
      <c r="K523" s="13" t="str">
        <f aca="false">IF(OR(C523="",D523=""),"",D523-C523)</f>
        <v/>
      </c>
      <c r="L523" s="13" t="str">
        <f aca="false">IF(A523="","",IF(OR(I523="Devolvida",N(H523)&gt;0),"Sim","Não"))</f>
        <v/>
      </c>
    </row>
    <row r="524" customFormat="false" ht="15" hidden="false" customHeight="false" outlineLevel="0" collapsed="false">
      <c r="A524" s="18"/>
      <c r="B524" s="18"/>
      <c r="C524" s="25"/>
      <c r="D524" s="25"/>
      <c r="E524" s="25"/>
      <c r="F524" s="18"/>
      <c r="G524" s="18"/>
      <c r="H524" s="18"/>
      <c r="I524" s="18"/>
      <c r="J524" s="13" t="str">
        <f aca="false">IF(OR(D524="",E524=""),"",E524-D524)</f>
        <v/>
      </c>
      <c r="K524" s="13" t="str">
        <f aca="false">IF(OR(C524="",D524=""),"",D524-C524)</f>
        <v/>
      </c>
      <c r="L524" s="13" t="str">
        <f aca="false">IF(A524="","",IF(OR(I524="Devolvida",N(H524)&gt;0),"Sim","Não"))</f>
        <v/>
      </c>
    </row>
    <row r="525" customFormat="false" ht="15" hidden="false" customHeight="false" outlineLevel="0" collapsed="false">
      <c r="A525" s="18"/>
      <c r="B525" s="18"/>
      <c r="C525" s="25"/>
      <c r="D525" s="25"/>
      <c r="E525" s="25"/>
      <c r="F525" s="18"/>
      <c r="G525" s="18"/>
      <c r="H525" s="18"/>
      <c r="I525" s="18"/>
      <c r="J525" s="13" t="str">
        <f aca="false">IF(OR(D525="",E525=""),"",E525-D525)</f>
        <v/>
      </c>
      <c r="K525" s="13" t="str">
        <f aca="false">IF(OR(C525="",D525=""),"",D525-C525)</f>
        <v/>
      </c>
      <c r="L525" s="13" t="str">
        <f aca="false">IF(A525="","",IF(OR(I525="Devolvida",N(H525)&gt;0),"Sim","Não"))</f>
        <v/>
      </c>
    </row>
    <row r="526" customFormat="false" ht="15" hidden="false" customHeight="false" outlineLevel="0" collapsed="false">
      <c r="A526" s="18"/>
      <c r="B526" s="18"/>
      <c r="C526" s="25"/>
      <c r="D526" s="25"/>
      <c r="E526" s="25"/>
      <c r="F526" s="18"/>
      <c r="G526" s="18"/>
      <c r="H526" s="18"/>
      <c r="I526" s="18"/>
      <c r="J526" s="13" t="str">
        <f aca="false">IF(OR(D526="",E526=""),"",E526-D526)</f>
        <v/>
      </c>
      <c r="K526" s="13" t="str">
        <f aca="false">IF(OR(C526="",D526=""),"",D526-C526)</f>
        <v/>
      </c>
      <c r="L526" s="13" t="str">
        <f aca="false">IF(A526="","",IF(OR(I526="Devolvida",N(H526)&gt;0),"Sim","Não"))</f>
        <v/>
      </c>
    </row>
    <row r="527" customFormat="false" ht="15" hidden="false" customHeight="false" outlineLevel="0" collapsed="false">
      <c r="A527" s="18"/>
      <c r="B527" s="18"/>
      <c r="C527" s="25"/>
      <c r="D527" s="25"/>
      <c r="E527" s="25"/>
      <c r="F527" s="18"/>
      <c r="G527" s="18"/>
      <c r="H527" s="18"/>
      <c r="I527" s="18"/>
      <c r="J527" s="13" t="str">
        <f aca="false">IF(OR(D527="",E527=""),"",E527-D527)</f>
        <v/>
      </c>
      <c r="K527" s="13" t="str">
        <f aca="false">IF(OR(C527="",D527=""),"",D527-C527)</f>
        <v/>
      </c>
      <c r="L527" s="13" t="str">
        <f aca="false">IF(A527="","",IF(OR(I527="Devolvida",N(H527)&gt;0),"Sim","Não"))</f>
        <v/>
      </c>
    </row>
    <row r="528" customFormat="false" ht="15" hidden="false" customHeight="false" outlineLevel="0" collapsed="false">
      <c r="A528" s="18"/>
      <c r="B528" s="18"/>
      <c r="C528" s="25"/>
      <c r="D528" s="25"/>
      <c r="E528" s="25"/>
      <c r="F528" s="18"/>
      <c r="G528" s="18"/>
      <c r="H528" s="18"/>
      <c r="I528" s="18"/>
      <c r="J528" s="13" t="str">
        <f aca="false">IF(OR(D528="",E528=""),"",E528-D528)</f>
        <v/>
      </c>
      <c r="K528" s="13" t="str">
        <f aca="false">IF(OR(C528="",D528=""),"",D528-C528)</f>
        <v/>
      </c>
      <c r="L528" s="13" t="str">
        <f aca="false">IF(A528="","",IF(OR(I528="Devolvida",N(H528)&gt;0),"Sim","Não"))</f>
        <v/>
      </c>
    </row>
    <row r="529" customFormat="false" ht="15" hidden="false" customHeight="false" outlineLevel="0" collapsed="false">
      <c r="A529" s="18"/>
      <c r="B529" s="18"/>
      <c r="C529" s="25"/>
      <c r="D529" s="25"/>
      <c r="E529" s="25"/>
      <c r="F529" s="18"/>
      <c r="G529" s="18"/>
      <c r="H529" s="18"/>
      <c r="I529" s="18"/>
      <c r="J529" s="13" t="str">
        <f aca="false">IF(OR(D529="",E529=""),"",E529-D529)</f>
        <v/>
      </c>
      <c r="K529" s="13" t="str">
        <f aca="false">IF(OR(C529="",D529=""),"",D529-C529)</f>
        <v/>
      </c>
      <c r="L529" s="13" t="str">
        <f aca="false">IF(A529="","",IF(OR(I529="Devolvida",N(H529)&gt;0),"Sim","Não"))</f>
        <v/>
      </c>
    </row>
    <row r="530" customFormat="false" ht="15" hidden="false" customHeight="false" outlineLevel="0" collapsed="false">
      <c r="A530" s="18"/>
      <c r="B530" s="18"/>
      <c r="C530" s="25"/>
      <c r="D530" s="25"/>
      <c r="E530" s="25"/>
      <c r="F530" s="18"/>
      <c r="G530" s="18"/>
      <c r="H530" s="18"/>
      <c r="I530" s="18"/>
      <c r="J530" s="13" t="str">
        <f aca="false">IF(OR(D530="",E530=""),"",E530-D530)</f>
        <v/>
      </c>
      <c r="K530" s="13" t="str">
        <f aca="false">IF(OR(C530="",D530=""),"",D530-C530)</f>
        <v/>
      </c>
      <c r="L530" s="13" t="str">
        <f aca="false">IF(A530="","",IF(OR(I530="Devolvida",N(H530)&gt;0),"Sim","Não"))</f>
        <v/>
      </c>
    </row>
    <row r="531" customFormat="false" ht="15" hidden="false" customHeight="false" outlineLevel="0" collapsed="false">
      <c r="A531" s="18"/>
      <c r="B531" s="18"/>
      <c r="C531" s="25"/>
      <c r="D531" s="25"/>
      <c r="E531" s="25"/>
      <c r="F531" s="18"/>
      <c r="G531" s="18"/>
      <c r="H531" s="18"/>
      <c r="I531" s="18"/>
      <c r="J531" s="13" t="str">
        <f aca="false">IF(OR(D531="",E531=""),"",E531-D531)</f>
        <v/>
      </c>
      <c r="K531" s="13" t="str">
        <f aca="false">IF(OR(C531="",D531=""),"",D531-C531)</f>
        <v/>
      </c>
      <c r="L531" s="13" t="str">
        <f aca="false">IF(A531="","",IF(OR(I531="Devolvida",N(H531)&gt;0),"Sim","Não"))</f>
        <v/>
      </c>
    </row>
    <row r="532" customFormat="false" ht="15" hidden="false" customHeight="false" outlineLevel="0" collapsed="false">
      <c r="A532" s="18"/>
      <c r="B532" s="18"/>
      <c r="C532" s="25"/>
      <c r="D532" s="25"/>
      <c r="E532" s="25"/>
      <c r="F532" s="18"/>
      <c r="G532" s="18"/>
      <c r="H532" s="18"/>
      <c r="I532" s="18"/>
      <c r="J532" s="13" t="str">
        <f aca="false">IF(OR(D532="",E532=""),"",E532-D532)</f>
        <v/>
      </c>
      <c r="K532" s="13" t="str">
        <f aca="false">IF(OR(C532="",D532=""),"",D532-C532)</f>
        <v/>
      </c>
      <c r="L532" s="13" t="str">
        <f aca="false">IF(A532="","",IF(OR(I532="Devolvida",N(H532)&gt;0),"Sim","Não"))</f>
        <v/>
      </c>
    </row>
    <row r="533" customFormat="false" ht="15" hidden="false" customHeight="false" outlineLevel="0" collapsed="false">
      <c r="A533" s="18"/>
      <c r="B533" s="18"/>
      <c r="C533" s="25"/>
      <c r="D533" s="25"/>
      <c r="E533" s="25"/>
      <c r="F533" s="18"/>
      <c r="G533" s="18"/>
      <c r="H533" s="18"/>
      <c r="I533" s="18"/>
      <c r="J533" s="13" t="str">
        <f aca="false">IF(OR(D533="",E533=""),"",E533-D533)</f>
        <v/>
      </c>
      <c r="K533" s="13" t="str">
        <f aca="false">IF(OR(C533="",D533=""),"",D533-C533)</f>
        <v/>
      </c>
      <c r="L533" s="13" t="str">
        <f aca="false">IF(A533="","",IF(OR(I533="Devolvida",N(H533)&gt;0),"Sim","Não"))</f>
        <v/>
      </c>
    </row>
    <row r="534" customFormat="false" ht="15" hidden="false" customHeight="false" outlineLevel="0" collapsed="false">
      <c r="A534" s="18"/>
      <c r="B534" s="18"/>
      <c r="C534" s="25"/>
      <c r="D534" s="25"/>
      <c r="E534" s="25"/>
      <c r="F534" s="18"/>
      <c r="G534" s="18"/>
      <c r="H534" s="18"/>
      <c r="I534" s="18"/>
      <c r="J534" s="13" t="str">
        <f aca="false">IF(OR(D534="",E534=""),"",E534-D534)</f>
        <v/>
      </c>
      <c r="K534" s="13" t="str">
        <f aca="false">IF(OR(C534="",D534=""),"",D534-C534)</f>
        <v/>
      </c>
      <c r="L534" s="13" t="str">
        <f aca="false">IF(A534="","",IF(OR(I534="Devolvida",N(H534)&gt;0),"Sim","Não"))</f>
        <v/>
      </c>
    </row>
    <row r="535" customFormat="false" ht="15" hidden="false" customHeight="false" outlineLevel="0" collapsed="false">
      <c r="A535" s="18"/>
      <c r="B535" s="18"/>
      <c r="C535" s="25"/>
      <c r="D535" s="25"/>
      <c r="E535" s="25"/>
      <c r="F535" s="18"/>
      <c r="G535" s="18"/>
      <c r="H535" s="18"/>
      <c r="I535" s="18"/>
      <c r="J535" s="13" t="str">
        <f aca="false">IF(OR(D535="",E535=""),"",E535-D535)</f>
        <v/>
      </c>
      <c r="K535" s="13" t="str">
        <f aca="false">IF(OR(C535="",D535=""),"",D535-C535)</f>
        <v/>
      </c>
      <c r="L535" s="13" t="str">
        <f aca="false">IF(A535="","",IF(OR(I535="Devolvida",N(H535)&gt;0),"Sim","Não"))</f>
        <v/>
      </c>
    </row>
    <row r="536" customFormat="false" ht="15" hidden="false" customHeight="false" outlineLevel="0" collapsed="false">
      <c r="A536" s="18"/>
      <c r="B536" s="18"/>
      <c r="C536" s="25"/>
      <c r="D536" s="25"/>
      <c r="E536" s="25"/>
      <c r="F536" s="18"/>
      <c r="G536" s="18"/>
      <c r="H536" s="18"/>
      <c r="I536" s="18"/>
      <c r="J536" s="13" t="str">
        <f aca="false">IF(OR(D536="",E536=""),"",E536-D536)</f>
        <v/>
      </c>
      <c r="K536" s="13" t="str">
        <f aca="false">IF(OR(C536="",D536=""),"",D536-C536)</f>
        <v/>
      </c>
      <c r="L536" s="13" t="str">
        <f aca="false">IF(A536="","",IF(OR(I536="Devolvida",N(H536)&gt;0),"Sim","Não"))</f>
        <v/>
      </c>
    </row>
    <row r="537" customFormat="false" ht="15" hidden="false" customHeight="false" outlineLevel="0" collapsed="false">
      <c r="A537" s="18"/>
      <c r="B537" s="18"/>
      <c r="C537" s="25"/>
      <c r="D537" s="25"/>
      <c r="E537" s="25"/>
      <c r="F537" s="18"/>
      <c r="G537" s="18"/>
      <c r="H537" s="18"/>
      <c r="I537" s="18"/>
      <c r="J537" s="13" t="str">
        <f aca="false">IF(OR(D537="",E537=""),"",E537-D537)</f>
        <v/>
      </c>
      <c r="K537" s="13" t="str">
        <f aca="false">IF(OR(C537="",D537=""),"",D537-C537)</f>
        <v/>
      </c>
      <c r="L537" s="13" t="str">
        <f aca="false">IF(A537="","",IF(OR(I537="Devolvida",N(H537)&gt;0),"Sim","Não"))</f>
        <v/>
      </c>
    </row>
    <row r="538" customFormat="false" ht="15" hidden="false" customHeight="false" outlineLevel="0" collapsed="false">
      <c r="A538" s="18"/>
      <c r="B538" s="18"/>
      <c r="C538" s="25"/>
      <c r="D538" s="25"/>
      <c r="E538" s="25"/>
      <c r="F538" s="18"/>
      <c r="G538" s="18"/>
      <c r="H538" s="18"/>
      <c r="I538" s="18"/>
      <c r="J538" s="13" t="str">
        <f aca="false">IF(OR(D538="",E538=""),"",E538-D538)</f>
        <v/>
      </c>
      <c r="K538" s="13" t="str">
        <f aca="false">IF(OR(C538="",D538=""),"",D538-C538)</f>
        <v/>
      </c>
      <c r="L538" s="13" t="str">
        <f aca="false">IF(A538="","",IF(OR(I538="Devolvida",N(H538)&gt;0),"Sim","Não"))</f>
        <v/>
      </c>
    </row>
    <row r="539" customFormat="false" ht="15" hidden="false" customHeight="false" outlineLevel="0" collapsed="false">
      <c r="A539" s="18"/>
      <c r="B539" s="18"/>
      <c r="C539" s="25"/>
      <c r="D539" s="25"/>
      <c r="E539" s="25"/>
      <c r="F539" s="18"/>
      <c r="G539" s="18"/>
      <c r="H539" s="18"/>
      <c r="I539" s="18"/>
      <c r="J539" s="13" t="str">
        <f aca="false">IF(OR(D539="",E539=""),"",E539-D539)</f>
        <v/>
      </c>
      <c r="K539" s="13" t="str">
        <f aca="false">IF(OR(C539="",D539=""),"",D539-C539)</f>
        <v/>
      </c>
      <c r="L539" s="13" t="str">
        <f aca="false">IF(A539="","",IF(OR(I539="Devolvida",N(H539)&gt;0),"Sim","Não"))</f>
        <v/>
      </c>
    </row>
    <row r="540" customFormat="false" ht="15" hidden="false" customHeight="false" outlineLevel="0" collapsed="false">
      <c r="A540" s="18"/>
      <c r="B540" s="18"/>
      <c r="C540" s="25"/>
      <c r="D540" s="25"/>
      <c r="E540" s="25"/>
      <c r="F540" s="18"/>
      <c r="G540" s="18"/>
      <c r="H540" s="18"/>
      <c r="I540" s="18"/>
      <c r="J540" s="13" t="str">
        <f aca="false">IF(OR(D540="",E540=""),"",E540-D540)</f>
        <v/>
      </c>
      <c r="K540" s="13" t="str">
        <f aca="false">IF(OR(C540="",D540=""),"",D540-C540)</f>
        <v/>
      </c>
      <c r="L540" s="13" t="str">
        <f aca="false">IF(A540="","",IF(OR(I540="Devolvida",N(H540)&gt;0),"Sim","Não"))</f>
        <v/>
      </c>
    </row>
    <row r="541" customFormat="false" ht="15" hidden="false" customHeight="false" outlineLevel="0" collapsed="false">
      <c r="A541" s="18"/>
      <c r="B541" s="18"/>
      <c r="C541" s="25"/>
      <c r="D541" s="25"/>
      <c r="E541" s="25"/>
      <c r="F541" s="18"/>
      <c r="G541" s="18"/>
      <c r="H541" s="18"/>
      <c r="I541" s="18"/>
      <c r="J541" s="13" t="str">
        <f aca="false">IF(OR(D541="",E541=""),"",E541-D541)</f>
        <v/>
      </c>
      <c r="K541" s="13" t="str">
        <f aca="false">IF(OR(C541="",D541=""),"",D541-C541)</f>
        <v/>
      </c>
      <c r="L541" s="13" t="str">
        <f aca="false">IF(A541="","",IF(OR(I541="Devolvida",N(H541)&gt;0),"Sim","Não"))</f>
        <v/>
      </c>
    </row>
    <row r="542" customFormat="false" ht="15" hidden="false" customHeight="false" outlineLevel="0" collapsed="false">
      <c r="A542" s="18"/>
      <c r="B542" s="18"/>
      <c r="C542" s="25"/>
      <c r="D542" s="25"/>
      <c r="E542" s="25"/>
      <c r="F542" s="18"/>
      <c r="G542" s="18"/>
      <c r="H542" s="18"/>
      <c r="I542" s="18"/>
      <c r="J542" s="13" t="str">
        <f aca="false">IF(OR(D542="",E542=""),"",E542-D542)</f>
        <v/>
      </c>
      <c r="K542" s="13" t="str">
        <f aca="false">IF(OR(C542="",D542=""),"",D542-C542)</f>
        <v/>
      </c>
      <c r="L542" s="13" t="str">
        <f aca="false">IF(A542="","",IF(OR(I542="Devolvida",N(H542)&gt;0),"Sim","Não"))</f>
        <v/>
      </c>
    </row>
    <row r="543" customFormat="false" ht="15" hidden="false" customHeight="false" outlineLevel="0" collapsed="false">
      <c r="A543" s="18"/>
      <c r="B543" s="18"/>
      <c r="C543" s="25"/>
      <c r="D543" s="25"/>
      <c r="E543" s="25"/>
      <c r="F543" s="18"/>
      <c r="G543" s="18"/>
      <c r="H543" s="18"/>
      <c r="I543" s="18"/>
      <c r="J543" s="13" t="str">
        <f aca="false">IF(OR(D543="",E543=""),"",E543-D543)</f>
        <v/>
      </c>
      <c r="K543" s="13" t="str">
        <f aca="false">IF(OR(C543="",D543=""),"",D543-C543)</f>
        <v/>
      </c>
      <c r="L543" s="13" t="str">
        <f aca="false">IF(A543="","",IF(OR(I543="Devolvida",N(H543)&gt;0),"Sim","Não"))</f>
        <v/>
      </c>
    </row>
    <row r="544" customFormat="false" ht="15" hidden="false" customHeight="false" outlineLevel="0" collapsed="false">
      <c r="A544" s="18"/>
      <c r="B544" s="18"/>
      <c r="C544" s="25"/>
      <c r="D544" s="25"/>
      <c r="E544" s="25"/>
      <c r="F544" s="18"/>
      <c r="G544" s="18"/>
      <c r="H544" s="18"/>
      <c r="I544" s="18"/>
      <c r="J544" s="13" t="str">
        <f aca="false">IF(OR(D544="",E544=""),"",E544-D544)</f>
        <v/>
      </c>
      <c r="K544" s="13" t="str">
        <f aca="false">IF(OR(C544="",D544=""),"",D544-C544)</f>
        <v/>
      </c>
      <c r="L544" s="13" t="str">
        <f aca="false">IF(A544="","",IF(OR(I544="Devolvida",N(H544)&gt;0),"Sim","Não"))</f>
        <v/>
      </c>
    </row>
    <row r="545" customFormat="false" ht="15" hidden="false" customHeight="false" outlineLevel="0" collapsed="false">
      <c r="A545" s="18"/>
      <c r="B545" s="18"/>
      <c r="C545" s="25"/>
      <c r="D545" s="25"/>
      <c r="E545" s="25"/>
      <c r="F545" s="18"/>
      <c r="G545" s="18"/>
      <c r="H545" s="18"/>
      <c r="I545" s="18"/>
      <c r="J545" s="13" t="str">
        <f aca="false">IF(OR(D545="",E545=""),"",E545-D545)</f>
        <v/>
      </c>
      <c r="K545" s="13" t="str">
        <f aca="false">IF(OR(C545="",D545=""),"",D545-C545)</f>
        <v/>
      </c>
      <c r="L545" s="13" t="str">
        <f aca="false">IF(A545="","",IF(OR(I545="Devolvida",N(H545)&gt;0),"Sim","Não"))</f>
        <v/>
      </c>
    </row>
    <row r="546" customFormat="false" ht="15" hidden="false" customHeight="false" outlineLevel="0" collapsed="false">
      <c r="A546" s="18"/>
      <c r="B546" s="18"/>
      <c r="C546" s="25"/>
      <c r="D546" s="25"/>
      <c r="E546" s="25"/>
      <c r="F546" s="18"/>
      <c r="G546" s="18"/>
      <c r="H546" s="18"/>
      <c r="I546" s="18"/>
      <c r="J546" s="13" t="str">
        <f aca="false">IF(OR(D546="",E546=""),"",E546-D546)</f>
        <v/>
      </c>
      <c r="K546" s="13" t="str">
        <f aca="false">IF(OR(C546="",D546=""),"",D546-C546)</f>
        <v/>
      </c>
      <c r="L546" s="13" t="str">
        <f aca="false">IF(A546="","",IF(OR(I546="Devolvida",N(H546)&gt;0),"Sim","Não"))</f>
        <v/>
      </c>
    </row>
    <row r="547" customFormat="false" ht="15" hidden="false" customHeight="false" outlineLevel="0" collapsed="false">
      <c r="A547" s="18"/>
      <c r="B547" s="18"/>
      <c r="C547" s="25"/>
      <c r="D547" s="25"/>
      <c r="E547" s="25"/>
      <c r="F547" s="18"/>
      <c r="G547" s="18"/>
      <c r="H547" s="18"/>
      <c r="I547" s="18"/>
      <c r="J547" s="13" t="str">
        <f aca="false">IF(OR(D547="",E547=""),"",E547-D547)</f>
        <v/>
      </c>
      <c r="K547" s="13" t="str">
        <f aca="false">IF(OR(C547="",D547=""),"",D547-C547)</f>
        <v/>
      </c>
      <c r="L547" s="13" t="str">
        <f aca="false">IF(A547="","",IF(OR(I547="Devolvida",N(H547)&gt;0),"Sim","Não"))</f>
        <v/>
      </c>
    </row>
    <row r="548" customFormat="false" ht="15" hidden="false" customHeight="false" outlineLevel="0" collapsed="false">
      <c r="A548" s="18"/>
      <c r="B548" s="18"/>
      <c r="C548" s="25"/>
      <c r="D548" s="25"/>
      <c r="E548" s="25"/>
      <c r="F548" s="18"/>
      <c r="G548" s="18"/>
      <c r="H548" s="18"/>
      <c r="I548" s="18"/>
      <c r="J548" s="13" t="str">
        <f aca="false">IF(OR(D548="",E548=""),"",E548-D548)</f>
        <v/>
      </c>
      <c r="K548" s="13" t="str">
        <f aca="false">IF(OR(C548="",D548=""),"",D548-C548)</f>
        <v/>
      </c>
      <c r="L548" s="13" t="str">
        <f aca="false">IF(A548="","",IF(OR(I548="Devolvida",N(H548)&gt;0),"Sim","Não"))</f>
        <v/>
      </c>
    </row>
    <row r="549" customFormat="false" ht="15" hidden="false" customHeight="false" outlineLevel="0" collapsed="false">
      <c r="A549" s="18"/>
      <c r="B549" s="18"/>
      <c r="C549" s="25"/>
      <c r="D549" s="25"/>
      <c r="E549" s="25"/>
      <c r="F549" s="18"/>
      <c r="G549" s="18"/>
      <c r="H549" s="18"/>
      <c r="I549" s="18"/>
      <c r="J549" s="13" t="str">
        <f aca="false">IF(OR(D549="",E549=""),"",E549-D549)</f>
        <v/>
      </c>
      <c r="K549" s="13" t="str">
        <f aca="false">IF(OR(C549="",D549=""),"",D549-C549)</f>
        <v/>
      </c>
      <c r="L549" s="13" t="str">
        <f aca="false">IF(A549="","",IF(OR(I549="Devolvida",N(H549)&gt;0),"Sim","Não"))</f>
        <v/>
      </c>
    </row>
    <row r="550" customFormat="false" ht="15" hidden="false" customHeight="false" outlineLevel="0" collapsed="false">
      <c r="A550" s="18"/>
      <c r="B550" s="18"/>
      <c r="C550" s="25"/>
      <c r="D550" s="25"/>
      <c r="E550" s="25"/>
      <c r="F550" s="18"/>
      <c r="G550" s="18"/>
      <c r="H550" s="18"/>
      <c r="I550" s="18"/>
      <c r="J550" s="13" t="str">
        <f aca="false">IF(OR(D550="",E550=""),"",E550-D550)</f>
        <v/>
      </c>
      <c r="K550" s="13" t="str">
        <f aca="false">IF(OR(C550="",D550=""),"",D550-C550)</f>
        <v/>
      </c>
      <c r="L550" s="13" t="str">
        <f aca="false">IF(A550="","",IF(OR(I550="Devolvida",N(H550)&gt;0),"Sim","Não"))</f>
        <v/>
      </c>
    </row>
    <row r="551" customFormat="false" ht="15" hidden="false" customHeight="false" outlineLevel="0" collapsed="false">
      <c r="A551" s="18"/>
      <c r="B551" s="18"/>
      <c r="C551" s="25"/>
      <c r="D551" s="25"/>
      <c r="E551" s="25"/>
      <c r="F551" s="18"/>
      <c r="G551" s="18"/>
      <c r="H551" s="18"/>
      <c r="I551" s="18"/>
      <c r="J551" s="13" t="str">
        <f aca="false">IF(OR(D551="",E551=""),"",E551-D551)</f>
        <v/>
      </c>
      <c r="K551" s="13" t="str">
        <f aca="false">IF(OR(C551="",D551=""),"",D551-C551)</f>
        <v/>
      </c>
      <c r="L551" s="13" t="str">
        <f aca="false">IF(A551="","",IF(OR(I551="Devolvida",N(H551)&gt;0),"Sim","Não"))</f>
        <v/>
      </c>
    </row>
    <row r="552" customFormat="false" ht="15" hidden="false" customHeight="false" outlineLevel="0" collapsed="false">
      <c r="A552" s="18"/>
      <c r="B552" s="18"/>
      <c r="C552" s="25"/>
      <c r="D552" s="25"/>
      <c r="E552" s="25"/>
      <c r="F552" s="18"/>
      <c r="G552" s="18"/>
      <c r="H552" s="18"/>
      <c r="I552" s="18"/>
      <c r="J552" s="13" t="str">
        <f aca="false">IF(OR(D552="",E552=""),"",E552-D552)</f>
        <v/>
      </c>
      <c r="K552" s="13" t="str">
        <f aca="false">IF(OR(C552="",D552=""),"",D552-C552)</f>
        <v/>
      </c>
      <c r="L552" s="13" t="str">
        <f aca="false">IF(A552="","",IF(OR(I552="Devolvida",N(H552)&gt;0),"Sim","Não"))</f>
        <v/>
      </c>
    </row>
    <row r="553" customFormat="false" ht="15" hidden="false" customHeight="false" outlineLevel="0" collapsed="false">
      <c r="A553" s="18"/>
      <c r="B553" s="18"/>
      <c r="C553" s="25"/>
      <c r="D553" s="25"/>
      <c r="E553" s="25"/>
      <c r="F553" s="18"/>
      <c r="G553" s="18"/>
      <c r="H553" s="18"/>
      <c r="I553" s="18"/>
      <c r="J553" s="13" t="str">
        <f aca="false">IF(OR(D553="",E553=""),"",E553-D553)</f>
        <v/>
      </c>
      <c r="K553" s="13" t="str">
        <f aca="false">IF(OR(C553="",D553=""),"",D553-C553)</f>
        <v/>
      </c>
      <c r="L553" s="13" t="str">
        <f aca="false">IF(A553="","",IF(OR(I553="Devolvida",N(H553)&gt;0),"Sim","Não"))</f>
        <v/>
      </c>
    </row>
    <row r="554" customFormat="false" ht="15" hidden="false" customHeight="false" outlineLevel="0" collapsed="false">
      <c r="A554" s="18"/>
      <c r="B554" s="18"/>
      <c r="C554" s="25"/>
      <c r="D554" s="25"/>
      <c r="E554" s="25"/>
      <c r="F554" s="18"/>
      <c r="G554" s="18"/>
      <c r="H554" s="18"/>
      <c r="I554" s="18"/>
      <c r="J554" s="13" t="str">
        <f aca="false">IF(OR(D554="",E554=""),"",E554-D554)</f>
        <v/>
      </c>
      <c r="K554" s="13" t="str">
        <f aca="false">IF(OR(C554="",D554=""),"",D554-C554)</f>
        <v/>
      </c>
      <c r="L554" s="13" t="str">
        <f aca="false">IF(A554="","",IF(OR(I554="Devolvida",N(H554)&gt;0),"Sim","Não"))</f>
        <v/>
      </c>
    </row>
    <row r="555" customFormat="false" ht="15" hidden="false" customHeight="false" outlineLevel="0" collapsed="false">
      <c r="A555" s="18"/>
      <c r="B555" s="18"/>
      <c r="C555" s="25"/>
      <c r="D555" s="25"/>
      <c r="E555" s="25"/>
      <c r="F555" s="18"/>
      <c r="G555" s="18"/>
      <c r="H555" s="18"/>
      <c r="I555" s="18"/>
      <c r="J555" s="13" t="str">
        <f aca="false">IF(OR(D555="",E555=""),"",E555-D555)</f>
        <v/>
      </c>
      <c r="K555" s="13" t="str">
        <f aca="false">IF(OR(C555="",D555=""),"",D555-C555)</f>
        <v/>
      </c>
      <c r="L555" s="13" t="str">
        <f aca="false">IF(A555="","",IF(OR(I555="Devolvida",N(H555)&gt;0),"Sim","Não"))</f>
        <v/>
      </c>
    </row>
    <row r="556" customFormat="false" ht="15" hidden="false" customHeight="false" outlineLevel="0" collapsed="false">
      <c r="A556" s="18"/>
      <c r="B556" s="18"/>
      <c r="C556" s="25"/>
      <c r="D556" s="25"/>
      <c r="E556" s="25"/>
      <c r="F556" s="18"/>
      <c r="G556" s="18"/>
      <c r="H556" s="18"/>
      <c r="I556" s="18"/>
      <c r="J556" s="13" t="str">
        <f aca="false">IF(OR(D556="",E556=""),"",E556-D556)</f>
        <v/>
      </c>
      <c r="K556" s="13" t="str">
        <f aca="false">IF(OR(C556="",D556=""),"",D556-C556)</f>
        <v/>
      </c>
      <c r="L556" s="13" t="str">
        <f aca="false">IF(A556="","",IF(OR(I556="Devolvida",N(H556)&gt;0),"Sim","Não"))</f>
        <v/>
      </c>
    </row>
    <row r="557" customFormat="false" ht="15" hidden="false" customHeight="false" outlineLevel="0" collapsed="false">
      <c r="A557" s="18"/>
      <c r="B557" s="18"/>
      <c r="C557" s="25"/>
      <c r="D557" s="25"/>
      <c r="E557" s="25"/>
      <c r="F557" s="18"/>
      <c r="G557" s="18"/>
      <c r="H557" s="18"/>
      <c r="I557" s="18"/>
      <c r="J557" s="13" t="str">
        <f aca="false">IF(OR(D557="",E557=""),"",E557-D557)</f>
        <v/>
      </c>
      <c r="K557" s="13" t="str">
        <f aca="false">IF(OR(C557="",D557=""),"",D557-C557)</f>
        <v/>
      </c>
      <c r="L557" s="13" t="str">
        <f aca="false">IF(A557="","",IF(OR(I557="Devolvida",N(H557)&gt;0),"Sim","Não"))</f>
        <v/>
      </c>
    </row>
    <row r="558" customFormat="false" ht="15" hidden="false" customHeight="false" outlineLevel="0" collapsed="false">
      <c r="A558" s="18"/>
      <c r="B558" s="18"/>
      <c r="C558" s="25"/>
      <c r="D558" s="25"/>
      <c r="E558" s="25"/>
      <c r="F558" s="18"/>
      <c r="G558" s="18"/>
      <c r="H558" s="18"/>
      <c r="I558" s="18"/>
      <c r="J558" s="13" t="str">
        <f aca="false">IF(OR(D558="",E558=""),"",E558-D558)</f>
        <v/>
      </c>
      <c r="K558" s="13" t="str">
        <f aca="false">IF(OR(C558="",D558=""),"",D558-C558)</f>
        <v/>
      </c>
      <c r="L558" s="13" t="str">
        <f aca="false">IF(A558="","",IF(OR(I558="Devolvida",N(H558)&gt;0),"Sim","Não"))</f>
        <v/>
      </c>
    </row>
    <row r="559" customFormat="false" ht="15" hidden="false" customHeight="false" outlineLevel="0" collapsed="false">
      <c r="A559" s="18"/>
      <c r="B559" s="18"/>
      <c r="C559" s="25"/>
      <c r="D559" s="25"/>
      <c r="E559" s="25"/>
      <c r="F559" s="18"/>
      <c r="G559" s="18"/>
      <c r="H559" s="18"/>
      <c r="I559" s="18"/>
      <c r="J559" s="13" t="str">
        <f aca="false">IF(OR(D559="",E559=""),"",E559-D559)</f>
        <v/>
      </c>
      <c r="K559" s="13" t="str">
        <f aca="false">IF(OR(C559="",D559=""),"",D559-C559)</f>
        <v/>
      </c>
      <c r="L559" s="13" t="str">
        <f aca="false">IF(A559="","",IF(OR(I559="Devolvida",N(H559)&gt;0),"Sim","Não"))</f>
        <v/>
      </c>
    </row>
    <row r="560" customFormat="false" ht="15" hidden="false" customHeight="false" outlineLevel="0" collapsed="false">
      <c r="A560" s="18"/>
      <c r="B560" s="18"/>
      <c r="C560" s="25"/>
      <c r="D560" s="25"/>
      <c r="E560" s="25"/>
      <c r="F560" s="18"/>
      <c r="G560" s="18"/>
      <c r="H560" s="18"/>
      <c r="I560" s="18"/>
      <c r="J560" s="13" t="str">
        <f aca="false">IF(OR(D560="",E560=""),"",E560-D560)</f>
        <v/>
      </c>
      <c r="K560" s="13" t="str">
        <f aca="false">IF(OR(C560="",D560=""),"",D560-C560)</f>
        <v/>
      </c>
      <c r="L560" s="13" t="str">
        <f aca="false">IF(A560="","",IF(OR(I560="Devolvida",N(H560)&gt;0),"Sim","Não"))</f>
        <v/>
      </c>
    </row>
    <row r="561" customFormat="false" ht="15" hidden="false" customHeight="false" outlineLevel="0" collapsed="false">
      <c r="A561" s="18"/>
      <c r="B561" s="18"/>
      <c r="C561" s="25"/>
      <c r="D561" s="25"/>
      <c r="E561" s="25"/>
      <c r="F561" s="18"/>
      <c r="G561" s="18"/>
      <c r="H561" s="18"/>
      <c r="I561" s="18"/>
      <c r="J561" s="13" t="str">
        <f aca="false">IF(OR(D561="",E561=""),"",E561-D561)</f>
        <v/>
      </c>
      <c r="K561" s="13" t="str">
        <f aca="false">IF(OR(C561="",D561=""),"",D561-C561)</f>
        <v/>
      </c>
      <c r="L561" s="13" t="str">
        <f aca="false">IF(A561="","",IF(OR(I561="Devolvida",N(H561)&gt;0),"Sim","Não"))</f>
        <v/>
      </c>
    </row>
    <row r="562" customFormat="false" ht="15" hidden="false" customHeight="false" outlineLevel="0" collapsed="false">
      <c r="A562" s="18"/>
      <c r="B562" s="18"/>
      <c r="C562" s="25"/>
      <c r="D562" s="25"/>
      <c r="E562" s="25"/>
      <c r="F562" s="18"/>
      <c r="G562" s="18"/>
      <c r="H562" s="18"/>
      <c r="I562" s="18"/>
      <c r="J562" s="13" t="str">
        <f aca="false">IF(OR(D562="",E562=""),"",E562-D562)</f>
        <v/>
      </c>
      <c r="K562" s="13" t="str">
        <f aca="false">IF(OR(C562="",D562=""),"",D562-C562)</f>
        <v/>
      </c>
      <c r="L562" s="13" t="str">
        <f aca="false">IF(A562="","",IF(OR(I562="Devolvida",N(H562)&gt;0),"Sim","Não"))</f>
        <v/>
      </c>
    </row>
    <row r="563" customFormat="false" ht="15" hidden="false" customHeight="false" outlineLevel="0" collapsed="false">
      <c r="A563" s="18"/>
      <c r="B563" s="18"/>
      <c r="C563" s="25"/>
      <c r="D563" s="25"/>
      <c r="E563" s="25"/>
      <c r="F563" s="18"/>
      <c r="G563" s="18"/>
      <c r="H563" s="18"/>
      <c r="I563" s="18"/>
      <c r="J563" s="13" t="str">
        <f aca="false">IF(OR(D563="",E563=""),"",E563-D563)</f>
        <v/>
      </c>
      <c r="K563" s="13" t="str">
        <f aca="false">IF(OR(C563="",D563=""),"",D563-C563)</f>
        <v/>
      </c>
      <c r="L563" s="13" t="str">
        <f aca="false">IF(A563="","",IF(OR(I563="Devolvida",N(H563)&gt;0),"Sim","Não"))</f>
        <v/>
      </c>
    </row>
    <row r="564" customFormat="false" ht="15" hidden="false" customHeight="false" outlineLevel="0" collapsed="false">
      <c r="A564" s="18"/>
      <c r="B564" s="18"/>
      <c r="C564" s="25"/>
      <c r="D564" s="25"/>
      <c r="E564" s="25"/>
      <c r="F564" s="18"/>
      <c r="G564" s="18"/>
      <c r="H564" s="18"/>
      <c r="I564" s="18"/>
      <c r="J564" s="13" t="str">
        <f aca="false">IF(OR(D564="",E564=""),"",E564-D564)</f>
        <v/>
      </c>
      <c r="K564" s="13" t="str">
        <f aca="false">IF(OR(C564="",D564=""),"",D564-C564)</f>
        <v/>
      </c>
      <c r="L564" s="13" t="str">
        <f aca="false">IF(A564="","",IF(OR(I564="Devolvida",N(H564)&gt;0),"Sim","Não"))</f>
        <v/>
      </c>
    </row>
    <row r="565" customFormat="false" ht="15" hidden="false" customHeight="false" outlineLevel="0" collapsed="false">
      <c r="A565" s="18"/>
      <c r="B565" s="18"/>
      <c r="C565" s="25"/>
      <c r="D565" s="25"/>
      <c r="E565" s="25"/>
      <c r="F565" s="18"/>
      <c r="G565" s="18"/>
      <c r="H565" s="18"/>
      <c r="I565" s="18"/>
      <c r="J565" s="13" t="str">
        <f aca="false">IF(OR(D565="",E565=""),"",E565-D565)</f>
        <v/>
      </c>
      <c r="K565" s="13" t="str">
        <f aca="false">IF(OR(C565="",D565=""),"",D565-C565)</f>
        <v/>
      </c>
      <c r="L565" s="13" t="str">
        <f aca="false">IF(A565="","",IF(OR(I565="Devolvida",N(H565)&gt;0),"Sim","Não"))</f>
        <v/>
      </c>
    </row>
    <row r="566" customFormat="false" ht="15" hidden="false" customHeight="false" outlineLevel="0" collapsed="false">
      <c r="A566" s="18"/>
      <c r="B566" s="18"/>
      <c r="C566" s="25"/>
      <c r="D566" s="25"/>
      <c r="E566" s="25"/>
      <c r="F566" s="18"/>
      <c r="G566" s="18"/>
      <c r="H566" s="18"/>
      <c r="I566" s="18"/>
      <c r="J566" s="13" t="str">
        <f aca="false">IF(OR(D566="",E566=""),"",E566-D566)</f>
        <v/>
      </c>
      <c r="K566" s="13" t="str">
        <f aca="false">IF(OR(C566="",D566=""),"",D566-C566)</f>
        <v/>
      </c>
      <c r="L566" s="13" t="str">
        <f aca="false">IF(A566="","",IF(OR(I566="Devolvida",N(H566)&gt;0),"Sim","Não"))</f>
        <v/>
      </c>
    </row>
    <row r="567" customFormat="false" ht="15" hidden="false" customHeight="false" outlineLevel="0" collapsed="false">
      <c r="A567" s="18"/>
      <c r="B567" s="18"/>
      <c r="C567" s="25"/>
      <c r="D567" s="25"/>
      <c r="E567" s="25"/>
      <c r="F567" s="18"/>
      <c r="G567" s="18"/>
      <c r="H567" s="18"/>
      <c r="I567" s="18"/>
      <c r="J567" s="13" t="str">
        <f aca="false">IF(OR(D567="",E567=""),"",E567-D567)</f>
        <v/>
      </c>
      <c r="K567" s="13" t="str">
        <f aca="false">IF(OR(C567="",D567=""),"",D567-C567)</f>
        <v/>
      </c>
      <c r="L567" s="13" t="str">
        <f aca="false">IF(A567="","",IF(OR(I567="Devolvida",N(H567)&gt;0),"Sim","Não"))</f>
        <v/>
      </c>
    </row>
    <row r="568" customFormat="false" ht="15" hidden="false" customHeight="false" outlineLevel="0" collapsed="false">
      <c r="A568" s="18"/>
      <c r="B568" s="18"/>
      <c r="C568" s="25"/>
      <c r="D568" s="25"/>
      <c r="E568" s="25"/>
      <c r="F568" s="18"/>
      <c r="G568" s="18"/>
      <c r="H568" s="18"/>
      <c r="I568" s="18"/>
      <c r="J568" s="13" t="str">
        <f aca="false">IF(OR(D568="",E568=""),"",E568-D568)</f>
        <v/>
      </c>
      <c r="K568" s="13" t="str">
        <f aca="false">IF(OR(C568="",D568=""),"",D568-C568)</f>
        <v/>
      </c>
      <c r="L568" s="13" t="str">
        <f aca="false">IF(A568="","",IF(OR(I568="Devolvida",N(H568)&gt;0),"Sim","Não"))</f>
        <v/>
      </c>
    </row>
    <row r="569" customFormat="false" ht="15" hidden="false" customHeight="false" outlineLevel="0" collapsed="false">
      <c r="A569" s="18"/>
      <c r="B569" s="18"/>
      <c r="C569" s="25"/>
      <c r="D569" s="25"/>
      <c r="E569" s="25"/>
      <c r="F569" s="18"/>
      <c r="G569" s="18"/>
      <c r="H569" s="18"/>
      <c r="I569" s="18"/>
      <c r="J569" s="13" t="str">
        <f aca="false">IF(OR(D569="",E569=""),"",E569-D569)</f>
        <v/>
      </c>
      <c r="K569" s="13" t="str">
        <f aca="false">IF(OR(C569="",D569=""),"",D569-C569)</f>
        <v/>
      </c>
      <c r="L569" s="13" t="str">
        <f aca="false">IF(A569="","",IF(OR(I569="Devolvida",N(H569)&gt;0),"Sim","Não"))</f>
        <v/>
      </c>
    </row>
    <row r="570" customFormat="false" ht="15" hidden="false" customHeight="false" outlineLevel="0" collapsed="false">
      <c r="A570" s="18"/>
      <c r="B570" s="18"/>
      <c r="C570" s="25"/>
      <c r="D570" s="25"/>
      <c r="E570" s="25"/>
      <c r="F570" s="18"/>
      <c r="G570" s="18"/>
      <c r="H570" s="18"/>
      <c r="I570" s="18"/>
      <c r="J570" s="13" t="str">
        <f aca="false">IF(OR(D570="",E570=""),"",E570-D570)</f>
        <v/>
      </c>
      <c r="K570" s="13" t="str">
        <f aca="false">IF(OR(C570="",D570=""),"",D570-C570)</f>
        <v/>
      </c>
      <c r="L570" s="13" t="str">
        <f aca="false">IF(A570="","",IF(OR(I570="Devolvida",N(H570)&gt;0),"Sim","Não"))</f>
        <v/>
      </c>
    </row>
    <row r="571" customFormat="false" ht="15" hidden="false" customHeight="false" outlineLevel="0" collapsed="false">
      <c r="A571" s="18"/>
      <c r="B571" s="18"/>
      <c r="C571" s="25"/>
      <c r="D571" s="25"/>
      <c r="E571" s="25"/>
      <c r="F571" s="18"/>
      <c r="G571" s="18"/>
      <c r="H571" s="18"/>
      <c r="I571" s="18"/>
      <c r="J571" s="13" t="str">
        <f aca="false">IF(OR(D571="",E571=""),"",E571-D571)</f>
        <v/>
      </c>
      <c r="K571" s="13" t="str">
        <f aca="false">IF(OR(C571="",D571=""),"",D571-C571)</f>
        <v/>
      </c>
      <c r="L571" s="13" t="str">
        <f aca="false">IF(A571="","",IF(OR(I571="Devolvida",N(H571)&gt;0),"Sim","Não"))</f>
        <v/>
      </c>
    </row>
    <row r="572" customFormat="false" ht="15" hidden="false" customHeight="false" outlineLevel="0" collapsed="false">
      <c r="A572" s="18"/>
      <c r="B572" s="18"/>
      <c r="C572" s="25"/>
      <c r="D572" s="25"/>
      <c r="E572" s="25"/>
      <c r="F572" s="18"/>
      <c r="G572" s="18"/>
      <c r="H572" s="18"/>
      <c r="I572" s="18"/>
      <c r="J572" s="13" t="str">
        <f aca="false">IF(OR(D572="",E572=""),"",E572-D572)</f>
        <v/>
      </c>
      <c r="K572" s="13" t="str">
        <f aca="false">IF(OR(C572="",D572=""),"",D572-C572)</f>
        <v/>
      </c>
      <c r="L572" s="13" t="str">
        <f aca="false">IF(A572="","",IF(OR(I572="Devolvida",N(H572)&gt;0),"Sim","Não"))</f>
        <v/>
      </c>
    </row>
    <row r="573" customFormat="false" ht="15" hidden="false" customHeight="false" outlineLevel="0" collapsed="false">
      <c r="A573" s="18"/>
      <c r="B573" s="18"/>
      <c r="C573" s="25"/>
      <c r="D573" s="25"/>
      <c r="E573" s="25"/>
      <c r="F573" s="18"/>
      <c r="G573" s="18"/>
      <c r="H573" s="18"/>
      <c r="I573" s="18"/>
      <c r="J573" s="13" t="str">
        <f aca="false">IF(OR(D573="",E573=""),"",E573-D573)</f>
        <v/>
      </c>
      <c r="K573" s="13" t="str">
        <f aca="false">IF(OR(C573="",D573=""),"",D573-C573)</f>
        <v/>
      </c>
      <c r="L573" s="13" t="str">
        <f aca="false">IF(A573="","",IF(OR(I573="Devolvida",N(H573)&gt;0),"Sim","Não"))</f>
        <v/>
      </c>
    </row>
    <row r="574" customFormat="false" ht="15" hidden="false" customHeight="false" outlineLevel="0" collapsed="false">
      <c r="A574" s="18"/>
      <c r="B574" s="18"/>
      <c r="C574" s="25"/>
      <c r="D574" s="25"/>
      <c r="E574" s="25"/>
      <c r="F574" s="18"/>
      <c r="G574" s="18"/>
      <c r="H574" s="18"/>
      <c r="I574" s="18"/>
      <c r="J574" s="13" t="str">
        <f aca="false">IF(OR(D574="",E574=""),"",E574-D574)</f>
        <v/>
      </c>
      <c r="K574" s="13" t="str">
        <f aca="false">IF(OR(C574="",D574=""),"",D574-C574)</f>
        <v/>
      </c>
      <c r="L574" s="13" t="str">
        <f aca="false">IF(A574="","",IF(OR(I574="Devolvida",N(H574)&gt;0),"Sim","Não"))</f>
        <v/>
      </c>
    </row>
    <row r="575" customFormat="false" ht="15" hidden="false" customHeight="false" outlineLevel="0" collapsed="false">
      <c r="A575" s="18"/>
      <c r="B575" s="18"/>
      <c r="C575" s="25"/>
      <c r="D575" s="25"/>
      <c r="E575" s="25"/>
      <c r="F575" s="18"/>
      <c r="G575" s="18"/>
      <c r="H575" s="18"/>
      <c r="I575" s="18"/>
      <c r="J575" s="13" t="str">
        <f aca="false">IF(OR(D575="",E575=""),"",E575-D575)</f>
        <v/>
      </c>
      <c r="K575" s="13" t="str">
        <f aca="false">IF(OR(C575="",D575=""),"",D575-C575)</f>
        <v/>
      </c>
      <c r="L575" s="13" t="str">
        <f aca="false">IF(A575="","",IF(OR(I575="Devolvida",N(H575)&gt;0),"Sim","Não"))</f>
        <v/>
      </c>
    </row>
    <row r="576" customFormat="false" ht="15" hidden="false" customHeight="false" outlineLevel="0" collapsed="false">
      <c r="A576" s="18"/>
      <c r="B576" s="18"/>
      <c r="C576" s="25"/>
      <c r="D576" s="25"/>
      <c r="E576" s="25"/>
      <c r="F576" s="18"/>
      <c r="G576" s="18"/>
      <c r="H576" s="18"/>
      <c r="I576" s="18"/>
      <c r="J576" s="13" t="str">
        <f aca="false">IF(OR(D576="",E576=""),"",E576-D576)</f>
        <v/>
      </c>
      <c r="K576" s="13" t="str">
        <f aca="false">IF(OR(C576="",D576=""),"",D576-C576)</f>
        <v/>
      </c>
      <c r="L576" s="13" t="str">
        <f aca="false">IF(A576="","",IF(OR(I576="Devolvida",N(H576)&gt;0),"Sim","Não"))</f>
        <v/>
      </c>
    </row>
    <row r="577" customFormat="false" ht="15" hidden="false" customHeight="false" outlineLevel="0" collapsed="false">
      <c r="A577" s="18"/>
      <c r="B577" s="18"/>
      <c r="C577" s="25"/>
      <c r="D577" s="25"/>
      <c r="E577" s="25"/>
      <c r="F577" s="18"/>
      <c r="G577" s="18"/>
      <c r="H577" s="18"/>
      <c r="I577" s="18"/>
      <c r="J577" s="13" t="str">
        <f aca="false">IF(OR(D577="",E577=""),"",E577-D577)</f>
        <v/>
      </c>
      <c r="K577" s="13" t="str">
        <f aca="false">IF(OR(C577="",D577=""),"",D577-C577)</f>
        <v/>
      </c>
      <c r="L577" s="13" t="str">
        <f aca="false">IF(A577="","",IF(OR(I577="Devolvida",N(H577)&gt;0),"Sim","Não"))</f>
        <v/>
      </c>
    </row>
    <row r="578" customFormat="false" ht="15" hidden="false" customHeight="false" outlineLevel="0" collapsed="false">
      <c r="A578" s="18"/>
      <c r="B578" s="18"/>
      <c r="C578" s="25"/>
      <c r="D578" s="25"/>
      <c r="E578" s="25"/>
      <c r="F578" s="18"/>
      <c r="G578" s="18"/>
      <c r="H578" s="18"/>
      <c r="I578" s="18"/>
      <c r="J578" s="13" t="str">
        <f aca="false">IF(OR(D578="",E578=""),"",E578-D578)</f>
        <v/>
      </c>
      <c r="K578" s="13" t="str">
        <f aca="false">IF(OR(C578="",D578=""),"",D578-C578)</f>
        <v/>
      </c>
      <c r="L578" s="13" t="str">
        <f aca="false">IF(A578="","",IF(OR(I578="Devolvida",N(H578)&gt;0),"Sim","Não"))</f>
        <v/>
      </c>
    </row>
    <row r="579" customFormat="false" ht="15" hidden="false" customHeight="false" outlineLevel="0" collapsed="false">
      <c r="A579" s="18"/>
      <c r="B579" s="18"/>
      <c r="C579" s="25"/>
      <c r="D579" s="25"/>
      <c r="E579" s="25"/>
      <c r="F579" s="18"/>
      <c r="G579" s="18"/>
      <c r="H579" s="18"/>
      <c r="I579" s="18"/>
      <c r="J579" s="13" t="str">
        <f aca="false">IF(OR(D579="",E579=""),"",E579-D579)</f>
        <v/>
      </c>
      <c r="K579" s="13" t="str">
        <f aca="false">IF(OR(C579="",D579=""),"",D579-C579)</f>
        <v/>
      </c>
      <c r="L579" s="13" t="str">
        <f aca="false">IF(A579="","",IF(OR(I579="Devolvida",N(H579)&gt;0),"Sim","Não"))</f>
        <v/>
      </c>
    </row>
    <row r="580" customFormat="false" ht="15" hidden="false" customHeight="false" outlineLevel="0" collapsed="false">
      <c r="A580" s="18"/>
      <c r="B580" s="18"/>
      <c r="C580" s="25"/>
      <c r="D580" s="25"/>
      <c r="E580" s="25"/>
      <c r="F580" s="18"/>
      <c r="G580" s="18"/>
      <c r="H580" s="18"/>
      <c r="I580" s="18"/>
      <c r="J580" s="13" t="str">
        <f aca="false">IF(OR(D580="",E580=""),"",E580-D580)</f>
        <v/>
      </c>
      <c r="K580" s="13" t="str">
        <f aca="false">IF(OR(C580="",D580=""),"",D580-C580)</f>
        <v/>
      </c>
      <c r="L580" s="13" t="str">
        <f aca="false">IF(A580="","",IF(OR(I580="Devolvida",N(H580)&gt;0),"Sim","Não"))</f>
        <v/>
      </c>
    </row>
    <row r="581" customFormat="false" ht="15" hidden="false" customHeight="false" outlineLevel="0" collapsed="false">
      <c r="A581" s="18"/>
      <c r="B581" s="18"/>
      <c r="C581" s="25"/>
      <c r="D581" s="25"/>
      <c r="E581" s="25"/>
      <c r="F581" s="18"/>
      <c r="G581" s="18"/>
      <c r="H581" s="18"/>
      <c r="I581" s="18"/>
      <c r="J581" s="13" t="str">
        <f aca="false">IF(OR(D581="",E581=""),"",E581-D581)</f>
        <v/>
      </c>
      <c r="K581" s="13" t="str">
        <f aca="false">IF(OR(C581="",D581=""),"",D581-C581)</f>
        <v/>
      </c>
      <c r="L581" s="13" t="str">
        <f aca="false">IF(A581="","",IF(OR(I581="Devolvida",N(H581)&gt;0),"Sim","Não"))</f>
        <v/>
      </c>
    </row>
    <row r="582" customFormat="false" ht="15" hidden="false" customHeight="false" outlineLevel="0" collapsed="false">
      <c r="A582" s="18"/>
      <c r="B582" s="18"/>
      <c r="C582" s="25"/>
      <c r="D582" s="25"/>
      <c r="E582" s="25"/>
      <c r="F582" s="18"/>
      <c r="G582" s="18"/>
      <c r="H582" s="18"/>
      <c r="I582" s="18"/>
      <c r="J582" s="13" t="str">
        <f aca="false">IF(OR(D582="",E582=""),"",E582-D582)</f>
        <v/>
      </c>
      <c r="K582" s="13" t="str">
        <f aca="false">IF(OR(C582="",D582=""),"",D582-C582)</f>
        <v/>
      </c>
      <c r="L582" s="13" t="str">
        <f aca="false">IF(A582="","",IF(OR(I582="Devolvida",N(H582)&gt;0),"Sim","Não"))</f>
        <v/>
      </c>
    </row>
    <row r="583" customFormat="false" ht="15" hidden="false" customHeight="false" outlineLevel="0" collapsed="false">
      <c r="A583" s="18"/>
      <c r="B583" s="18"/>
      <c r="C583" s="25"/>
      <c r="D583" s="25"/>
      <c r="E583" s="25"/>
      <c r="F583" s="18"/>
      <c r="G583" s="18"/>
      <c r="H583" s="18"/>
      <c r="I583" s="18"/>
      <c r="J583" s="13" t="str">
        <f aca="false">IF(OR(D583="",E583=""),"",E583-D583)</f>
        <v/>
      </c>
      <c r="K583" s="13" t="str">
        <f aca="false">IF(OR(C583="",D583=""),"",D583-C583)</f>
        <v/>
      </c>
      <c r="L583" s="13" t="str">
        <f aca="false">IF(A583="","",IF(OR(I583="Devolvida",N(H583)&gt;0),"Sim","Não"))</f>
        <v/>
      </c>
    </row>
    <row r="584" customFormat="false" ht="15" hidden="false" customHeight="false" outlineLevel="0" collapsed="false">
      <c r="A584" s="18"/>
      <c r="B584" s="18"/>
      <c r="C584" s="25"/>
      <c r="D584" s="25"/>
      <c r="E584" s="25"/>
      <c r="F584" s="18"/>
      <c r="G584" s="18"/>
      <c r="H584" s="18"/>
      <c r="I584" s="18"/>
      <c r="J584" s="13" t="str">
        <f aca="false">IF(OR(D584="",E584=""),"",E584-D584)</f>
        <v/>
      </c>
      <c r="K584" s="13" t="str">
        <f aca="false">IF(OR(C584="",D584=""),"",D584-C584)</f>
        <v/>
      </c>
      <c r="L584" s="13" t="str">
        <f aca="false">IF(A584="","",IF(OR(I584="Devolvida",N(H584)&gt;0),"Sim","Não"))</f>
        <v/>
      </c>
    </row>
    <row r="585" customFormat="false" ht="15" hidden="false" customHeight="false" outlineLevel="0" collapsed="false">
      <c r="A585" s="18"/>
      <c r="B585" s="18"/>
      <c r="C585" s="25"/>
      <c r="D585" s="25"/>
      <c r="E585" s="25"/>
      <c r="F585" s="18"/>
      <c r="G585" s="18"/>
      <c r="H585" s="18"/>
      <c r="I585" s="18"/>
      <c r="J585" s="13" t="str">
        <f aca="false">IF(OR(D585="",E585=""),"",E585-D585)</f>
        <v/>
      </c>
      <c r="K585" s="13" t="str">
        <f aca="false">IF(OR(C585="",D585=""),"",D585-C585)</f>
        <v/>
      </c>
      <c r="L585" s="13" t="str">
        <f aca="false">IF(A585="","",IF(OR(I585="Devolvida",N(H585)&gt;0),"Sim","Não"))</f>
        <v/>
      </c>
    </row>
    <row r="586" customFormat="false" ht="15" hidden="false" customHeight="false" outlineLevel="0" collapsed="false">
      <c r="A586" s="18"/>
      <c r="B586" s="18"/>
      <c r="C586" s="25"/>
      <c r="D586" s="25"/>
      <c r="E586" s="25"/>
      <c r="F586" s="18"/>
      <c r="G586" s="18"/>
      <c r="H586" s="18"/>
      <c r="I586" s="18"/>
      <c r="J586" s="13" t="str">
        <f aca="false">IF(OR(D586="",E586=""),"",E586-D586)</f>
        <v/>
      </c>
      <c r="K586" s="13" t="str">
        <f aca="false">IF(OR(C586="",D586=""),"",D586-C586)</f>
        <v/>
      </c>
      <c r="L586" s="13" t="str">
        <f aca="false">IF(A586="","",IF(OR(I586="Devolvida",N(H586)&gt;0),"Sim","Não"))</f>
        <v/>
      </c>
    </row>
    <row r="587" customFormat="false" ht="15" hidden="false" customHeight="false" outlineLevel="0" collapsed="false">
      <c r="A587" s="18"/>
      <c r="B587" s="18"/>
      <c r="C587" s="25"/>
      <c r="D587" s="25"/>
      <c r="E587" s="25"/>
      <c r="F587" s="18"/>
      <c r="G587" s="18"/>
      <c r="H587" s="18"/>
      <c r="I587" s="18"/>
      <c r="J587" s="13" t="str">
        <f aca="false">IF(OR(D587="",E587=""),"",E587-D587)</f>
        <v/>
      </c>
      <c r="K587" s="13" t="str">
        <f aca="false">IF(OR(C587="",D587=""),"",D587-C587)</f>
        <v/>
      </c>
      <c r="L587" s="13" t="str">
        <f aca="false">IF(A587="","",IF(OR(I587="Devolvida",N(H587)&gt;0),"Sim","Não"))</f>
        <v/>
      </c>
    </row>
    <row r="588" customFormat="false" ht="15" hidden="false" customHeight="false" outlineLevel="0" collapsed="false">
      <c r="A588" s="18"/>
      <c r="B588" s="18"/>
      <c r="C588" s="25"/>
      <c r="D588" s="25"/>
      <c r="E588" s="25"/>
      <c r="F588" s="18"/>
      <c r="G588" s="18"/>
      <c r="H588" s="18"/>
      <c r="I588" s="18"/>
      <c r="J588" s="13" t="str">
        <f aca="false">IF(OR(D588="",E588=""),"",E588-D588)</f>
        <v/>
      </c>
      <c r="K588" s="13" t="str">
        <f aca="false">IF(OR(C588="",D588=""),"",D588-C588)</f>
        <v/>
      </c>
      <c r="L588" s="13" t="str">
        <f aca="false">IF(A588="","",IF(OR(I588="Devolvida",N(H588)&gt;0),"Sim","Não"))</f>
        <v/>
      </c>
    </row>
    <row r="589" customFormat="false" ht="15" hidden="false" customHeight="false" outlineLevel="0" collapsed="false">
      <c r="A589" s="18"/>
      <c r="B589" s="18"/>
      <c r="C589" s="25"/>
      <c r="D589" s="25"/>
      <c r="E589" s="25"/>
      <c r="F589" s="18"/>
      <c r="G589" s="18"/>
      <c r="H589" s="18"/>
      <c r="I589" s="18"/>
      <c r="J589" s="13" t="str">
        <f aca="false">IF(OR(D589="",E589=""),"",E589-D589)</f>
        <v/>
      </c>
      <c r="K589" s="13" t="str">
        <f aca="false">IF(OR(C589="",D589=""),"",D589-C589)</f>
        <v/>
      </c>
      <c r="L589" s="13" t="str">
        <f aca="false">IF(A589="","",IF(OR(I589="Devolvida",N(H589)&gt;0),"Sim","Não"))</f>
        <v/>
      </c>
    </row>
    <row r="590" customFormat="false" ht="15" hidden="false" customHeight="false" outlineLevel="0" collapsed="false">
      <c r="A590" s="18"/>
      <c r="B590" s="18"/>
      <c r="C590" s="25"/>
      <c r="D590" s="25"/>
      <c r="E590" s="25"/>
      <c r="F590" s="18"/>
      <c r="G590" s="18"/>
      <c r="H590" s="18"/>
      <c r="I590" s="18"/>
      <c r="J590" s="13" t="str">
        <f aca="false">IF(OR(D590="",E590=""),"",E590-D590)</f>
        <v/>
      </c>
      <c r="K590" s="13" t="str">
        <f aca="false">IF(OR(C590="",D590=""),"",D590-C590)</f>
        <v/>
      </c>
      <c r="L590" s="13" t="str">
        <f aca="false">IF(A590="","",IF(OR(I590="Devolvida",N(H590)&gt;0),"Sim","Não"))</f>
        <v/>
      </c>
    </row>
    <row r="591" customFormat="false" ht="15" hidden="false" customHeight="false" outlineLevel="0" collapsed="false">
      <c r="A591" s="18"/>
      <c r="B591" s="18"/>
      <c r="C591" s="25"/>
      <c r="D591" s="25"/>
      <c r="E591" s="25"/>
      <c r="F591" s="18"/>
      <c r="G591" s="18"/>
      <c r="H591" s="18"/>
      <c r="I591" s="18"/>
      <c r="J591" s="13" t="str">
        <f aca="false">IF(OR(D591="",E591=""),"",E591-D591)</f>
        <v/>
      </c>
      <c r="K591" s="13" t="str">
        <f aca="false">IF(OR(C591="",D591=""),"",D591-C591)</f>
        <v/>
      </c>
      <c r="L591" s="13" t="str">
        <f aca="false">IF(A591="","",IF(OR(I591="Devolvida",N(H591)&gt;0),"Sim","Não"))</f>
        <v/>
      </c>
    </row>
    <row r="592" customFormat="false" ht="15" hidden="false" customHeight="false" outlineLevel="0" collapsed="false">
      <c r="A592" s="18"/>
      <c r="B592" s="18"/>
      <c r="C592" s="25"/>
      <c r="D592" s="25"/>
      <c r="E592" s="25"/>
      <c r="F592" s="18"/>
      <c r="G592" s="18"/>
      <c r="H592" s="18"/>
      <c r="I592" s="18"/>
      <c r="J592" s="13" t="str">
        <f aca="false">IF(OR(D592="",E592=""),"",E592-D592)</f>
        <v/>
      </c>
      <c r="K592" s="13" t="str">
        <f aca="false">IF(OR(C592="",D592=""),"",D592-C592)</f>
        <v/>
      </c>
      <c r="L592" s="13" t="str">
        <f aca="false">IF(A592="","",IF(OR(I592="Devolvida",N(H592)&gt;0),"Sim","Não"))</f>
        <v/>
      </c>
    </row>
    <row r="593" customFormat="false" ht="15" hidden="false" customHeight="false" outlineLevel="0" collapsed="false">
      <c r="A593" s="18"/>
      <c r="B593" s="18"/>
      <c r="C593" s="25"/>
      <c r="D593" s="25"/>
      <c r="E593" s="25"/>
      <c r="F593" s="18"/>
      <c r="G593" s="18"/>
      <c r="H593" s="18"/>
      <c r="I593" s="18"/>
      <c r="J593" s="13" t="str">
        <f aca="false">IF(OR(D593="",E593=""),"",E593-D593)</f>
        <v/>
      </c>
      <c r="K593" s="13" t="str">
        <f aca="false">IF(OR(C593="",D593=""),"",D593-C593)</f>
        <v/>
      </c>
      <c r="L593" s="13" t="str">
        <f aca="false">IF(A593="","",IF(OR(I593="Devolvida",N(H593)&gt;0),"Sim","Não"))</f>
        <v/>
      </c>
    </row>
    <row r="594" customFormat="false" ht="15" hidden="false" customHeight="false" outlineLevel="0" collapsed="false">
      <c r="A594" s="18"/>
      <c r="B594" s="18"/>
      <c r="C594" s="25"/>
      <c r="D594" s="25"/>
      <c r="E594" s="25"/>
      <c r="F594" s="18"/>
      <c r="G594" s="18"/>
      <c r="H594" s="18"/>
      <c r="I594" s="18"/>
      <c r="J594" s="13" t="str">
        <f aca="false">IF(OR(D594="",E594=""),"",E594-D594)</f>
        <v/>
      </c>
      <c r="K594" s="13" t="str">
        <f aca="false">IF(OR(C594="",D594=""),"",D594-C594)</f>
        <v/>
      </c>
      <c r="L594" s="13" t="str">
        <f aca="false">IF(A594="","",IF(OR(I594="Devolvida",N(H594)&gt;0),"Sim","Não"))</f>
        <v/>
      </c>
    </row>
    <row r="595" customFormat="false" ht="15" hidden="false" customHeight="false" outlineLevel="0" collapsed="false">
      <c r="A595" s="18"/>
      <c r="B595" s="18"/>
      <c r="C595" s="25"/>
      <c r="D595" s="25"/>
      <c r="E595" s="25"/>
      <c r="F595" s="18"/>
      <c r="G595" s="18"/>
      <c r="H595" s="18"/>
      <c r="I595" s="18"/>
      <c r="J595" s="13" t="str">
        <f aca="false">IF(OR(D595="",E595=""),"",E595-D595)</f>
        <v/>
      </c>
      <c r="K595" s="13" t="str">
        <f aca="false">IF(OR(C595="",D595=""),"",D595-C595)</f>
        <v/>
      </c>
      <c r="L595" s="13" t="str">
        <f aca="false">IF(A595="","",IF(OR(I595="Devolvida",N(H595)&gt;0),"Sim","Não"))</f>
        <v/>
      </c>
    </row>
    <row r="596" customFormat="false" ht="15" hidden="false" customHeight="false" outlineLevel="0" collapsed="false">
      <c r="A596" s="18"/>
      <c r="B596" s="18"/>
      <c r="C596" s="25"/>
      <c r="D596" s="25"/>
      <c r="E596" s="25"/>
      <c r="F596" s="18"/>
      <c r="G596" s="18"/>
      <c r="H596" s="18"/>
      <c r="I596" s="18"/>
      <c r="J596" s="13" t="str">
        <f aca="false">IF(OR(D596="",E596=""),"",E596-D596)</f>
        <v/>
      </c>
      <c r="K596" s="13" t="str">
        <f aca="false">IF(OR(C596="",D596=""),"",D596-C596)</f>
        <v/>
      </c>
      <c r="L596" s="13" t="str">
        <f aca="false">IF(A596="","",IF(OR(I596="Devolvida",N(H596)&gt;0),"Sim","Não"))</f>
        <v/>
      </c>
    </row>
    <row r="597" customFormat="false" ht="15" hidden="false" customHeight="false" outlineLevel="0" collapsed="false">
      <c r="A597" s="18"/>
      <c r="B597" s="18"/>
      <c r="C597" s="25"/>
      <c r="D597" s="25"/>
      <c r="E597" s="25"/>
      <c r="F597" s="18"/>
      <c r="G597" s="18"/>
      <c r="H597" s="18"/>
      <c r="I597" s="18"/>
      <c r="J597" s="13" t="str">
        <f aca="false">IF(OR(D597="",E597=""),"",E597-D597)</f>
        <v/>
      </c>
      <c r="K597" s="13" t="str">
        <f aca="false">IF(OR(C597="",D597=""),"",D597-C597)</f>
        <v/>
      </c>
      <c r="L597" s="13" t="str">
        <f aca="false">IF(A597="","",IF(OR(I597="Devolvida",N(H597)&gt;0),"Sim","Não"))</f>
        <v/>
      </c>
    </row>
    <row r="598" customFormat="false" ht="15" hidden="false" customHeight="false" outlineLevel="0" collapsed="false">
      <c r="A598" s="18"/>
      <c r="B598" s="18"/>
      <c r="C598" s="25"/>
      <c r="D598" s="25"/>
      <c r="E598" s="25"/>
      <c r="F598" s="18"/>
      <c r="G598" s="18"/>
      <c r="H598" s="18"/>
      <c r="I598" s="18"/>
      <c r="J598" s="13" t="str">
        <f aca="false">IF(OR(D598="",E598=""),"",E598-D598)</f>
        <v/>
      </c>
      <c r="K598" s="13" t="str">
        <f aca="false">IF(OR(C598="",D598=""),"",D598-C598)</f>
        <v/>
      </c>
      <c r="L598" s="13" t="str">
        <f aca="false">IF(A598="","",IF(OR(I598="Devolvida",N(H598)&gt;0),"Sim","Não"))</f>
        <v/>
      </c>
    </row>
    <row r="599" customFormat="false" ht="15" hidden="false" customHeight="false" outlineLevel="0" collapsed="false">
      <c r="A599" s="18"/>
      <c r="B599" s="18"/>
      <c r="C599" s="25"/>
      <c r="D599" s="25"/>
      <c r="E599" s="25"/>
      <c r="F599" s="18"/>
      <c r="G599" s="18"/>
      <c r="H599" s="18"/>
      <c r="I599" s="18"/>
      <c r="J599" s="13" t="str">
        <f aca="false">IF(OR(D599="",E599=""),"",E599-D599)</f>
        <v/>
      </c>
      <c r="K599" s="13" t="str">
        <f aca="false">IF(OR(C599="",D599=""),"",D599-C599)</f>
        <v/>
      </c>
      <c r="L599" s="13" t="str">
        <f aca="false">IF(A599="","",IF(OR(I599="Devolvida",N(H599)&gt;0),"Sim","Não"))</f>
        <v/>
      </c>
    </row>
    <row r="600" customFormat="false" ht="15" hidden="false" customHeight="false" outlineLevel="0" collapsed="false">
      <c r="A600" s="18"/>
      <c r="B600" s="18"/>
      <c r="C600" s="25"/>
      <c r="D600" s="25"/>
      <c r="E600" s="25"/>
      <c r="F600" s="18"/>
      <c r="G600" s="18"/>
      <c r="H600" s="18"/>
      <c r="I600" s="18"/>
      <c r="J600" s="13" t="str">
        <f aca="false">IF(OR(D600="",E600=""),"",E600-D600)</f>
        <v/>
      </c>
      <c r="K600" s="13" t="str">
        <f aca="false">IF(OR(C600="",D600=""),"",D600-C600)</f>
        <v/>
      </c>
      <c r="L600" s="13" t="str">
        <f aca="false">IF(A600="","",IF(OR(I600="Devolvida",N(H600)&gt;0),"Sim","Não"))</f>
        <v/>
      </c>
    </row>
    <row r="601" customFormat="false" ht="15" hidden="false" customHeight="false" outlineLevel="0" collapsed="false">
      <c r="A601" s="18"/>
      <c r="B601" s="18"/>
      <c r="C601" s="25"/>
      <c r="D601" s="25"/>
      <c r="E601" s="25"/>
      <c r="F601" s="18"/>
      <c r="G601" s="18"/>
      <c r="H601" s="18"/>
      <c r="I601" s="18"/>
      <c r="J601" s="13" t="str">
        <f aca="false">IF(OR(D601="",E601=""),"",E601-D601)</f>
        <v/>
      </c>
      <c r="K601" s="13" t="str">
        <f aca="false">IF(OR(C601="",D601=""),"",D601-C601)</f>
        <v/>
      </c>
      <c r="L601" s="13" t="str">
        <f aca="false">IF(A601="","",IF(OR(I601="Devolvida",N(H601)&gt;0),"Sim","Não"))</f>
        <v/>
      </c>
    </row>
    <row r="602" customFormat="false" ht="15" hidden="false" customHeight="false" outlineLevel="0" collapsed="false">
      <c r="A602" s="18"/>
      <c r="B602" s="18"/>
      <c r="C602" s="25"/>
      <c r="D602" s="25"/>
      <c r="E602" s="25"/>
      <c r="F602" s="18"/>
      <c r="G602" s="18"/>
      <c r="H602" s="18"/>
      <c r="I602" s="18"/>
      <c r="J602" s="13" t="str">
        <f aca="false">IF(OR(D602="",E602=""),"",E602-D602)</f>
        <v/>
      </c>
      <c r="K602" s="13" t="str">
        <f aca="false">IF(OR(C602="",D602=""),"",D602-C602)</f>
        <v/>
      </c>
      <c r="L602" s="13" t="str">
        <f aca="false">IF(A602="","",IF(OR(I602="Devolvida",N(H602)&gt;0),"Sim","Não"))</f>
        <v/>
      </c>
    </row>
    <row r="603" customFormat="false" ht="15" hidden="false" customHeight="false" outlineLevel="0" collapsed="false">
      <c r="A603" s="18"/>
      <c r="B603" s="18"/>
      <c r="C603" s="25"/>
      <c r="D603" s="25"/>
      <c r="E603" s="25"/>
      <c r="F603" s="18"/>
      <c r="G603" s="18"/>
      <c r="H603" s="18"/>
      <c r="I603" s="18"/>
      <c r="J603" s="13" t="str">
        <f aca="false">IF(OR(D603="",E603=""),"",E603-D603)</f>
        <v/>
      </c>
      <c r="K603" s="13" t="str">
        <f aca="false">IF(OR(C603="",D603=""),"",D603-C603)</f>
        <v/>
      </c>
      <c r="L603" s="13" t="str">
        <f aca="false">IF(A603="","",IF(OR(I603="Devolvida",N(H603)&gt;0),"Sim","Não"))</f>
        <v/>
      </c>
    </row>
    <row r="604" customFormat="false" ht="15" hidden="false" customHeight="false" outlineLevel="0" collapsed="false">
      <c r="A604" s="18"/>
      <c r="B604" s="18"/>
      <c r="C604" s="25"/>
      <c r="D604" s="25"/>
      <c r="E604" s="25"/>
      <c r="F604" s="18"/>
      <c r="G604" s="18"/>
      <c r="H604" s="18"/>
      <c r="I604" s="18"/>
      <c r="J604" s="13" t="str">
        <f aca="false">IF(OR(D604="",E604=""),"",E604-D604)</f>
        <v/>
      </c>
      <c r="K604" s="13" t="str">
        <f aca="false">IF(OR(C604="",D604=""),"",D604-C604)</f>
        <v/>
      </c>
      <c r="L604" s="13" t="str">
        <f aca="false">IF(A604="","",IF(OR(I604="Devolvida",N(H604)&gt;0),"Sim","Não"))</f>
        <v/>
      </c>
    </row>
    <row r="605" customFormat="false" ht="15" hidden="false" customHeight="false" outlineLevel="0" collapsed="false">
      <c r="A605" s="18"/>
      <c r="B605" s="18"/>
      <c r="C605" s="25"/>
      <c r="D605" s="25"/>
      <c r="E605" s="25"/>
      <c r="F605" s="18"/>
      <c r="G605" s="18"/>
      <c r="H605" s="18"/>
      <c r="I605" s="18"/>
      <c r="J605" s="13" t="str">
        <f aca="false">IF(OR(D605="",E605=""),"",E605-D605)</f>
        <v/>
      </c>
      <c r="K605" s="13" t="str">
        <f aca="false">IF(OR(C605="",D605=""),"",D605-C605)</f>
        <v/>
      </c>
      <c r="L605" s="13" t="str">
        <f aca="false">IF(A605="","",IF(OR(I605="Devolvida",N(H605)&gt;0),"Sim","Não"))</f>
        <v/>
      </c>
    </row>
    <row r="606" customFormat="false" ht="15" hidden="false" customHeight="false" outlineLevel="0" collapsed="false">
      <c r="A606" s="18"/>
      <c r="B606" s="18"/>
      <c r="C606" s="25"/>
      <c r="D606" s="25"/>
      <c r="E606" s="25"/>
      <c r="F606" s="18"/>
      <c r="G606" s="18"/>
      <c r="H606" s="18"/>
      <c r="I606" s="18"/>
      <c r="J606" s="13" t="str">
        <f aca="false">IF(OR(D606="",E606=""),"",E606-D606)</f>
        <v/>
      </c>
      <c r="K606" s="13" t="str">
        <f aca="false">IF(OR(C606="",D606=""),"",D606-C606)</f>
        <v/>
      </c>
      <c r="L606" s="13" t="str">
        <f aca="false">IF(A606="","",IF(OR(I606="Devolvida",N(H606)&gt;0),"Sim","Não"))</f>
        <v/>
      </c>
    </row>
    <row r="607" customFormat="false" ht="15" hidden="false" customHeight="false" outlineLevel="0" collapsed="false">
      <c r="A607" s="18"/>
      <c r="B607" s="18"/>
      <c r="C607" s="25"/>
      <c r="D607" s="25"/>
      <c r="E607" s="25"/>
      <c r="F607" s="18"/>
      <c r="G607" s="18"/>
      <c r="H607" s="18"/>
      <c r="I607" s="18"/>
      <c r="J607" s="13" t="str">
        <f aca="false">IF(OR(D607="",E607=""),"",E607-D607)</f>
        <v/>
      </c>
      <c r="K607" s="13" t="str">
        <f aca="false">IF(OR(C607="",D607=""),"",D607-C607)</f>
        <v/>
      </c>
      <c r="L607" s="13" t="str">
        <f aca="false">IF(A607="","",IF(OR(I607="Devolvida",N(H607)&gt;0),"Sim","Não"))</f>
        <v/>
      </c>
    </row>
    <row r="608" customFormat="false" ht="15" hidden="false" customHeight="false" outlineLevel="0" collapsed="false">
      <c r="A608" s="18"/>
      <c r="B608" s="18"/>
      <c r="C608" s="25"/>
      <c r="D608" s="25"/>
      <c r="E608" s="25"/>
      <c r="F608" s="18"/>
      <c r="G608" s="18"/>
      <c r="H608" s="18"/>
      <c r="I608" s="18"/>
      <c r="J608" s="13" t="str">
        <f aca="false">IF(OR(D608="",E608=""),"",E608-D608)</f>
        <v/>
      </c>
      <c r="K608" s="13" t="str">
        <f aca="false">IF(OR(C608="",D608=""),"",D608-C608)</f>
        <v/>
      </c>
      <c r="L608" s="13" t="str">
        <f aca="false">IF(A608="","",IF(OR(I608="Devolvida",N(H608)&gt;0),"Sim","Não"))</f>
        <v/>
      </c>
    </row>
    <row r="609" customFormat="false" ht="15" hidden="false" customHeight="false" outlineLevel="0" collapsed="false">
      <c r="A609" s="18"/>
      <c r="B609" s="18"/>
      <c r="C609" s="25"/>
      <c r="D609" s="25"/>
      <c r="E609" s="25"/>
      <c r="F609" s="18"/>
      <c r="G609" s="18"/>
      <c r="H609" s="18"/>
      <c r="I609" s="18"/>
      <c r="J609" s="13" t="str">
        <f aca="false">IF(OR(D609="",E609=""),"",E609-D609)</f>
        <v/>
      </c>
      <c r="K609" s="13" t="str">
        <f aca="false">IF(OR(C609="",D609=""),"",D609-C609)</f>
        <v/>
      </c>
      <c r="L609" s="13" t="str">
        <f aca="false">IF(A609="","",IF(OR(I609="Devolvida",N(H609)&gt;0),"Sim","Não"))</f>
        <v/>
      </c>
    </row>
    <row r="610" customFormat="false" ht="15" hidden="false" customHeight="false" outlineLevel="0" collapsed="false">
      <c r="A610" s="18"/>
      <c r="B610" s="18"/>
      <c r="C610" s="25"/>
      <c r="D610" s="25"/>
      <c r="E610" s="25"/>
      <c r="F610" s="18"/>
      <c r="G610" s="18"/>
      <c r="H610" s="18"/>
      <c r="I610" s="18"/>
      <c r="J610" s="13" t="str">
        <f aca="false">IF(OR(D610="",E610=""),"",E610-D610)</f>
        <v/>
      </c>
      <c r="K610" s="13" t="str">
        <f aca="false">IF(OR(C610="",D610=""),"",D610-C610)</f>
        <v/>
      </c>
      <c r="L610" s="13" t="str">
        <f aca="false">IF(A610="","",IF(OR(I610="Devolvida",N(H610)&gt;0),"Sim","Não"))</f>
        <v/>
      </c>
    </row>
    <row r="611" customFormat="false" ht="15" hidden="false" customHeight="false" outlineLevel="0" collapsed="false">
      <c r="A611" s="18"/>
      <c r="B611" s="18"/>
      <c r="C611" s="25"/>
      <c r="D611" s="25"/>
      <c r="E611" s="25"/>
      <c r="F611" s="18"/>
      <c r="G611" s="18"/>
      <c r="H611" s="18"/>
      <c r="I611" s="18"/>
      <c r="J611" s="13" t="str">
        <f aca="false">IF(OR(D611="",E611=""),"",E611-D611)</f>
        <v/>
      </c>
      <c r="K611" s="13" t="str">
        <f aca="false">IF(OR(C611="",D611=""),"",D611-C611)</f>
        <v/>
      </c>
      <c r="L611" s="13" t="str">
        <f aca="false">IF(A611="","",IF(OR(I611="Devolvida",N(H611)&gt;0),"Sim","Não"))</f>
        <v/>
      </c>
    </row>
    <row r="612" customFormat="false" ht="15" hidden="false" customHeight="false" outlineLevel="0" collapsed="false">
      <c r="A612" s="18"/>
      <c r="B612" s="18"/>
      <c r="C612" s="25"/>
      <c r="D612" s="25"/>
      <c r="E612" s="25"/>
      <c r="F612" s="18"/>
      <c r="G612" s="18"/>
      <c r="H612" s="18"/>
      <c r="I612" s="18"/>
      <c r="J612" s="13" t="str">
        <f aca="false">IF(OR(D612="",E612=""),"",E612-D612)</f>
        <v/>
      </c>
      <c r="K612" s="13" t="str">
        <f aca="false">IF(OR(C612="",D612=""),"",D612-C612)</f>
        <v/>
      </c>
      <c r="L612" s="13" t="str">
        <f aca="false">IF(A612="","",IF(OR(I612="Devolvida",N(H612)&gt;0),"Sim","Não"))</f>
        <v/>
      </c>
    </row>
    <row r="613" customFormat="false" ht="15" hidden="false" customHeight="false" outlineLevel="0" collapsed="false">
      <c r="A613" s="18"/>
      <c r="B613" s="18"/>
      <c r="C613" s="25"/>
      <c r="D613" s="25"/>
      <c r="E613" s="25"/>
      <c r="F613" s="18"/>
      <c r="G613" s="18"/>
      <c r="H613" s="18"/>
      <c r="I613" s="18"/>
      <c r="J613" s="13" t="str">
        <f aca="false">IF(OR(D613="",E613=""),"",E613-D613)</f>
        <v/>
      </c>
      <c r="K613" s="13" t="str">
        <f aca="false">IF(OR(C613="",D613=""),"",D613-C613)</f>
        <v/>
      </c>
      <c r="L613" s="13" t="str">
        <f aca="false">IF(A613="","",IF(OR(I613="Devolvida",N(H613)&gt;0),"Sim","Não"))</f>
        <v/>
      </c>
    </row>
    <row r="614" customFormat="false" ht="15" hidden="false" customHeight="false" outlineLevel="0" collapsed="false">
      <c r="A614" s="18"/>
      <c r="B614" s="18"/>
      <c r="C614" s="25"/>
      <c r="D614" s="25"/>
      <c r="E614" s="25"/>
      <c r="F614" s="18"/>
      <c r="G614" s="18"/>
      <c r="H614" s="18"/>
      <c r="I614" s="18"/>
      <c r="J614" s="13" t="str">
        <f aca="false">IF(OR(D614="",E614=""),"",E614-D614)</f>
        <v/>
      </c>
      <c r="K614" s="13" t="str">
        <f aca="false">IF(OR(C614="",D614=""),"",D614-C614)</f>
        <v/>
      </c>
      <c r="L614" s="13" t="str">
        <f aca="false">IF(A614="","",IF(OR(I614="Devolvida",N(H614)&gt;0),"Sim","Não"))</f>
        <v/>
      </c>
    </row>
    <row r="615" customFormat="false" ht="15" hidden="false" customHeight="false" outlineLevel="0" collapsed="false">
      <c r="A615" s="18"/>
      <c r="B615" s="18"/>
      <c r="C615" s="25"/>
      <c r="D615" s="25"/>
      <c r="E615" s="25"/>
      <c r="F615" s="18"/>
      <c r="G615" s="18"/>
      <c r="H615" s="18"/>
      <c r="I615" s="18"/>
      <c r="J615" s="13" t="str">
        <f aca="false">IF(OR(D615="",E615=""),"",E615-D615)</f>
        <v/>
      </c>
      <c r="K615" s="13" t="str">
        <f aca="false">IF(OR(C615="",D615=""),"",D615-C615)</f>
        <v/>
      </c>
      <c r="L615" s="13" t="str">
        <f aca="false">IF(A615="","",IF(OR(I615="Devolvida",N(H615)&gt;0),"Sim","Não"))</f>
        <v/>
      </c>
    </row>
    <row r="616" customFormat="false" ht="15" hidden="false" customHeight="false" outlineLevel="0" collapsed="false">
      <c r="A616" s="18"/>
      <c r="B616" s="18"/>
      <c r="C616" s="25"/>
      <c r="D616" s="25"/>
      <c r="E616" s="25"/>
      <c r="F616" s="18"/>
      <c r="G616" s="18"/>
      <c r="H616" s="18"/>
      <c r="I616" s="18"/>
      <c r="J616" s="13" t="str">
        <f aca="false">IF(OR(D616="",E616=""),"",E616-D616)</f>
        <v/>
      </c>
      <c r="K616" s="13" t="str">
        <f aca="false">IF(OR(C616="",D616=""),"",D616-C616)</f>
        <v/>
      </c>
      <c r="L616" s="13" t="str">
        <f aca="false">IF(A616="","",IF(OR(I616="Devolvida",N(H616)&gt;0),"Sim","Não"))</f>
        <v/>
      </c>
    </row>
    <row r="617" customFormat="false" ht="15" hidden="false" customHeight="false" outlineLevel="0" collapsed="false">
      <c r="A617" s="18"/>
      <c r="B617" s="18"/>
      <c r="C617" s="25"/>
      <c r="D617" s="25"/>
      <c r="E617" s="25"/>
      <c r="F617" s="18"/>
      <c r="G617" s="18"/>
      <c r="H617" s="18"/>
      <c r="I617" s="18"/>
      <c r="J617" s="13" t="str">
        <f aca="false">IF(OR(D617="",E617=""),"",E617-D617)</f>
        <v/>
      </c>
      <c r="K617" s="13" t="str">
        <f aca="false">IF(OR(C617="",D617=""),"",D617-C617)</f>
        <v/>
      </c>
      <c r="L617" s="13" t="str">
        <f aca="false">IF(A617="","",IF(OR(I617="Devolvida",N(H617)&gt;0),"Sim","Não"))</f>
        <v/>
      </c>
    </row>
    <row r="618" customFormat="false" ht="15" hidden="false" customHeight="false" outlineLevel="0" collapsed="false">
      <c r="A618" s="18"/>
      <c r="B618" s="18"/>
      <c r="C618" s="25"/>
      <c r="D618" s="25"/>
      <c r="E618" s="25"/>
      <c r="F618" s="18"/>
      <c r="G618" s="18"/>
      <c r="H618" s="18"/>
      <c r="I618" s="18"/>
      <c r="J618" s="13" t="str">
        <f aca="false">IF(OR(D618="",E618=""),"",E618-D618)</f>
        <v/>
      </c>
      <c r="K618" s="13" t="str">
        <f aca="false">IF(OR(C618="",D618=""),"",D618-C618)</f>
        <v/>
      </c>
      <c r="L618" s="13" t="str">
        <f aca="false">IF(A618="","",IF(OR(I618="Devolvida",N(H618)&gt;0),"Sim","Não"))</f>
        <v/>
      </c>
    </row>
    <row r="619" customFormat="false" ht="15" hidden="false" customHeight="false" outlineLevel="0" collapsed="false">
      <c r="A619" s="18"/>
      <c r="B619" s="18"/>
      <c r="C619" s="25"/>
      <c r="D619" s="25"/>
      <c r="E619" s="25"/>
      <c r="F619" s="18"/>
      <c r="G619" s="18"/>
      <c r="H619" s="18"/>
      <c r="I619" s="18"/>
      <c r="J619" s="13" t="str">
        <f aca="false">IF(OR(D619="",E619=""),"",E619-D619)</f>
        <v/>
      </c>
      <c r="K619" s="13" t="str">
        <f aca="false">IF(OR(C619="",D619=""),"",D619-C619)</f>
        <v/>
      </c>
      <c r="L619" s="13" t="str">
        <f aca="false">IF(A619="","",IF(OR(I619="Devolvida",N(H619)&gt;0),"Sim","Não"))</f>
        <v/>
      </c>
    </row>
    <row r="620" customFormat="false" ht="15" hidden="false" customHeight="false" outlineLevel="0" collapsed="false">
      <c r="A620" s="18"/>
      <c r="B620" s="18"/>
      <c r="C620" s="25"/>
      <c r="D620" s="25"/>
      <c r="E620" s="25"/>
      <c r="F620" s="18"/>
      <c r="G620" s="18"/>
      <c r="H620" s="18"/>
      <c r="I620" s="18"/>
      <c r="J620" s="13" t="str">
        <f aca="false">IF(OR(D620="",E620=""),"",E620-D620)</f>
        <v/>
      </c>
      <c r="K620" s="13" t="str">
        <f aca="false">IF(OR(C620="",D620=""),"",D620-C620)</f>
        <v/>
      </c>
      <c r="L620" s="13" t="str">
        <f aca="false">IF(A620="","",IF(OR(I620="Devolvida",N(H620)&gt;0),"Sim","Não"))</f>
        <v/>
      </c>
    </row>
    <row r="621" customFormat="false" ht="15" hidden="false" customHeight="false" outlineLevel="0" collapsed="false">
      <c r="A621" s="18"/>
      <c r="B621" s="18"/>
      <c r="C621" s="25"/>
      <c r="D621" s="25"/>
      <c r="E621" s="25"/>
      <c r="F621" s="18"/>
      <c r="G621" s="18"/>
      <c r="H621" s="18"/>
      <c r="I621" s="18"/>
      <c r="J621" s="13" t="str">
        <f aca="false">IF(OR(D621="",E621=""),"",E621-D621)</f>
        <v/>
      </c>
      <c r="K621" s="13" t="str">
        <f aca="false">IF(OR(C621="",D621=""),"",D621-C621)</f>
        <v/>
      </c>
      <c r="L621" s="13" t="str">
        <f aca="false">IF(A621="","",IF(OR(I621="Devolvida",N(H621)&gt;0),"Sim","Não"))</f>
        <v/>
      </c>
    </row>
    <row r="622" customFormat="false" ht="15" hidden="false" customHeight="false" outlineLevel="0" collapsed="false">
      <c r="A622" s="18"/>
      <c r="B622" s="18"/>
      <c r="C622" s="25"/>
      <c r="D622" s="25"/>
      <c r="E622" s="25"/>
      <c r="F622" s="18"/>
      <c r="G622" s="18"/>
      <c r="H622" s="18"/>
      <c r="I622" s="18"/>
      <c r="J622" s="13" t="str">
        <f aca="false">IF(OR(D622="",E622=""),"",E622-D622)</f>
        <v/>
      </c>
      <c r="K622" s="13" t="str">
        <f aca="false">IF(OR(C622="",D622=""),"",D622-C622)</f>
        <v/>
      </c>
      <c r="L622" s="13" t="str">
        <f aca="false">IF(A622="","",IF(OR(I622="Devolvida",N(H622)&gt;0),"Sim","Não"))</f>
        <v/>
      </c>
    </row>
    <row r="623" customFormat="false" ht="15" hidden="false" customHeight="false" outlineLevel="0" collapsed="false">
      <c r="A623" s="18"/>
      <c r="B623" s="18"/>
      <c r="C623" s="25"/>
      <c r="D623" s="25"/>
      <c r="E623" s="25"/>
      <c r="F623" s="18"/>
      <c r="G623" s="18"/>
      <c r="H623" s="18"/>
      <c r="I623" s="18"/>
      <c r="J623" s="13" t="str">
        <f aca="false">IF(OR(D623="",E623=""),"",E623-D623)</f>
        <v/>
      </c>
      <c r="K623" s="13" t="str">
        <f aca="false">IF(OR(C623="",D623=""),"",D623-C623)</f>
        <v/>
      </c>
      <c r="L623" s="13" t="str">
        <f aca="false">IF(A623="","",IF(OR(I623="Devolvida",N(H623)&gt;0),"Sim","Não"))</f>
        <v/>
      </c>
    </row>
    <row r="624" customFormat="false" ht="15" hidden="false" customHeight="false" outlineLevel="0" collapsed="false">
      <c r="A624" s="18"/>
      <c r="B624" s="18"/>
      <c r="C624" s="25"/>
      <c r="D624" s="25"/>
      <c r="E624" s="25"/>
      <c r="F624" s="18"/>
      <c r="G624" s="18"/>
      <c r="H624" s="18"/>
      <c r="I624" s="18"/>
      <c r="J624" s="13" t="str">
        <f aca="false">IF(OR(D624="",E624=""),"",E624-D624)</f>
        <v/>
      </c>
      <c r="K624" s="13" t="str">
        <f aca="false">IF(OR(C624="",D624=""),"",D624-C624)</f>
        <v/>
      </c>
      <c r="L624" s="13" t="str">
        <f aca="false">IF(A624="","",IF(OR(I624="Devolvida",N(H624)&gt;0),"Sim","Não"))</f>
        <v/>
      </c>
    </row>
    <row r="625" customFormat="false" ht="15" hidden="false" customHeight="false" outlineLevel="0" collapsed="false">
      <c r="A625" s="18"/>
      <c r="B625" s="18"/>
      <c r="C625" s="25"/>
      <c r="D625" s="25"/>
      <c r="E625" s="25"/>
      <c r="F625" s="18"/>
      <c r="G625" s="18"/>
      <c r="H625" s="18"/>
      <c r="I625" s="18"/>
      <c r="J625" s="13" t="str">
        <f aca="false">IF(OR(D625="",E625=""),"",E625-D625)</f>
        <v/>
      </c>
      <c r="K625" s="13" t="str">
        <f aca="false">IF(OR(C625="",D625=""),"",D625-C625)</f>
        <v/>
      </c>
      <c r="L625" s="13" t="str">
        <f aca="false">IF(A625="","",IF(OR(I625="Devolvida",N(H625)&gt;0),"Sim","Não"))</f>
        <v/>
      </c>
    </row>
    <row r="626" customFormat="false" ht="15" hidden="false" customHeight="false" outlineLevel="0" collapsed="false">
      <c r="A626" s="18"/>
      <c r="B626" s="18"/>
      <c r="C626" s="25"/>
      <c r="D626" s="25"/>
      <c r="E626" s="25"/>
      <c r="F626" s="18"/>
      <c r="G626" s="18"/>
      <c r="H626" s="18"/>
      <c r="I626" s="18"/>
      <c r="J626" s="13" t="str">
        <f aca="false">IF(OR(D626="",E626=""),"",E626-D626)</f>
        <v/>
      </c>
      <c r="K626" s="13" t="str">
        <f aca="false">IF(OR(C626="",D626=""),"",D626-C626)</f>
        <v/>
      </c>
      <c r="L626" s="13" t="str">
        <f aca="false">IF(A626="","",IF(OR(I626="Devolvida",N(H626)&gt;0),"Sim","Não"))</f>
        <v/>
      </c>
    </row>
    <row r="627" customFormat="false" ht="15" hidden="false" customHeight="false" outlineLevel="0" collapsed="false">
      <c r="A627" s="18"/>
      <c r="B627" s="18"/>
      <c r="C627" s="25"/>
      <c r="D627" s="25"/>
      <c r="E627" s="25"/>
      <c r="F627" s="18"/>
      <c r="G627" s="18"/>
      <c r="H627" s="18"/>
      <c r="I627" s="18"/>
      <c r="J627" s="13" t="str">
        <f aca="false">IF(OR(D627="",E627=""),"",E627-D627)</f>
        <v/>
      </c>
      <c r="K627" s="13" t="str">
        <f aca="false">IF(OR(C627="",D627=""),"",D627-C627)</f>
        <v/>
      </c>
      <c r="L627" s="13" t="str">
        <f aca="false">IF(A627="","",IF(OR(I627="Devolvida",N(H627)&gt;0),"Sim","Não"))</f>
        <v/>
      </c>
    </row>
    <row r="628" customFormat="false" ht="15" hidden="false" customHeight="false" outlineLevel="0" collapsed="false">
      <c r="A628" s="18"/>
      <c r="B628" s="18"/>
      <c r="C628" s="25"/>
      <c r="D628" s="25"/>
      <c r="E628" s="25"/>
      <c r="F628" s="18"/>
      <c r="G628" s="18"/>
      <c r="H628" s="18"/>
      <c r="I628" s="18"/>
      <c r="J628" s="13" t="str">
        <f aca="false">IF(OR(D628="",E628=""),"",E628-D628)</f>
        <v/>
      </c>
      <c r="K628" s="13" t="str">
        <f aca="false">IF(OR(C628="",D628=""),"",D628-C628)</f>
        <v/>
      </c>
      <c r="L628" s="13" t="str">
        <f aca="false">IF(A628="","",IF(OR(I628="Devolvida",N(H628)&gt;0),"Sim","Não"))</f>
        <v/>
      </c>
    </row>
    <row r="629" customFormat="false" ht="15" hidden="false" customHeight="false" outlineLevel="0" collapsed="false">
      <c r="A629" s="18"/>
      <c r="B629" s="18"/>
      <c r="C629" s="25"/>
      <c r="D629" s="25"/>
      <c r="E629" s="25"/>
      <c r="F629" s="18"/>
      <c r="G629" s="18"/>
      <c r="H629" s="18"/>
      <c r="I629" s="18"/>
      <c r="J629" s="13" t="str">
        <f aca="false">IF(OR(D629="",E629=""),"",E629-D629)</f>
        <v/>
      </c>
      <c r="K629" s="13" t="str">
        <f aca="false">IF(OR(C629="",D629=""),"",D629-C629)</f>
        <v/>
      </c>
      <c r="L629" s="13" t="str">
        <f aca="false">IF(A629="","",IF(OR(I629="Devolvida",N(H629)&gt;0),"Sim","Não"))</f>
        <v/>
      </c>
    </row>
    <row r="630" customFormat="false" ht="15" hidden="false" customHeight="false" outlineLevel="0" collapsed="false">
      <c r="A630" s="18"/>
      <c r="B630" s="18"/>
      <c r="C630" s="25"/>
      <c r="D630" s="25"/>
      <c r="E630" s="25"/>
      <c r="F630" s="18"/>
      <c r="G630" s="18"/>
      <c r="H630" s="18"/>
      <c r="I630" s="18"/>
      <c r="J630" s="13" t="str">
        <f aca="false">IF(OR(D630="",E630=""),"",E630-D630)</f>
        <v/>
      </c>
      <c r="K630" s="13" t="str">
        <f aca="false">IF(OR(C630="",D630=""),"",D630-C630)</f>
        <v/>
      </c>
      <c r="L630" s="13" t="str">
        <f aca="false">IF(A630="","",IF(OR(I630="Devolvida",N(H630)&gt;0),"Sim","Não"))</f>
        <v/>
      </c>
    </row>
    <row r="631" customFormat="false" ht="15" hidden="false" customHeight="false" outlineLevel="0" collapsed="false">
      <c r="A631" s="18"/>
      <c r="B631" s="18"/>
      <c r="C631" s="25"/>
      <c r="D631" s="25"/>
      <c r="E631" s="25"/>
      <c r="F631" s="18"/>
      <c r="G631" s="18"/>
      <c r="H631" s="18"/>
      <c r="I631" s="18"/>
      <c r="J631" s="13" t="str">
        <f aca="false">IF(OR(D631="",E631=""),"",E631-D631)</f>
        <v/>
      </c>
      <c r="K631" s="13" t="str">
        <f aca="false">IF(OR(C631="",D631=""),"",D631-C631)</f>
        <v/>
      </c>
      <c r="L631" s="13" t="str">
        <f aca="false">IF(A631="","",IF(OR(I631="Devolvida",N(H631)&gt;0),"Sim","Não"))</f>
        <v/>
      </c>
    </row>
    <row r="632" customFormat="false" ht="15" hidden="false" customHeight="false" outlineLevel="0" collapsed="false">
      <c r="A632" s="18"/>
      <c r="B632" s="18"/>
      <c r="C632" s="25"/>
      <c r="D632" s="25"/>
      <c r="E632" s="25"/>
      <c r="F632" s="18"/>
      <c r="G632" s="18"/>
      <c r="H632" s="18"/>
      <c r="I632" s="18"/>
      <c r="J632" s="13" t="str">
        <f aca="false">IF(OR(D632="",E632=""),"",E632-D632)</f>
        <v/>
      </c>
      <c r="K632" s="13" t="str">
        <f aca="false">IF(OR(C632="",D632=""),"",D632-C632)</f>
        <v/>
      </c>
      <c r="L632" s="13" t="str">
        <f aca="false">IF(A632="","",IF(OR(I632="Devolvida",N(H632)&gt;0),"Sim","Não"))</f>
        <v/>
      </c>
    </row>
    <row r="633" customFormat="false" ht="15" hidden="false" customHeight="false" outlineLevel="0" collapsed="false">
      <c r="A633" s="18"/>
      <c r="B633" s="18"/>
      <c r="C633" s="25"/>
      <c r="D633" s="25"/>
      <c r="E633" s="25"/>
      <c r="F633" s="18"/>
      <c r="G633" s="18"/>
      <c r="H633" s="18"/>
      <c r="I633" s="18"/>
      <c r="J633" s="13" t="str">
        <f aca="false">IF(OR(D633="",E633=""),"",E633-D633)</f>
        <v/>
      </c>
      <c r="K633" s="13" t="str">
        <f aca="false">IF(OR(C633="",D633=""),"",D633-C633)</f>
        <v/>
      </c>
      <c r="L633" s="13" t="str">
        <f aca="false">IF(A633="","",IF(OR(I633="Devolvida",N(H633)&gt;0),"Sim","Não"))</f>
        <v/>
      </c>
    </row>
    <row r="634" customFormat="false" ht="15" hidden="false" customHeight="false" outlineLevel="0" collapsed="false">
      <c r="A634" s="18"/>
      <c r="B634" s="18"/>
      <c r="C634" s="25"/>
      <c r="D634" s="25"/>
      <c r="E634" s="25"/>
      <c r="F634" s="18"/>
      <c r="G634" s="18"/>
      <c r="H634" s="18"/>
      <c r="I634" s="18"/>
      <c r="J634" s="13" t="str">
        <f aca="false">IF(OR(D634="",E634=""),"",E634-D634)</f>
        <v/>
      </c>
      <c r="K634" s="13" t="str">
        <f aca="false">IF(OR(C634="",D634=""),"",D634-C634)</f>
        <v/>
      </c>
      <c r="L634" s="13" t="str">
        <f aca="false">IF(A634="","",IF(OR(I634="Devolvida",N(H634)&gt;0),"Sim","Não"))</f>
        <v/>
      </c>
    </row>
    <row r="635" customFormat="false" ht="15" hidden="false" customHeight="false" outlineLevel="0" collapsed="false">
      <c r="A635" s="18"/>
      <c r="B635" s="18"/>
      <c r="C635" s="25"/>
      <c r="D635" s="25"/>
      <c r="E635" s="25"/>
      <c r="F635" s="18"/>
      <c r="G635" s="18"/>
      <c r="H635" s="18"/>
      <c r="I635" s="18"/>
      <c r="J635" s="13" t="str">
        <f aca="false">IF(OR(D635="",E635=""),"",E635-D635)</f>
        <v/>
      </c>
      <c r="K635" s="13" t="str">
        <f aca="false">IF(OR(C635="",D635=""),"",D635-C635)</f>
        <v/>
      </c>
      <c r="L635" s="13" t="str">
        <f aca="false">IF(A635="","",IF(OR(I635="Devolvida",N(H635)&gt;0),"Sim","Não"))</f>
        <v/>
      </c>
    </row>
    <row r="636" customFormat="false" ht="15" hidden="false" customHeight="false" outlineLevel="0" collapsed="false">
      <c r="A636" s="18"/>
      <c r="B636" s="18"/>
      <c r="C636" s="25"/>
      <c r="D636" s="25"/>
      <c r="E636" s="25"/>
      <c r="F636" s="18"/>
      <c r="G636" s="18"/>
      <c r="H636" s="18"/>
      <c r="I636" s="18"/>
      <c r="J636" s="13" t="str">
        <f aca="false">IF(OR(D636="",E636=""),"",E636-D636)</f>
        <v/>
      </c>
      <c r="K636" s="13" t="str">
        <f aca="false">IF(OR(C636="",D636=""),"",D636-C636)</f>
        <v/>
      </c>
      <c r="L636" s="13" t="str">
        <f aca="false">IF(A636="","",IF(OR(I636="Devolvida",N(H636)&gt;0),"Sim","Não"))</f>
        <v/>
      </c>
    </row>
    <row r="637" customFormat="false" ht="15" hidden="false" customHeight="false" outlineLevel="0" collapsed="false">
      <c r="A637" s="18"/>
      <c r="B637" s="18"/>
      <c r="C637" s="25"/>
      <c r="D637" s="25"/>
      <c r="E637" s="25"/>
      <c r="F637" s="18"/>
      <c r="G637" s="18"/>
      <c r="H637" s="18"/>
      <c r="I637" s="18"/>
      <c r="J637" s="13" t="str">
        <f aca="false">IF(OR(D637="",E637=""),"",E637-D637)</f>
        <v/>
      </c>
      <c r="K637" s="13" t="str">
        <f aca="false">IF(OR(C637="",D637=""),"",D637-C637)</f>
        <v/>
      </c>
      <c r="L637" s="13" t="str">
        <f aca="false">IF(A637="","",IF(OR(I637="Devolvida",N(H637)&gt;0),"Sim","Não"))</f>
        <v/>
      </c>
    </row>
    <row r="638" customFormat="false" ht="15" hidden="false" customHeight="false" outlineLevel="0" collapsed="false">
      <c r="A638" s="18"/>
      <c r="B638" s="18"/>
      <c r="C638" s="25"/>
      <c r="D638" s="25"/>
      <c r="E638" s="25"/>
      <c r="F638" s="18"/>
      <c r="G638" s="18"/>
      <c r="H638" s="18"/>
      <c r="I638" s="18"/>
      <c r="J638" s="13" t="str">
        <f aca="false">IF(OR(D638="",E638=""),"",E638-D638)</f>
        <v/>
      </c>
      <c r="K638" s="13" t="str">
        <f aca="false">IF(OR(C638="",D638=""),"",D638-C638)</f>
        <v/>
      </c>
      <c r="L638" s="13" t="str">
        <f aca="false">IF(A638="","",IF(OR(I638="Devolvida",N(H638)&gt;0),"Sim","Não"))</f>
        <v/>
      </c>
    </row>
    <row r="639" customFormat="false" ht="15" hidden="false" customHeight="false" outlineLevel="0" collapsed="false">
      <c r="A639" s="18"/>
      <c r="B639" s="18"/>
      <c r="C639" s="25"/>
      <c r="D639" s="25"/>
      <c r="E639" s="25"/>
      <c r="F639" s="18"/>
      <c r="G639" s="18"/>
      <c r="H639" s="18"/>
      <c r="I639" s="18"/>
      <c r="J639" s="13" t="str">
        <f aca="false">IF(OR(D639="",E639=""),"",E639-D639)</f>
        <v/>
      </c>
      <c r="K639" s="13" t="str">
        <f aca="false">IF(OR(C639="",D639=""),"",D639-C639)</f>
        <v/>
      </c>
      <c r="L639" s="13" t="str">
        <f aca="false">IF(A639="","",IF(OR(I639="Devolvida",N(H639)&gt;0),"Sim","Não"))</f>
        <v/>
      </c>
    </row>
    <row r="640" customFormat="false" ht="15" hidden="false" customHeight="false" outlineLevel="0" collapsed="false">
      <c r="A640" s="18"/>
      <c r="B640" s="18"/>
      <c r="C640" s="25"/>
      <c r="D640" s="25"/>
      <c r="E640" s="25"/>
      <c r="F640" s="18"/>
      <c r="G640" s="18"/>
      <c r="H640" s="18"/>
      <c r="I640" s="18"/>
      <c r="J640" s="13" t="str">
        <f aca="false">IF(OR(D640="",E640=""),"",E640-D640)</f>
        <v/>
      </c>
      <c r="K640" s="13" t="str">
        <f aca="false">IF(OR(C640="",D640=""),"",D640-C640)</f>
        <v/>
      </c>
      <c r="L640" s="13" t="str">
        <f aca="false">IF(A640="","",IF(OR(I640="Devolvida",N(H640)&gt;0),"Sim","Não"))</f>
        <v/>
      </c>
    </row>
    <row r="641" customFormat="false" ht="15" hidden="false" customHeight="false" outlineLevel="0" collapsed="false">
      <c r="A641" s="18"/>
      <c r="B641" s="18"/>
      <c r="C641" s="25"/>
      <c r="D641" s="25"/>
      <c r="E641" s="25"/>
      <c r="F641" s="18"/>
      <c r="G641" s="18"/>
      <c r="H641" s="18"/>
      <c r="I641" s="18"/>
      <c r="J641" s="13" t="str">
        <f aca="false">IF(OR(D641="",E641=""),"",E641-D641)</f>
        <v/>
      </c>
      <c r="K641" s="13" t="str">
        <f aca="false">IF(OR(C641="",D641=""),"",D641-C641)</f>
        <v/>
      </c>
      <c r="L641" s="13" t="str">
        <f aca="false">IF(A641="","",IF(OR(I641="Devolvida",N(H641)&gt;0),"Sim","Não"))</f>
        <v/>
      </c>
    </row>
    <row r="642" customFormat="false" ht="15" hidden="false" customHeight="false" outlineLevel="0" collapsed="false">
      <c r="A642" s="18"/>
      <c r="B642" s="18"/>
      <c r="C642" s="25"/>
      <c r="D642" s="25"/>
      <c r="E642" s="25"/>
      <c r="F642" s="18"/>
      <c r="G642" s="18"/>
      <c r="H642" s="18"/>
      <c r="I642" s="18"/>
      <c r="J642" s="13" t="str">
        <f aca="false">IF(OR(D642="",E642=""),"",E642-D642)</f>
        <v/>
      </c>
      <c r="K642" s="13" t="str">
        <f aca="false">IF(OR(C642="",D642=""),"",D642-C642)</f>
        <v/>
      </c>
      <c r="L642" s="13" t="str">
        <f aca="false">IF(A642="","",IF(OR(I642="Devolvida",N(H642)&gt;0),"Sim","Não"))</f>
        <v/>
      </c>
    </row>
    <row r="643" customFormat="false" ht="15" hidden="false" customHeight="false" outlineLevel="0" collapsed="false">
      <c r="A643" s="18"/>
      <c r="B643" s="18"/>
      <c r="C643" s="25"/>
      <c r="D643" s="25"/>
      <c r="E643" s="25"/>
      <c r="F643" s="18"/>
      <c r="G643" s="18"/>
      <c r="H643" s="18"/>
      <c r="I643" s="18"/>
      <c r="J643" s="13" t="str">
        <f aca="false">IF(OR(D643="",E643=""),"",E643-D643)</f>
        <v/>
      </c>
      <c r="K643" s="13" t="str">
        <f aca="false">IF(OR(C643="",D643=""),"",D643-C643)</f>
        <v/>
      </c>
      <c r="L643" s="13" t="str">
        <f aca="false">IF(A643="","",IF(OR(I643="Devolvida",N(H643)&gt;0),"Sim","Não"))</f>
        <v/>
      </c>
    </row>
    <row r="644" customFormat="false" ht="15" hidden="false" customHeight="false" outlineLevel="0" collapsed="false">
      <c r="A644" s="18"/>
      <c r="B644" s="18"/>
      <c r="C644" s="25"/>
      <c r="D644" s="25"/>
      <c r="E644" s="25"/>
      <c r="F644" s="18"/>
      <c r="G644" s="18"/>
      <c r="H644" s="18"/>
      <c r="I644" s="18"/>
      <c r="J644" s="13" t="str">
        <f aca="false">IF(OR(D644="",E644=""),"",E644-D644)</f>
        <v/>
      </c>
      <c r="K644" s="13" t="str">
        <f aca="false">IF(OR(C644="",D644=""),"",D644-C644)</f>
        <v/>
      </c>
      <c r="L644" s="13" t="str">
        <f aca="false">IF(A644="","",IF(OR(I644="Devolvida",N(H644)&gt;0),"Sim","Não"))</f>
        <v/>
      </c>
    </row>
    <row r="645" customFormat="false" ht="15" hidden="false" customHeight="false" outlineLevel="0" collapsed="false">
      <c r="A645" s="18"/>
      <c r="B645" s="18"/>
      <c r="C645" s="25"/>
      <c r="D645" s="25"/>
      <c r="E645" s="25"/>
      <c r="F645" s="18"/>
      <c r="G645" s="18"/>
      <c r="H645" s="18"/>
      <c r="I645" s="18"/>
      <c r="J645" s="13" t="str">
        <f aca="false">IF(OR(D645="",E645=""),"",E645-D645)</f>
        <v/>
      </c>
      <c r="K645" s="13" t="str">
        <f aca="false">IF(OR(C645="",D645=""),"",D645-C645)</f>
        <v/>
      </c>
      <c r="L645" s="13" t="str">
        <f aca="false">IF(A645="","",IF(OR(I645="Devolvida",N(H645)&gt;0),"Sim","Não"))</f>
        <v/>
      </c>
    </row>
    <row r="646" customFormat="false" ht="15" hidden="false" customHeight="false" outlineLevel="0" collapsed="false">
      <c r="A646" s="18"/>
      <c r="B646" s="18"/>
      <c r="C646" s="25"/>
      <c r="D646" s="25"/>
      <c r="E646" s="25"/>
      <c r="F646" s="18"/>
      <c r="G646" s="18"/>
      <c r="H646" s="18"/>
      <c r="I646" s="18"/>
      <c r="J646" s="13" t="str">
        <f aca="false">IF(OR(D646="",E646=""),"",E646-D646)</f>
        <v/>
      </c>
      <c r="K646" s="13" t="str">
        <f aca="false">IF(OR(C646="",D646=""),"",D646-C646)</f>
        <v/>
      </c>
      <c r="L646" s="13" t="str">
        <f aca="false">IF(A646="","",IF(OR(I646="Devolvida",N(H646)&gt;0),"Sim","Não"))</f>
        <v/>
      </c>
    </row>
    <row r="647" customFormat="false" ht="15" hidden="false" customHeight="false" outlineLevel="0" collapsed="false">
      <c r="A647" s="18"/>
      <c r="B647" s="18"/>
      <c r="C647" s="25"/>
      <c r="D647" s="25"/>
      <c r="E647" s="25"/>
      <c r="F647" s="18"/>
      <c r="G647" s="18"/>
      <c r="H647" s="18"/>
      <c r="I647" s="18"/>
      <c r="J647" s="13" t="str">
        <f aca="false">IF(OR(D647="",E647=""),"",E647-D647)</f>
        <v/>
      </c>
      <c r="K647" s="13" t="str">
        <f aca="false">IF(OR(C647="",D647=""),"",D647-C647)</f>
        <v/>
      </c>
      <c r="L647" s="13" t="str">
        <f aca="false">IF(A647="","",IF(OR(I647="Devolvida",N(H647)&gt;0),"Sim","Não"))</f>
        <v/>
      </c>
    </row>
    <row r="648" customFormat="false" ht="15" hidden="false" customHeight="false" outlineLevel="0" collapsed="false">
      <c r="A648" s="18"/>
      <c r="B648" s="18"/>
      <c r="C648" s="25"/>
      <c r="D648" s="25"/>
      <c r="E648" s="25"/>
      <c r="F648" s="18"/>
      <c r="G648" s="18"/>
      <c r="H648" s="18"/>
      <c r="I648" s="18"/>
      <c r="J648" s="13" t="str">
        <f aca="false">IF(OR(D648="",E648=""),"",E648-D648)</f>
        <v/>
      </c>
      <c r="K648" s="13" t="str">
        <f aca="false">IF(OR(C648="",D648=""),"",D648-C648)</f>
        <v/>
      </c>
      <c r="L648" s="13" t="str">
        <f aca="false">IF(A648="","",IF(OR(I648="Devolvida",N(H648)&gt;0),"Sim","Não"))</f>
        <v/>
      </c>
    </row>
    <row r="649" customFormat="false" ht="15" hidden="false" customHeight="false" outlineLevel="0" collapsed="false">
      <c r="A649" s="18"/>
      <c r="B649" s="18"/>
      <c r="C649" s="25"/>
      <c r="D649" s="25"/>
      <c r="E649" s="25"/>
      <c r="F649" s="18"/>
      <c r="G649" s="18"/>
      <c r="H649" s="18"/>
      <c r="I649" s="18"/>
      <c r="J649" s="13" t="str">
        <f aca="false">IF(OR(D649="",E649=""),"",E649-D649)</f>
        <v/>
      </c>
      <c r="K649" s="13" t="str">
        <f aca="false">IF(OR(C649="",D649=""),"",D649-C649)</f>
        <v/>
      </c>
      <c r="L649" s="13" t="str">
        <f aca="false">IF(A649="","",IF(OR(I649="Devolvida",N(H649)&gt;0),"Sim","Não"))</f>
        <v/>
      </c>
    </row>
    <row r="650" customFormat="false" ht="15" hidden="false" customHeight="false" outlineLevel="0" collapsed="false">
      <c r="A650" s="18"/>
      <c r="B650" s="18"/>
      <c r="C650" s="25"/>
      <c r="D650" s="25"/>
      <c r="E650" s="25"/>
      <c r="F650" s="18"/>
      <c r="G650" s="18"/>
      <c r="H650" s="18"/>
      <c r="I650" s="18"/>
      <c r="J650" s="13" t="str">
        <f aca="false">IF(OR(D650="",E650=""),"",E650-D650)</f>
        <v/>
      </c>
      <c r="K650" s="13" t="str">
        <f aca="false">IF(OR(C650="",D650=""),"",D650-C650)</f>
        <v/>
      </c>
      <c r="L650" s="13" t="str">
        <f aca="false">IF(A650="","",IF(OR(I650="Devolvida",N(H650)&gt;0),"Sim","Não"))</f>
        <v/>
      </c>
    </row>
    <row r="651" customFormat="false" ht="15" hidden="false" customHeight="false" outlineLevel="0" collapsed="false">
      <c r="A651" s="18"/>
      <c r="B651" s="18"/>
      <c r="C651" s="25"/>
      <c r="D651" s="25"/>
      <c r="E651" s="25"/>
      <c r="F651" s="18"/>
      <c r="G651" s="18"/>
      <c r="H651" s="18"/>
      <c r="I651" s="18"/>
      <c r="J651" s="13" t="str">
        <f aca="false">IF(OR(D651="",E651=""),"",E651-D651)</f>
        <v/>
      </c>
      <c r="K651" s="13" t="str">
        <f aca="false">IF(OR(C651="",D651=""),"",D651-C651)</f>
        <v/>
      </c>
      <c r="L651" s="13" t="str">
        <f aca="false">IF(A651="","",IF(OR(I651="Devolvida",N(H651)&gt;0),"Sim","Não"))</f>
        <v/>
      </c>
    </row>
    <row r="652" customFormat="false" ht="15" hidden="false" customHeight="false" outlineLevel="0" collapsed="false">
      <c r="A652" s="18"/>
      <c r="B652" s="18"/>
      <c r="C652" s="25"/>
      <c r="D652" s="25"/>
      <c r="E652" s="25"/>
      <c r="F652" s="18"/>
      <c r="G652" s="18"/>
      <c r="H652" s="18"/>
      <c r="I652" s="18"/>
      <c r="J652" s="13" t="str">
        <f aca="false">IF(OR(D652="",E652=""),"",E652-D652)</f>
        <v/>
      </c>
      <c r="K652" s="13" t="str">
        <f aca="false">IF(OR(C652="",D652=""),"",D652-C652)</f>
        <v/>
      </c>
      <c r="L652" s="13" t="str">
        <f aca="false">IF(A652="","",IF(OR(I652="Devolvida",N(H652)&gt;0),"Sim","Não"))</f>
        <v/>
      </c>
    </row>
    <row r="653" customFormat="false" ht="15" hidden="false" customHeight="false" outlineLevel="0" collapsed="false">
      <c r="A653" s="18"/>
      <c r="B653" s="18"/>
      <c r="C653" s="25"/>
      <c r="D653" s="25"/>
      <c r="E653" s="25"/>
      <c r="F653" s="18"/>
      <c r="G653" s="18"/>
      <c r="H653" s="18"/>
      <c r="I653" s="18"/>
      <c r="J653" s="13" t="str">
        <f aca="false">IF(OR(D653="",E653=""),"",E653-D653)</f>
        <v/>
      </c>
      <c r="K653" s="13" t="str">
        <f aca="false">IF(OR(C653="",D653=""),"",D653-C653)</f>
        <v/>
      </c>
      <c r="L653" s="13" t="str">
        <f aca="false">IF(A653="","",IF(OR(I653="Devolvida",N(H653)&gt;0),"Sim","Não"))</f>
        <v/>
      </c>
    </row>
    <row r="654" customFormat="false" ht="15" hidden="false" customHeight="false" outlineLevel="0" collapsed="false">
      <c r="A654" s="18"/>
      <c r="B654" s="18"/>
      <c r="C654" s="25"/>
      <c r="D654" s="25"/>
      <c r="E654" s="25"/>
      <c r="F654" s="18"/>
      <c r="G654" s="18"/>
      <c r="H654" s="18"/>
      <c r="I654" s="18"/>
      <c r="J654" s="13" t="str">
        <f aca="false">IF(OR(D654="",E654=""),"",E654-D654)</f>
        <v/>
      </c>
      <c r="K654" s="13" t="str">
        <f aca="false">IF(OR(C654="",D654=""),"",D654-C654)</f>
        <v/>
      </c>
      <c r="L654" s="13" t="str">
        <f aca="false">IF(A654="","",IF(OR(I654="Devolvida",N(H654)&gt;0),"Sim","Não"))</f>
        <v/>
      </c>
    </row>
    <row r="655" customFormat="false" ht="15" hidden="false" customHeight="false" outlineLevel="0" collapsed="false">
      <c r="A655" s="18"/>
      <c r="B655" s="18"/>
      <c r="C655" s="25"/>
      <c r="D655" s="25"/>
      <c r="E655" s="25"/>
      <c r="F655" s="18"/>
      <c r="G655" s="18"/>
      <c r="H655" s="18"/>
      <c r="I655" s="18"/>
      <c r="J655" s="13" t="str">
        <f aca="false">IF(OR(D655="",E655=""),"",E655-D655)</f>
        <v/>
      </c>
      <c r="K655" s="13" t="str">
        <f aca="false">IF(OR(C655="",D655=""),"",D655-C655)</f>
        <v/>
      </c>
      <c r="L655" s="13" t="str">
        <f aca="false">IF(A655="","",IF(OR(I655="Devolvida",N(H655)&gt;0),"Sim","Não"))</f>
        <v/>
      </c>
    </row>
    <row r="656" customFormat="false" ht="15" hidden="false" customHeight="false" outlineLevel="0" collapsed="false">
      <c r="A656" s="18"/>
      <c r="B656" s="18"/>
      <c r="C656" s="25"/>
      <c r="D656" s="25"/>
      <c r="E656" s="25"/>
      <c r="F656" s="18"/>
      <c r="G656" s="18"/>
      <c r="H656" s="18"/>
      <c r="I656" s="18"/>
      <c r="J656" s="13" t="str">
        <f aca="false">IF(OR(D656="",E656=""),"",E656-D656)</f>
        <v/>
      </c>
      <c r="K656" s="13" t="str">
        <f aca="false">IF(OR(C656="",D656=""),"",D656-C656)</f>
        <v/>
      </c>
      <c r="L656" s="13" t="str">
        <f aca="false">IF(A656="","",IF(OR(I656="Devolvida",N(H656)&gt;0),"Sim","Não"))</f>
        <v/>
      </c>
    </row>
    <row r="657" customFormat="false" ht="15" hidden="false" customHeight="false" outlineLevel="0" collapsed="false">
      <c r="A657" s="18"/>
      <c r="B657" s="18"/>
      <c r="C657" s="25"/>
      <c r="D657" s="25"/>
      <c r="E657" s="25"/>
      <c r="F657" s="18"/>
      <c r="G657" s="18"/>
      <c r="H657" s="18"/>
      <c r="I657" s="18"/>
      <c r="J657" s="13" t="str">
        <f aca="false">IF(OR(D657="",E657=""),"",E657-D657)</f>
        <v/>
      </c>
      <c r="K657" s="13" t="str">
        <f aca="false">IF(OR(C657="",D657=""),"",D657-C657)</f>
        <v/>
      </c>
      <c r="L657" s="13" t="str">
        <f aca="false">IF(A657="","",IF(OR(I657="Devolvida",N(H657)&gt;0),"Sim","Não"))</f>
        <v/>
      </c>
    </row>
    <row r="658" customFormat="false" ht="15" hidden="false" customHeight="false" outlineLevel="0" collapsed="false">
      <c r="A658" s="18"/>
      <c r="B658" s="18"/>
      <c r="C658" s="25"/>
      <c r="D658" s="25"/>
      <c r="E658" s="25"/>
      <c r="F658" s="18"/>
      <c r="G658" s="18"/>
      <c r="H658" s="18"/>
      <c r="I658" s="18"/>
      <c r="J658" s="13" t="str">
        <f aca="false">IF(OR(D658="",E658=""),"",E658-D658)</f>
        <v/>
      </c>
      <c r="K658" s="13" t="str">
        <f aca="false">IF(OR(C658="",D658=""),"",D658-C658)</f>
        <v/>
      </c>
      <c r="L658" s="13" t="str">
        <f aca="false">IF(A658="","",IF(OR(I658="Devolvida",N(H658)&gt;0),"Sim","Não"))</f>
        <v/>
      </c>
    </row>
    <row r="659" customFormat="false" ht="15" hidden="false" customHeight="false" outlineLevel="0" collapsed="false">
      <c r="A659" s="18"/>
      <c r="B659" s="18"/>
      <c r="C659" s="25"/>
      <c r="D659" s="25"/>
      <c r="E659" s="25"/>
      <c r="F659" s="18"/>
      <c r="G659" s="18"/>
      <c r="H659" s="18"/>
      <c r="I659" s="18"/>
      <c r="J659" s="13" t="str">
        <f aca="false">IF(OR(D659="",E659=""),"",E659-D659)</f>
        <v/>
      </c>
      <c r="K659" s="13" t="str">
        <f aca="false">IF(OR(C659="",D659=""),"",D659-C659)</f>
        <v/>
      </c>
      <c r="L659" s="13" t="str">
        <f aca="false">IF(A659="","",IF(OR(I659="Devolvida",N(H659)&gt;0),"Sim","Não"))</f>
        <v/>
      </c>
    </row>
    <row r="660" customFormat="false" ht="15" hidden="false" customHeight="false" outlineLevel="0" collapsed="false">
      <c r="A660" s="18"/>
      <c r="B660" s="18"/>
      <c r="C660" s="25"/>
      <c r="D660" s="25"/>
      <c r="E660" s="25"/>
      <c r="F660" s="18"/>
      <c r="G660" s="18"/>
      <c r="H660" s="18"/>
      <c r="I660" s="18"/>
      <c r="J660" s="13" t="str">
        <f aca="false">IF(OR(D660="",E660=""),"",E660-D660)</f>
        <v/>
      </c>
      <c r="K660" s="13" t="str">
        <f aca="false">IF(OR(C660="",D660=""),"",D660-C660)</f>
        <v/>
      </c>
      <c r="L660" s="13" t="str">
        <f aca="false">IF(A660="","",IF(OR(I660="Devolvida",N(H660)&gt;0),"Sim","Não"))</f>
        <v/>
      </c>
    </row>
    <row r="661" customFormat="false" ht="15" hidden="false" customHeight="false" outlineLevel="0" collapsed="false">
      <c r="A661" s="18"/>
      <c r="B661" s="18"/>
      <c r="C661" s="25"/>
      <c r="D661" s="25"/>
      <c r="E661" s="25"/>
      <c r="F661" s="18"/>
      <c r="G661" s="18"/>
      <c r="H661" s="18"/>
      <c r="I661" s="18"/>
      <c r="J661" s="13" t="str">
        <f aca="false">IF(OR(D661="",E661=""),"",E661-D661)</f>
        <v/>
      </c>
      <c r="K661" s="13" t="str">
        <f aca="false">IF(OR(C661="",D661=""),"",D661-C661)</f>
        <v/>
      </c>
      <c r="L661" s="13" t="str">
        <f aca="false">IF(A661="","",IF(OR(I661="Devolvida",N(H661)&gt;0),"Sim","Não"))</f>
        <v/>
      </c>
    </row>
    <row r="662" customFormat="false" ht="15" hidden="false" customHeight="false" outlineLevel="0" collapsed="false">
      <c r="A662" s="18"/>
      <c r="B662" s="18"/>
      <c r="C662" s="25"/>
      <c r="D662" s="25"/>
      <c r="E662" s="25"/>
      <c r="F662" s="18"/>
      <c r="G662" s="18"/>
      <c r="H662" s="18"/>
      <c r="I662" s="18"/>
      <c r="J662" s="13" t="str">
        <f aca="false">IF(OR(D662="",E662=""),"",E662-D662)</f>
        <v/>
      </c>
      <c r="K662" s="13" t="str">
        <f aca="false">IF(OR(C662="",D662=""),"",D662-C662)</f>
        <v/>
      </c>
      <c r="L662" s="13" t="str">
        <f aca="false">IF(A662="","",IF(OR(I662="Devolvida",N(H662)&gt;0),"Sim","Não"))</f>
        <v/>
      </c>
    </row>
    <row r="663" customFormat="false" ht="15" hidden="false" customHeight="false" outlineLevel="0" collapsed="false">
      <c r="A663" s="18"/>
      <c r="B663" s="18"/>
      <c r="C663" s="25"/>
      <c r="D663" s="25"/>
      <c r="E663" s="25"/>
      <c r="F663" s="18"/>
      <c r="G663" s="18"/>
      <c r="H663" s="18"/>
      <c r="I663" s="18"/>
      <c r="J663" s="13" t="str">
        <f aca="false">IF(OR(D663="",E663=""),"",E663-D663)</f>
        <v/>
      </c>
      <c r="K663" s="13" t="str">
        <f aca="false">IF(OR(C663="",D663=""),"",D663-C663)</f>
        <v/>
      </c>
      <c r="L663" s="13" t="str">
        <f aca="false">IF(A663="","",IF(OR(I663="Devolvida",N(H663)&gt;0),"Sim","Não"))</f>
        <v/>
      </c>
    </row>
    <row r="664" customFormat="false" ht="15" hidden="false" customHeight="false" outlineLevel="0" collapsed="false">
      <c r="A664" s="18"/>
      <c r="B664" s="18"/>
      <c r="C664" s="25"/>
      <c r="D664" s="25"/>
      <c r="E664" s="25"/>
      <c r="F664" s="18"/>
      <c r="G664" s="18"/>
      <c r="H664" s="18"/>
      <c r="I664" s="18"/>
      <c r="J664" s="13" t="str">
        <f aca="false">IF(OR(D664="",E664=""),"",E664-D664)</f>
        <v/>
      </c>
      <c r="K664" s="13" t="str">
        <f aca="false">IF(OR(C664="",D664=""),"",D664-C664)</f>
        <v/>
      </c>
      <c r="L664" s="13" t="str">
        <f aca="false">IF(A664="","",IF(OR(I664="Devolvida",N(H664)&gt;0),"Sim","Não"))</f>
        <v/>
      </c>
    </row>
    <row r="665" customFormat="false" ht="15" hidden="false" customHeight="false" outlineLevel="0" collapsed="false">
      <c r="A665" s="18"/>
      <c r="B665" s="18"/>
      <c r="C665" s="25"/>
      <c r="D665" s="25"/>
      <c r="E665" s="25"/>
      <c r="F665" s="18"/>
      <c r="G665" s="18"/>
      <c r="H665" s="18"/>
      <c r="I665" s="18"/>
      <c r="J665" s="13" t="str">
        <f aca="false">IF(OR(D665="",E665=""),"",E665-D665)</f>
        <v/>
      </c>
      <c r="K665" s="13" t="str">
        <f aca="false">IF(OR(C665="",D665=""),"",D665-C665)</f>
        <v/>
      </c>
      <c r="L665" s="13" t="str">
        <f aca="false">IF(A665="","",IF(OR(I665="Devolvida",N(H665)&gt;0),"Sim","Não"))</f>
        <v/>
      </c>
    </row>
    <row r="666" customFormat="false" ht="15" hidden="false" customHeight="false" outlineLevel="0" collapsed="false">
      <c r="A666" s="18"/>
      <c r="B666" s="18"/>
      <c r="C666" s="25"/>
      <c r="D666" s="25"/>
      <c r="E666" s="25"/>
      <c r="F666" s="18"/>
      <c r="G666" s="18"/>
      <c r="H666" s="18"/>
      <c r="I666" s="18"/>
      <c r="J666" s="13" t="str">
        <f aca="false">IF(OR(D666="",E666=""),"",E666-D666)</f>
        <v/>
      </c>
      <c r="K666" s="13" t="str">
        <f aca="false">IF(OR(C666="",D666=""),"",D666-C666)</f>
        <v/>
      </c>
      <c r="L666" s="13" t="str">
        <f aca="false">IF(A666="","",IF(OR(I666="Devolvida",N(H666)&gt;0),"Sim","Não"))</f>
        <v/>
      </c>
    </row>
    <row r="667" customFormat="false" ht="15" hidden="false" customHeight="false" outlineLevel="0" collapsed="false">
      <c r="A667" s="18"/>
      <c r="B667" s="18"/>
      <c r="C667" s="25"/>
      <c r="D667" s="25"/>
      <c r="E667" s="25"/>
      <c r="F667" s="18"/>
      <c r="G667" s="18"/>
      <c r="H667" s="18"/>
      <c r="I667" s="18"/>
      <c r="J667" s="13" t="str">
        <f aca="false">IF(OR(D667="",E667=""),"",E667-D667)</f>
        <v/>
      </c>
      <c r="K667" s="13" t="str">
        <f aca="false">IF(OR(C667="",D667=""),"",D667-C667)</f>
        <v/>
      </c>
      <c r="L667" s="13" t="str">
        <f aca="false">IF(A667="","",IF(OR(I667="Devolvida",N(H667)&gt;0),"Sim","Não"))</f>
        <v/>
      </c>
    </row>
    <row r="668" customFormat="false" ht="15" hidden="false" customHeight="false" outlineLevel="0" collapsed="false">
      <c r="A668" s="18"/>
      <c r="B668" s="18"/>
      <c r="C668" s="25"/>
      <c r="D668" s="25"/>
      <c r="E668" s="25"/>
      <c r="F668" s="18"/>
      <c r="G668" s="18"/>
      <c r="H668" s="18"/>
      <c r="I668" s="18"/>
      <c r="J668" s="13" t="str">
        <f aca="false">IF(OR(D668="",E668=""),"",E668-D668)</f>
        <v/>
      </c>
      <c r="K668" s="13" t="str">
        <f aca="false">IF(OR(C668="",D668=""),"",D668-C668)</f>
        <v/>
      </c>
      <c r="L668" s="13" t="str">
        <f aca="false">IF(A668="","",IF(OR(I668="Devolvida",N(H668)&gt;0),"Sim","Não"))</f>
        <v/>
      </c>
    </row>
    <row r="669" customFormat="false" ht="15" hidden="false" customHeight="false" outlineLevel="0" collapsed="false">
      <c r="A669" s="18"/>
      <c r="B669" s="18"/>
      <c r="C669" s="25"/>
      <c r="D669" s="25"/>
      <c r="E669" s="25"/>
      <c r="F669" s="18"/>
      <c r="G669" s="18"/>
      <c r="H669" s="18"/>
      <c r="I669" s="18"/>
      <c r="J669" s="13" t="str">
        <f aca="false">IF(OR(D669="",E669=""),"",E669-D669)</f>
        <v/>
      </c>
      <c r="K669" s="13" t="str">
        <f aca="false">IF(OR(C669="",D669=""),"",D669-C669)</f>
        <v/>
      </c>
      <c r="L669" s="13" t="str">
        <f aca="false">IF(A669="","",IF(OR(I669="Devolvida",N(H669)&gt;0),"Sim","Não"))</f>
        <v/>
      </c>
    </row>
    <row r="670" customFormat="false" ht="15" hidden="false" customHeight="false" outlineLevel="0" collapsed="false">
      <c r="A670" s="18"/>
      <c r="B670" s="18"/>
      <c r="C670" s="25"/>
      <c r="D670" s="25"/>
      <c r="E670" s="25"/>
      <c r="F670" s="18"/>
      <c r="G670" s="18"/>
      <c r="H670" s="18"/>
      <c r="I670" s="18"/>
      <c r="J670" s="13" t="str">
        <f aca="false">IF(OR(D670="",E670=""),"",E670-D670)</f>
        <v/>
      </c>
      <c r="K670" s="13" t="str">
        <f aca="false">IF(OR(C670="",D670=""),"",D670-C670)</f>
        <v/>
      </c>
      <c r="L670" s="13" t="str">
        <f aca="false">IF(A670="","",IF(OR(I670="Devolvida",N(H670)&gt;0),"Sim","Não"))</f>
        <v/>
      </c>
    </row>
    <row r="671" customFormat="false" ht="15" hidden="false" customHeight="false" outlineLevel="0" collapsed="false">
      <c r="A671" s="18"/>
      <c r="B671" s="18"/>
      <c r="C671" s="25"/>
      <c r="D671" s="25"/>
      <c r="E671" s="25"/>
      <c r="F671" s="18"/>
      <c r="G671" s="18"/>
      <c r="H671" s="18"/>
      <c r="I671" s="18"/>
      <c r="J671" s="13" t="str">
        <f aca="false">IF(OR(D671="",E671=""),"",E671-D671)</f>
        <v/>
      </c>
      <c r="K671" s="13" t="str">
        <f aca="false">IF(OR(C671="",D671=""),"",D671-C671)</f>
        <v/>
      </c>
      <c r="L671" s="13" t="str">
        <f aca="false">IF(A671="","",IF(OR(I671="Devolvida",N(H671)&gt;0),"Sim","Não"))</f>
        <v/>
      </c>
    </row>
    <row r="672" customFormat="false" ht="15" hidden="false" customHeight="false" outlineLevel="0" collapsed="false">
      <c r="A672" s="18"/>
      <c r="B672" s="18"/>
      <c r="C672" s="25"/>
      <c r="D672" s="25"/>
      <c r="E672" s="25"/>
      <c r="F672" s="18"/>
      <c r="G672" s="18"/>
      <c r="H672" s="18"/>
      <c r="I672" s="18"/>
      <c r="J672" s="13" t="str">
        <f aca="false">IF(OR(D672="",E672=""),"",E672-D672)</f>
        <v/>
      </c>
      <c r="K672" s="13" t="str">
        <f aca="false">IF(OR(C672="",D672=""),"",D672-C672)</f>
        <v/>
      </c>
      <c r="L672" s="13" t="str">
        <f aca="false">IF(A672="","",IF(OR(I672="Devolvida",N(H672)&gt;0),"Sim","Não"))</f>
        <v/>
      </c>
    </row>
    <row r="673" customFormat="false" ht="15" hidden="false" customHeight="false" outlineLevel="0" collapsed="false">
      <c r="A673" s="18"/>
      <c r="B673" s="18"/>
      <c r="C673" s="25"/>
      <c r="D673" s="25"/>
      <c r="E673" s="25"/>
      <c r="F673" s="18"/>
      <c r="G673" s="18"/>
      <c r="H673" s="18"/>
      <c r="I673" s="18"/>
      <c r="J673" s="13" t="str">
        <f aca="false">IF(OR(D673="",E673=""),"",E673-D673)</f>
        <v/>
      </c>
      <c r="K673" s="13" t="str">
        <f aca="false">IF(OR(C673="",D673=""),"",D673-C673)</f>
        <v/>
      </c>
      <c r="L673" s="13" t="str">
        <f aca="false">IF(A673="","",IF(OR(I673="Devolvida",N(H673)&gt;0),"Sim","Não"))</f>
        <v/>
      </c>
    </row>
    <row r="674" customFormat="false" ht="15" hidden="false" customHeight="false" outlineLevel="0" collapsed="false">
      <c r="A674" s="18"/>
      <c r="B674" s="18"/>
      <c r="C674" s="25"/>
      <c r="D674" s="25"/>
      <c r="E674" s="25"/>
      <c r="F674" s="18"/>
      <c r="G674" s="18"/>
      <c r="H674" s="18"/>
      <c r="I674" s="18"/>
      <c r="J674" s="13" t="str">
        <f aca="false">IF(OR(D674="",E674=""),"",E674-D674)</f>
        <v/>
      </c>
      <c r="K674" s="13" t="str">
        <f aca="false">IF(OR(C674="",D674=""),"",D674-C674)</f>
        <v/>
      </c>
      <c r="L674" s="13" t="str">
        <f aca="false">IF(A674="","",IF(OR(I674="Devolvida",N(H674)&gt;0),"Sim","Não"))</f>
        <v/>
      </c>
    </row>
    <row r="675" customFormat="false" ht="15" hidden="false" customHeight="false" outlineLevel="0" collapsed="false">
      <c r="A675" s="18"/>
      <c r="B675" s="18"/>
      <c r="C675" s="25"/>
      <c r="D675" s="25"/>
      <c r="E675" s="25"/>
      <c r="F675" s="18"/>
      <c r="G675" s="18"/>
      <c r="H675" s="18"/>
      <c r="I675" s="18"/>
      <c r="J675" s="13" t="str">
        <f aca="false">IF(OR(D675="",E675=""),"",E675-D675)</f>
        <v/>
      </c>
      <c r="K675" s="13" t="str">
        <f aca="false">IF(OR(C675="",D675=""),"",D675-C675)</f>
        <v/>
      </c>
      <c r="L675" s="13" t="str">
        <f aca="false">IF(A675="","",IF(OR(I675="Devolvida",N(H675)&gt;0),"Sim","Não"))</f>
        <v/>
      </c>
    </row>
    <row r="676" customFormat="false" ht="15" hidden="false" customHeight="false" outlineLevel="0" collapsed="false">
      <c r="A676" s="18"/>
      <c r="B676" s="18"/>
      <c r="C676" s="25"/>
      <c r="D676" s="25"/>
      <c r="E676" s="25"/>
      <c r="F676" s="18"/>
      <c r="G676" s="18"/>
      <c r="H676" s="18"/>
      <c r="I676" s="18"/>
      <c r="J676" s="13" t="str">
        <f aca="false">IF(OR(D676="",E676=""),"",E676-D676)</f>
        <v/>
      </c>
      <c r="K676" s="13" t="str">
        <f aca="false">IF(OR(C676="",D676=""),"",D676-C676)</f>
        <v/>
      </c>
      <c r="L676" s="13" t="str">
        <f aca="false">IF(A676="","",IF(OR(I676="Devolvida",N(H676)&gt;0),"Sim","Não"))</f>
        <v/>
      </c>
    </row>
    <row r="677" customFormat="false" ht="15" hidden="false" customHeight="false" outlineLevel="0" collapsed="false">
      <c r="A677" s="18"/>
      <c r="B677" s="18"/>
      <c r="C677" s="25"/>
      <c r="D677" s="25"/>
      <c r="E677" s="25"/>
      <c r="F677" s="18"/>
      <c r="G677" s="18"/>
      <c r="H677" s="18"/>
      <c r="I677" s="18"/>
      <c r="J677" s="13" t="str">
        <f aca="false">IF(OR(D677="",E677=""),"",E677-D677)</f>
        <v/>
      </c>
      <c r="K677" s="13" t="str">
        <f aca="false">IF(OR(C677="",D677=""),"",D677-C677)</f>
        <v/>
      </c>
      <c r="L677" s="13" t="str">
        <f aca="false">IF(A677="","",IF(OR(I677="Devolvida",N(H677)&gt;0),"Sim","Não"))</f>
        <v/>
      </c>
    </row>
    <row r="678" customFormat="false" ht="15" hidden="false" customHeight="false" outlineLevel="0" collapsed="false">
      <c r="A678" s="18"/>
      <c r="B678" s="18"/>
      <c r="C678" s="25"/>
      <c r="D678" s="25"/>
      <c r="E678" s="25"/>
      <c r="F678" s="18"/>
      <c r="G678" s="18"/>
      <c r="H678" s="18"/>
      <c r="I678" s="18"/>
      <c r="J678" s="13" t="str">
        <f aca="false">IF(OR(D678="",E678=""),"",E678-D678)</f>
        <v/>
      </c>
      <c r="K678" s="13" t="str">
        <f aca="false">IF(OR(C678="",D678=""),"",D678-C678)</f>
        <v/>
      </c>
      <c r="L678" s="13" t="str">
        <f aca="false">IF(A678="","",IF(OR(I678="Devolvida",N(H678)&gt;0),"Sim","Não"))</f>
        <v/>
      </c>
    </row>
    <row r="679" customFormat="false" ht="15" hidden="false" customHeight="false" outlineLevel="0" collapsed="false">
      <c r="A679" s="18"/>
      <c r="B679" s="18"/>
      <c r="C679" s="25"/>
      <c r="D679" s="25"/>
      <c r="E679" s="25"/>
      <c r="F679" s="18"/>
      <c r="G679" s="18"/>
      <c r="H679" s="18"/>
      <c r="I679" s="18"/>
      <c r="J679" s="13" t="str">
        <f aca="false">IF(OR(D679="",E679=""),"",E679-D679)</f>
        <v/>
      </c>
      <c r="K679" s="13" t="str">
        <f aca="false">IF(OR(C679="",D679=""),"",D679-C679)</f>
        <v/>
      </c>
      <c r="L679" s="13" t="str">
        <f aca="false">IF(A679="","",IF(OR(I679="Devolvida",N(H679)&gt;0),"Sim","Não"))</f>
        <v/>
      </c>
    </row>
    <row r="680" customFormat="false" ht="15" hidden="false" customHeight="false" outlineLevel="0" collapsed="false">
      <c r="A680" s="18"/>
      <c r="B680" s="18"/>
      <c r="C680" s="25"/>
      <c r="D680" s="25"/>
      <c r="E680" s="25"/>
      <c r="F680" s="18"/>
      <c r="G680" s="18"/>
      <c r="H680" s="18"/>
      <c r="I680" s="18"/>
      <c r="J680" s="13" t="str">
        <f aca="false">IF(OR(D680="",E680=""),"",E680-D680)</f>
        <v/>
      </c>
      <c r="K680" s="13" t="str">
        <f aca="false">IF(OR(C680="",D680=""),"",D680-C680)</f>
        <v/>
      </c>
      <c r="L680" s="13" t="str">
        <f aca="false">IF(A680="","",IF(OR(I680="Devolvida",N(H680)&gt;0),"Sim","Não"))</f>
        <v/>
      </c>
    </row>
    <row r="681" customFormat="false" ht="15" hidden="false" customHeight="false" outlineLevel="0" collapsed="false">
      <c r="A681" s="18"/>
      <c r="B681" s="18"/>
      <c r="C681" s="25"/>
      <c r="D681" s="25"/>
      <c r="E681" s="25"/>
      <c r="F681" s="18"/>
      <c r="G681" s="18"/>
      <c r="H681" s="18"/>
      <c r="I681" s="18"/>
      <c r="J681" s="13" t="str">
        <f aca="false">IF(OR(D681="",E681=""),"",E681-D681)</f>
        <v/>
      </c>
      <c r="K681" s="13" t="str">
        <f aca="false">IF(OR(C681="",D681=""),"",D681-C681)</f>
        <v/>
      </c>
      <c r="L681" s="13" t="str">
        <f aca="false">IF(A681="","",IF(OR(I681="Devolvida",N(H681)&gt;0),"Sim","Não"))</f>
        <v/>
      </c>
    </row>
    <row r="682" customFormat="false" ht="15" hidden="false" customHeight="false" outlineLevel="0" collapsed="false">
      <c r="A682" s="18"/>
      <c r="B682" s="18"/>
      <c r="C682" s="25"/>
      <c r="D682" s="25"/>
      <c r="E682" s="25"/>
      <c r="F682" s="18"/>
      <c r="G682" s="18"/>
      <c r="H682" s="18"/>
      <c r="I682" s="18"/>
      <c r="J682" s="13" t="str">
        <f aca="false">IF(OR(D682="",E682=""),"",E682-D682)</f>
        <v/>
      </c>
      <c r="K682" s="13" t="str">
        <f aca="false">IF(OR(C682="",D682=""),"",D682-C682)</f>
        <v/>
      </c>
      <c r="L682" s="13" t="str">
        <f aca="false">IF(A682="","",IF(OR(I682="Devolvida",N(H682)&gt;0),"Sim","Não"))</f>
        <v/>
      </c>
    </row>
    <row r="683" customFormat="false" ht="15" hidden="false" customHeight="false" outlineLevel="0" collapsed="false">
      <c r="A683" s="18"/>
      <c r="B683" s="18"/>
      <c r="C683" s="25"/>
      <c r="D683" s="25"/>
      <c r="E683" s="25"/>
      <c r="F683" s="18"/>
      <c r="G683" s="18"/>
      <c r="H683" s="18"/>
      <c r="I683" s="18"/>
      <c r="J683" s="13" t="str">
        <f aca="false">IF(OR(D683="",E683=""),"",E683-D683)</f>
        <v/>
      </c>
      <c r="K683" s="13" t="str">
        <f aca="false">IF(OR(C683="",D683=""),"",D683-C683)</f>
        <v/>
      </c>
      <c r="L683" s="13" t="str">
        <f aca="false">IF(A683="","",IF(OR(I683="Devolvida",N(H683)&gt;0),"Sim","Não"))</f>
        <v/>
      </c>
    </row>
    <row r="684" customFormat="false" ht="15" hidden="false" customHeight="false" outlineLevel="0" collapsed="false">
      <c r="A684" s="18"/>
      <c r="B684" s="18"/>
      <c r="C684" s="25"/>
      <c r="D684" s="25"/>
      <c r="E684" s="25"/>
      <c r="F684" s="18"/>
      <c r="G684" s="18"/>
      <c r="H684" s="18"/>
      <c r="I684" s="18"/>
      <c r="J684" s="13" t="str">
        <f aca="false">IF(OR(D684="",E684=""),"",E684-D684)</f>
        <v/>
      </c>
      <c r="K684" s="13" t="str">
        <f aca="false">IF(OR(C684="",D684=""),"",D684-C684)</f>
        <v/>
      </c>
      <c r="L684" s="13" t="str">
        <f aca="false">IF(A684="","",IF(OR(I684="Devolvida",N(H684)&gt;0),"Sim","Não"))</f>
        <v/>
      </c>
    </row>
    <row r="685" customFormat="false" ht="15" hidden="false" customHeight="false" outlineLevel="0" collapsed="false">
      <c r="A685" s="18"/>
      <c r="B685" s="18"/>
      <c r="C685" s="25"/>
      <c r="D685" s="25"/>
      <c r="E685" s="25"/>
      <c r="F685" s="18"/>
      <c r="G685" s="18"/>
      <c r="H685" s="18"/>
      <c r="I685" s="18"/>
      <c r="J685" s="13" t="str">
        <f aca="false">IF(OR(D685="",E685=""),"",E685-D685)</f>
        <v/>
      </c>
      <c r="K685" s="13" t="str">
        <f aca="false">IF(OR(C685="",D685=""),"",D685-C685)</f>
        <v/>
      </c>
      <c r="L685" s="13" t="str">
        <f aca="false">IF(A685="","",IF(OR(I685="Devolvida",N(H685)&gt;0),"Sim","Não"))</f>
        <v/>
      </c>
    </row>
    <row r="686" customFormat="false" ht="15" hidden="false" customHeight="false" outlineLevel="0" collapsed="false">
      <c r="A686" s="18"/>
      <c r="B686" s="18"/>
      <c r="C686" s="25"/>
      <c r="D686" s="25"/>
      <c r="E686" s="25"/>
      <c r="F686" s="18"/>
      <c r="G686" s="18"/>
      <c r="H686" s="18"/>
      <c r="I686" s="18"/>
      <c r="J686" s="13" t="str">
        <f aca="false">IF(OR(D686="",E686=""),"",E686-D686)</f>
        <v/>
      </c>
      <c r="K686" s="13" t="str">
        <f aca="false">IF(OR(C686="",D686=""),"",D686-C686)</f>
        <v/>
      </c>
      <c r="L686" s="13" t="str">
        <f aca="false">IF(A686="","",IF(OR(I686="Devolvida",N(H686)&gt;0),"Sim","Não"))</f>
        <v/>
      </c>
    </row>
    <row r="687" customFormat="false" ht="15" hidden="false" customHeight="false" outlineLevel="0" collapsed="false">
      <c r="A687" s="18"/>
      <c r="B687" s="18"/>
      <c r="C687" s="25"/>
      <c r="D687" s="25"/>
      <c r="E687" s="25"/>
      <c r="F687" s="18"/>
      <c r="G687" s="18"/>
      <c r="H687" s="18"/>
      <c r="I687" s="18"/>
      <c r="J687" s="13" t="str">
        <f aca="false">IF(OR(D687="",E687=""),"",E687-D687)</f>
        <v/>
      </c>
      <c r="K687" s="13" t="str">
        <f aca="false">IF(OR(C687="",D687=""),"",D687-C687)</f>
        <v/>
      </c>
      <c r="L687" s="13" t="str">
        <f aca="false">IF(A687="","",IF(OR(I687="Devolvida",N(H687)&gt;0),"Sim","Não"))</f>
        <v/>
      </c>
    </row>
    <row r="688" customFormat="false" ht="15" hidden="false" customHeight="false" outlineLevel="0" collapsed="false">
      <c r="A688" s="18"/>
      <c r="B688" s="18"/>
      <c r="C688" s="25"/>
      <c r="D688" s="25"/>
      <c r="E688" s="25"/>
      <c r="F688" s="18"/>
      <c r="G688" s="18"/>
      <c r="H688" s="18"/>
      <c r="I688" s="18"/>
      <c r="J688" s="13" t="str">
        <f aca="false">IF(OR(D688="",E688=""),"",E688-D688)</f>
        <v/>
      </c>
      <c r="K688" s="13" t="str">
        <f aca="false">IF(OR(C688="",D688=""),"",D688-C688)</f>
        <v/>
      </c>
      <c r="L688" s="13" t="str">
        <f aca="false">IF(A688="","",IF(OR(I688="Devolvida",N(H688)&gt;0),"Sim","Não"))</f>
        <v/>
      </c>
    </row>
    <row r="689" customFormat="false" ht="15" hidden="false" customHeight="false" outlineLevel="0" collapsed="false">
      <c r="A689" s="18"/>
      <c r="B689" s="18"/>
      <c r="C689" s="25"/>
      <c r="D689" s="25"/>
      <c r="E689" s="25"/>
      <c r="F689" s="18"/>
      <c r="G689" s="18"/>
      <c r="H689" s="18"/>
      <c r="I689" s="18"/>
      <c r="J689" s="13" t="str">
        <f aca="false">IF(OR(D689="",E689=""),"",E689-D689)</f>
        <v/>
      </c>
      <c r="K689" s="13" t="str">
        <f aca="false">IF(OR(C689="",D689=""),"",D689-C689)</f>
        <v/>
      </c>
      <c r="L689" s="13" t="str">
        <f aca="false">IF(A689="","",IF(OR(I689="Devolvida",N(H689)&gt;0),"Sim","Não"))</f>
        <v/>
      </c>
    </row>
    <row r="690" customFormat="false" ht="15" hidden="false" customHeight="false" outlineLevel="0" collapsed="false">
      <c r="A690" s="18"/>
      <c r="B690" s="18"/>
      <c r="C690" s="25"/>
      <c r="D690" s="25"/>
      <c r="E690" s="25"/>
      <c r="F690" s="18"/>
      <c r="G690" s="18"/>
      <c r="H690" s="18"/>
      <c r="I690" s="18"/>
      <c r="J690" s="13" t="str">
        <f aca="false">IF(OR(D690="",E690=""),"",E690-D690)</f>
        <v/>
      </c>
      <c r="K690" s="13" t="str">
        <f aca="false">IF(OR(C690="",D690=""),"",D690-C690)</f>
        <v/>
      </c>
      <c r="L690" s="13" t="str">
        <f aca="false">IF(A690="","",IF(OR(I690="Devolvida",N(H690)&gt;0),"Sim","Não"))</f>
        <v/>
      </c>
    </row>
    <row r="691" customFormat="false" ht="15" hidden="false" customHeight="false" outlineLevel="0" collapsed="false">
      <c r="A691" s="18"/>
      <c r="B691" s="18"/>
      <c r="C691" s="25"/>
      <c r="D691" s="25"/>
      <c r="E691" s="25"/>
      <c r="F691" s="18"/>
      <c r="G691" s="18"/>
      <c r="H691" s="18"/>
      <c r="I691" s="18"/>
      <c r="J691" s="13" t="str">
        <f aca="false">IF(OR(D691="",E691=""),"",E691-D691)</f>
        <v/>
      </c>
      <c r="K691" s="13" t="str">
        <f aca="false">IF(OR(C691="",D691=""),"",D691-C691)</f>
        <v/>
      </c>
      <c r="L691" s="13" t="str">
        <f aca="false">IF(A691="","",IF(OR(I691="Devolvida",N(H691)&gt;0),"Sim","Não"))</f>
        <v/>
      </c>
    </row>
    <row r="692" customFormat="false" ht="15" hidden="false" customHeight="false" outlineLevel="0" collapsed="false">
      <c r="A692" s="18"/>
      <c r="B692" s="18"/>
      <c r="C692" s="25"/>
      <c r="D692" s="25"/>
      <c r="E692" s="25"/>
      <c r="F692" s="18"/>
      <c r="G692" s="18"/>
      <c r="H692" s="18"/>
      <c r="I692" s="18"/>
      <c r="J692" s="13" t="str">
        <f aca="false">IF(OR(D692="",E692=""),"",E692-D692)</f>
        <v/>
      </c>
      <c r="K692" s="13" t="str">
        <f aca="false">IF(OR(C692="",D692=""),"",D692-C692)</f>
        <v/>
      </c>
      <c r="L692" s="13" t="str">
        <f aca="false">IF(A692="","",IF(OR(I692="Devolvida",N(H692)&gt;0),"Sim","Não"))</f>
        <v/>
      </c>
    </row>
    <row r="693" customFormat="false" ht="15" hidden="false" customHeight="false" outlineLevel="0" collapsed="false">
      <c r="A693" s="18"/>
      <c r="B693" s="18"/>
      <c r="C693" s="25"/>
      <c r="D693" s="25"/>
      <c r="E693" s="25"/>
      <c r="F693" s="18"/>
      <c r="G693" s="18"/>
      <c r="H693" s="18"/>
      <c r="I693" s="18"/>
      <c r="J693" s="13" t="str">
        <f aca="false">IF(OR(D693="",E693=""),"",E693-D693)</f>
        <v/>
      </c>
      <c r="K693" s="13" t="str">
        <f aca="false">IF(OR(C693="",D693=""),"",D693-C693)</f>
        <v/>
      </c>
      <c r="L693" s="13" t="str">
        <f aca="false">IF(A693="","",IF(OR(I693="Devolvida",N(H693)&gt;0),"Sim","Não"))</f>
        <v/>
      </c>
    </row>
    <row r="694" customFormat="false" ht="15" hidden="false" customHeight="false" outlineLevel="0" collapsed="false">
      <c r="A694" s="18"/>
      <c r="B694" s="18"/>
      <c r="C694" s="25"/>
      <c r="D694" s="25"/>
      <c r="E694" s="25"/>
      <c r="F694" s="18"/>
      <c r="G694" s="18"/>
      <c r="H694" s="18"/>
      <c r="I694" s="18"/>
      <c r="J694" s="13" t="str">
        <f aca="false">IF(OR(D694="",E694=""),"",E694-D694)</f>
        <v/>
      </c>
      <c r="K694" s="13" t="str">
        <f aca="false">IF(OR(C694="",D694=""),"",D694-C694)</f>
        <v/>
      </c>
      <c r="L694" s="13" t="str">
        <f aca="false">IF(A694="","",IF(OR(I694="Devolvida",N(H694)&gt;0),"Sim","Não"))</f>
        <v/>
      </c>
    </row>
    <row r="695" customFormat="false" ht="15" hidden="false" customHeight="false" outlineLevel="0" collapsed="false">
      <c r="A695" s="18"/>
      <c r="B695" s="18"/>
      <c r="C695" s="25"/>
      <c r="D695" s="25"/>
      <c r="E695" s="25"/>
      <c r="F695" s="18"/>
      <c r="G695" s="18"/>
      <c r="H695" s="18"/>
      <c r="I695" s="18"/>
      <c r="J695" s="13" t="str">
        <f aca="false">IF(OR(D695="",E695=""),"",E695-D695)</f>
        <v/>
      </c>
      <c r="K695" s="13" t="str">
        <f aca="false">IF(OR(C695="",D695=""),"",D695-C695)</f>
        <v/>
      </c>
      <c r="L695" s="13" t="str">
        <f aca="false">IF(A695="","",IF(OR(I695="Devolvida",N(H695)&gt;0),"Sim","Não"))</f>
        <v/>
      </c>
    </row>
    <row r="696" customFormat="false" ht="15" hidden="false" customHeight="false" outlineLevel="0" collapsed="false">
      <c r="A696" s="18"/>
      <c r="B696" s="18"/>
      <c r="C696" s="25"/>
      <c r="D696" s="25"/>
      <c r="E696" s="25"/>
      <c r="F696" s="18"/>
      <c r="G696" s="18"/>
      <c r="H696" s="18"/>
      <c r="I696" s="18"/>
      <c r="J696" s="13" t="str">
        <f aca="false">IF(OR(D696="",E696=""),"",E696-D696)</f>
        <v/>
      </c>
      <c r="K696" s="13" t="str">
        <f aca="false">IF(OR(C696="",D696=""),"",D696-C696)</f>
        <v/>
      </c>
      <c r="L696" s="13" t="str">
        <f aca="false">IF(A696="","",IF(OR(I696="Devolvida",N(H696)&gt;0),"Sim","Não"))</f>
        <v/>
      </c>
    </row>
    <row r="697" customFormat="false" ht="15" hidden="false" customHeight="false" outlineLevel="0" collapsed="false">
      <c r="A697" s="18"/>
      <c r="B697" s="18"/>
      <c r="C697" s="25"/>
      <c r="D697" s="25"/>
      <c r="E697" s="25"/>
      <c r="F697" s="18"/>
      <c r="G697" s="18"/>
      <c r="H697" s="18"/>
      <c r="I697" s="18"/>
      <c r="J697" s="13" t="str">
        <f aca="false">IF(OR(D697="",E697=""),"",E697-D697)</f>
        <v/>
      </c>
      <c r="K697" s="13" t="str">
        <f aca="false">IF(OR(C697="",D697=""),"",D697-C697)</f>
        <v/>
      </c>
      <c r="L697" s="13" t="str">
        <f aca="false">IF(A697="","",IF(OR(I697="Devolvida",N(H697)&gt;0),"Sim","Não"))</f>
        <v/>
      </c>
    </row>
    <row r="698" customFormat="false" ht="15" hidden="false" customHeight="false" outlineLevel="0" collapsed="false">
      <c r="A698" s="18"/>
      <c r="B698" s="18"/>
      <c r="C698" s="25"/>
      <c r="D698" s="25"/>
      <c r="E698" s="25"/>
      <c r="F698" s="18"/>
      <c r="G698" s="18"/>
      <c r="H698" s="18"/>
      <c r="I698" s="18"/>
      <c r="J698" s="13" t="str">
        <f aca="false">IF(OR(D698="",E698=""),"",E698-D698)</f>
        <v/>
      </c>
      <c r="K698" s="13" t="str">
        <f aca="false">IF(OR(C698="",D698=""),"",D698-C698)</f>
        <v/>
      </c>
      <c r="L698" s="13" t="str">
        <f aca="false">IF(A698="","",IF(OR(I698="Devolvida",N(H698)&gt;0),"Sim","Não"))</f>
        <v/>
      </c>
    </row>
    <row r="699" customFormat="false" ht="15" hidden="false" customHeight="false" outlineLevel="0" collapsed="false">
      <c r="A699" s="18"/>
      <c r="B699" s="18"/>
      <c r="C699" s="25"/>
      <c r="D699" s="25"/>
      <c r="E699" s="25"/>
      <c r="F699" s="18"/>
      <c r="G699" s="18"/>
      <c r="H699" s="18"/>
      <c r="I699" s="18"/>
      <c r="J699" s="13" t="str">
        <f aca="false">IF(OR(D699="",E699=""),"",E699-D699)</f>
        <v/>
      </c>
      <c r="K699" s="13" t="str">
        <f aca="false">IF(OR(C699="",D699=""),"",D699-C699)</f>
        <v/>
      </c>
      <c r="L699" s="13" t="str">
        <f aca="false">IF(A699="","",IF(OR(I699="Devolvida",N(H699)&gt;0),"Sim","Não"))</f>
        <v/>
      </c>
    </row>
    <row r="700" customFormat="false" ht="15" hidden="false" customHeight="false" outlineLevel="0" collapsed="false">
      <c r="A700" s="18"/>
      <c r="B700" s="18"/>
      <c r="C700" s="25"/>
      <c r="D700" s="25"/>
      <c r="E700" s="25"/>
      <c r="F700" s="18"/>
      <c r="G700" s="18"/>
      <c r="H700" s="18"/>
      <c r="I700" s="18"/>
      <c r="J700" s="13" t="str">
        <f aca="false">IF(OR(D700="",E700=""),"",E700-D700)</f>
        <v/>
      </c>
      <c r="K700" s="13" t="str">
        <f aca="false">IF(OR(C700="",D700=""),"",D700-C700)</f>
        <v/>
      </c>
      <c r="L700" s="13" t="str">
        <f aca="false">IF(A700="","",IF(OR(I700="Devolvida",N(H700)&gt;0),"Sim","Não"))</f>
        <v/>
      </c>
    </row>
    <row r="701" customFormat="false" ht="15" hidden="false" customHeight="false" outlineLevel="0" collapsed="false">
      <c r="A701" s="18"/>
      <c r="B701" s="18"/>
      <c r="C701" s="25"/>
      <c r="D701" s="25"/>
      <c r="E701" s="25"/>
      <c r="F701" s="18"/>
      <c r="G701" s="18"/>
      <c r="H701" s="18"/>
      <c r="I701" s="18"/>
      <c r="J701" s="13" t="str">
        <f aca="false">IF(OR(D701="",E701=""),"",E701-D701)</f>
        <v/>
      </c>
      <c r="K701" s="13" t="str">
        <f aca="false">IF(OR(C701="",D701=""),"",D701-C701)</f>
        <v/>
      </c>
      <c r="L701" s="13" t="str">
        <f aca="false">IF(A701="","",IF(OR(I701="Devolvida",N(H701)&gt;0),"Sim","Não"))</f>
        <v/>
      </c>
    </row>
    <row r="702" customFormat="false" ht="15" hidden="false" customHeight="false" outlineLevel="0" collapsed="false">
      <c r="A702" s="18"/>
      <c r="B702" s="18"/>
      <c r="C702" s="25"/>
      <c r="D702" s="25"/>
      <c r="E702" s="25"/>
      <c r="F702" s="18"/>
      <c r="G702" s="18"/>
      <c r="H702" s="18"/>
      <c r="I702" s="18"/>
      <c r="J702" s="13" t="str">
        <f aca="false">IF(OR(D702="",E702=""),"",E702-D702)</f>
        <v/>
      </c>
      <c r="K702" s="13" t="str">
        <f aca="false">IF(OR(C702="",D702=""),"",D702-C702)</f>
        <v/>
      </c>
      <c r="L702" s="13" t="str">
        <f aca="false">IF(A702="","",IF(OR(I702="Devolvida",N(H702)&gt;0),"Sim","Não"))</f>
        <v/>
      </c>
    </row>
    <row r="703" customFormat="false" ht="15" hidden="false" customHeight="false" outlineLevel="0" collapsed="false">
      <c r="A703" s="18"/>
      <c r="B703" s="18"/>
      <c r="C703" s="25"/>
      <c r="D703" s="25"/>
      <c r="E703" s="25"/>
      <c r="F703" s="18"/>
      <c r="G703" s="18"/>
      <c r="H703" s="18"/>
      <c r="I703" s="18"/>
      <c r="J703" s="13" t="str">
        <f aca="false">IF(OR(D703="",E703=""),"",E703-D703)</f>
        <v/>
      </c>
      <c r="K703" s="13" t="str">
        <f aca="false">IF(OR(C703="",D703=""),"",D703-C703)</f>
        <v/>
      </c>
      <c r="L703" s="13" t="str">
        <f aca="false">IF(A703="","",IF(OR(I703="Devolvida",N(H703)&gt;0),"Sim","Não"))</f>
        <v/>
      </c>
    </row>
    <row r="704" customFormat="false" ht="15" hidden="false" customHeight="false" outlineLevel="0" collapsed="false">
      <c r="A704" s="18"/>
      <c r="B704" s="18"/>
      <c r="C704" s="25"/>
      <c r="D704" s="25"/>
      <c r="E704" s="25"/>
      <c r="F704" s="18"/>
      <c r="G704" s="18"/>
      <c r="H704" s="18"/>
      <c r="I704" s="18"/>
      <c r="J704" s="13" t="str">
        <f aca="false">IF(OR(D704="",E704=""),"",E704-D704)</f>
        <v/>
      </c>
      <c r="K704" s="13" t="str">
        <f aca="false">IF(OR(C704="",D704=""),"",D704-C704)</f>
        <v/>
      </c>
      <c r="L704" s="13" t="str">
        <f aca="false">IF(A704="","",IF(OR(I704="Devolvida",N(H704)&gt;0),"Sim","Não"))</f>
        <v/>
      </c>
    </row>
    <row r="705" customFormat="false" ht="15" hidden="false" customHeight="false" outlineLevel="0" collapsed="false">
      <c r="A705" s="18"/>
      <c r="B705" s="18"/>
      <c r="C705" s="25"/>
      <c r="D705" s="25"/>
      <c r="E705" s="25"/>
      <c r="F705" s="18"/>
      <c r="G705" s="18"/>
      <c r="H705" s="18"/>
      <c r="I705" s="18"/>
      <c r="J705" s="13" t="str">
        <f aca="false">IF(OR(D705="",E705=""),"",E705-D705)</f>
        <v/>
      </c>
      <c r="K705" s="13" t="str">
        <f aca="false">IF(OR(C705="",D705=""),"",D705-C705)</f>
        <v/>
      </c>
      <c r="L705" s="13" t="str">
        <f aca="false">IF(A705="","",IF(OR(I705="Devolvida",N(H705)&gt;0),"Sim","Não"))</f>
        <v/>
      </c>
    </row>
    <row r="706" customFormat="false" ht="15" hidden="false" customHeight="false" outlineLevel="0" collapsed="false">
      <c r="A706" s="18"/>
      <c r="B706" s="18"/>
      <c r="C706" s="25"/>
      <c r="D706" s="25"/>
      <c r="E706" s="25"/>
      <c r="F706" s="18"/>
      <c r="G706" s="18"/>
      <c r="H706" s="18"/>
      <c r="I706" s="18"/>
      <c r="J706" s="13" t="str">
        <f aca="false">IF(OR(D706="",E706=""),"",E706-D706)</f>
        <v/>
      </c>
      <c r="K706" s="13" t="str">
        <f aca="false">IF(OR(C706="",D706=""),"",D706-C706)</f>
        <v/>
      </c>
      <c r="L706" s="13" t="str">
        <f aca="false">IF(A706="","",IF(OR(I706="Devolvida",N(H706)&gt;0),"Sim","Não"))</f>
        <v/>
      </c>
    </row>
    <row r="707" customFormat="false" ht="15" hidden="false" customHeight="false" outlineLevel="0" collapsed="false">
      <c r="A707" s="18"/>
      <c r="B707" s="18"/>
      <c r="C707" s="25"/>
      <c r="D707" s="25"/>
      <c r="E707" s="25"/>
      <c r="F707" s="18"/>
      <c r="G707" s="18"/>
      <c r="H707" s="18"/>
      <c r="I707" s="18"/>
      <c r="J707" s="13" t="str">
        <f aca="false">IF(OR(D707="",E707=""),"",E707-D707)</f>
        <v/>
      </c>
      <c r="K707" s="13" t="str">
        <f aca="false">IF(OR(C707="",D707=""),"",D707-C707)</f>
        <v/>
      </c>
      <c r="L707" s="13" t="str">
        <f aca="false">IF(A707="","",IF(OR(I707="Devolvida",N(H707)&gt;0),"Sim","Não"))</f>
        <v/>
      </c>
    </row>
    <row r="708" customFormat="false" ht="15" hidden="false" customHeight="false" outlineLevel="0" collapsed="false">
      <c r="A708" s="18"/>
      <c r="B708" s="18"/>
      <c r="C708" s="25"/>
      <c r="D708" s="25"/>
      <c r="E708" s="25"/>
      <c r="F708" s="18"/>
      <c r="G708" s="18"/>
      <c r="H708" s="18"/>
      <c r="I708" s="18"/>
      <c r="J708" s="13" t="str">
        <f aca="false">IF(OR(D708="",E708=""),"",E708-D708)</f>
        <v/>
      </c>
      <c r="K708" s="13" t="str">
        <f aca="false">IF(OR(C708="",D708=""),"",D708-C708)</f>
        <v/>
      </c>
      <c r="L708" s="13" t="str">
        <f aca="false">IF(A708="","",IF(OR(I708="Devolvida",N(H708)&gt;0),"Sim","Não"))</f>
        <v/>
      </c>
    </row>
    <row r="709" customFormat="false" ht="15" hidden="false" customHeight="false" outlineLevel="0" collapsed="false">
      <c r="A709" s="18"/>
      <c r="B709" s="18"/>
      <c r="C709" s="25"/>
      <c r="D709" s="25"/>
      <c r="E709" s="25"/>
      <c r="F709" s="18"/>
      <c r="G709" s="18"/>
      <c r="H709" s="18"/>
      <c r="I709" s="18"/>
      <c r="J709" s="13" t="str">
        <f aca="false">IF(OR(D709="",E709=""),"",E709-D709)</f>
        <v/>
      </c>
      <c r="K709" s="13" t="str">
        <f aca="false">IF(OR(C709="",D709=""),"",D709-C709)</f>
        <v/>
      </c>
      <c r="L709" s="13" t="str">
        <f aca="false">IF(A709="","",IF(OR(I709="Devolvida",N(H709)&gt;0),"Sim","Não"))</f>
        <v/>
      </c>
    </row>
    <row r="710" customFormat="false" ht="15" hidden="false" customHeight="false" outlineLevel="0" collapsed="false">
      <c r="A710" s="18"/>
      <c r="B710" s="18"/>
      <c r="C710" s="25"/>
      <c r="D710" s="25"/>
      <c r="E710" s="25"/>
      <c r="F710" s="18"/>
      <c r="G710" s="18"/>
      <c r="H710" s="18"/>
      <c r="I710" s="18"/>
      <c r="J710" s="13" t="str">
        <f aca="false">IF(OR(D710="",E710=""),"",E710-D710)</f>
        <v/>
      </c>
      <c r="K710" s="13" t="str">
        <f aca="false">IF(OR(C710="",D710=""),"",D710-C710)</f>
        <v/>
      </c>
      <c r="L710" s="13" t="str">
        <f aca="false">IF(A710="","",IF(OR(I710="Devolvida",N(H710)&gt;0),"Sim","Não"))</f>
        <v/>
      </c>
    </row>
    <row r="711" customFormat="false" ht="15" hidden="false" customHeight="false" outlineLevel="0" collapsed="false">
      <c r="A711" s="18"/>
      <c r="B711" s="18"/>
      <c r="C711" s="25"/>
      <c r="D711" s="25"/>
      <c r="E711" s="25"/>
      <c r="F711" s="18"/>
      <c r="G711" s="18"/>
      <c r="H711" s="18"/>
      <c r="I711" s="18"/>
      <c r="J711" s="13" t="str">
        <f aca="false">IF(OR(D711="",E711=""),"",E711-D711)</f>
        <v/>
      </c>
      <c r="K711" s="13" t="str">
        <f aca="false">IF(OR(C711="",D711=""),"",D711-C711)</f>
        <v/>
      </c>
      <c r="L711" s="13" t="str">
        <f aca="false">IF(A711="","",IF(OR(I711="Devolvida",N(H711)&gt;0),"Sim","Não"))</f>
        <v/>
      </c>
    </row>
    <row r="712" customFormat="false" ht="15" hidden="false" customHeight="false" outlineLevel="0" collapsed="false">
      <c r="A712" s="18"/>
      <c r="B712" s="18"/>
      <c r="C712" s="25"/>
      <c r="D712" s="25"/>
      <c r="E712" s="25"/>
      <c r="F712" s="18"/>
      <c r="G712" s="18"/>
      <c r="H712" s="18"/>
      <c r="I712" s="18"/>
      <c r="J712" s="13" t="str">
        <f aca="false">IF(OR(D712="",E712=""),"",E712-D712)</f>
        <v/>
      </c>
      <c r="K712" s="13" t="str">
        <f aca="false">IF(OR(C712="",D712=""),"",D712-C712)</f>
        <v/>
      </c>
      <c r="L712" s="13" t="str">
        <f aca="false">IF(A712="","",IF(OR(I712="Devolvida",N(H712)&gt;0),"Sim","Não"))</f>
        <v/>
      </c>
    </row>
    <row r="713" customFormat="false" ht="15" hidden="false" customHeight="false" outlineLevel="0" collapsed="false">
      <c r="A713" s="18"/>
      <c r="B713" s="18"/>
      <c r="C713" s="25"/>
      <c r="D713" s="25"/>
      <c r="E713" s="25"/>
      <c r="F713" s="18"/>
      <c r="G713" s="18"/>
      <c r="H713" s="18"/>
      <c r="I713" s="18"/>
      <c r="J713" s="13" t="str">
        <f aca="false">IF(OR(D713="",E713=""),"",E713-D713)</f>
        <v/>
      </c>
      <c r="K713" s="13" t="str">
        <f aca="false">IF(OR(C713="",D713=""),"",D713-C713)</f>
        <v/>
      </c>
      <c r="L713" s="13" t="str">
        <f aca="false">IF(A713="","",IF(OR(I713="Devolvida",N(H713)&gt;0),"Sim","Não"))</f>
        <v/>
      </c>
    </row>
    <row r="714" customFormat="false" ht="15" hidden="false" customHeight="false" outlineLevel="0" collapsed="false">
      <c r="A714" s="18"/>
      <c r="B714" s="18"/>
      <c r="C714" s="25"/>
      <c r="D714" s="25"/>
      <c r="E714" s="25"/>
      <c r="F714" s="18"/>
      <c r="G714" s="18"/>
      <c r="H714" s="18"/>
      <c r="I714" s="18"/>
      <c r="J714" s="13" t="str">
        <f aca="false">IF(OR(D714="",E714=""),"",E714-D714)</f>
        <v/>
      </c>
      <c r="K714" s="13" t="str">
        <f aca="false">IF(OR(C714="",D714=""),"",D714-C714)</f>
        <v/>
      </c>
      <c r="L714" s="13" t="str">
        <f aca="false">IF(A714="","",IF(OR(I714="Devolvida",N(H714)&gt;0),"Sim","Não"))</f>
        <v/>
      </c>
    </row>
    <row r="715" customFormat="false" ht="15" hidden="false" customHeight="false" outlineLevel="0" collapsed="false">
      <c r="A715" s="18"/>
      <c r="B715" s="18"/>
      <c r="C715" s="25"/>
      <c r="D715" s="25"/>
      <c r="E715" s="25"/>
      <c r="F715" s="18"/>
      <c r="G715" s="18"/>
      <c r="H715" s="18"/>
      <c r="I715" s="18"/>
      <c r="J715" s="13" t="str">
        <f aca="false">IF(OR(D715="",E715=""),"",E715-D715)</f>
        <v/>
      </c>
      <c r="K715" s="13" t="str">
        <f aca="false">IF(OR(C715="",D715=""),"",D715-C715)</f>
        <v/>
      </c>
      <c r="L715" s="13" t="str">
        <f aca="false">IF(A715="","",IF(OR(I715="Devolvida",N(H715)&gt;0),"Sim","Não"))</f>
        <v/>
      </c>
    </row>
    <row r="716" customFormat="false" ht="15" hidden="false" customHeight="false" outlineLevel="0" collapsed="false">
      <c r="A716" s="18"/>
      <c r="B716" s="18"/>
      <c r="C716" s="25"/>
      <c r="D716" s="25"/>
      <c r="E716" s="25"/>
      <c r="F716" s="18"/>
      <c r="G716" s="18"/>
      <c r="H716" s="18"/>
      <c r="I716" s="18"/>
      <c r="J716" s="13" t="str">
        <f aca="false">IF(OR(D716="",E716=""),"",E716-D716)</f>
        <v/>
      </c>
      <c r="K716" s="13" t="str">
        <f aca="false">IF(OR(C716="",D716=""),"",D716-C716)</f>
        <v/>
      </c>
      <c r="L716" s="13" t="str">
        <f aca="false">IF(A716="","",IF(OR(I716="Devolvida",N(H716)&gt;0),"Sim","Não"))</f>
        <v/>
      </c>
    </row>
    <row r="717" customFormat="false" ht="15" hidden="false" customHeight="false" outlineLevel="0" collapsed="false">
      <c r="A717" s="18"/>
      <c r="B717" s="18"/>
      <c r="C717" s="25"/>
      <c r="D717" s="25"/>
      <c r="E717" s="25"/>
      <c r="F717" s="18"/>
      <c r="G717" s="18"/>
      <c r="H717" s="18"/>
      <c r="I717" s="18"/>
      <c r="J717" s="13" t="str">
        <f aca="false">IF(OR(D717="",E717=""),"",E717-D717)</f>
        <v/>
      </c>
      <c r="K717" s="13" t="str">
        <f aca="false">IF(OR(C717="",D717=""),"",D717-C717)</f>
        <v/>
      </c>
      <c r="L717" s="13" t="str">
        <f aca="false">IF(A717="","",IF(OR(I717="Devolvida",N(H717)&gt;0),"Sim","Não"))</f>
        <v/>
      </c>
    </row>
    <row r="718" customFormat="false" ht="15" hidden="false" customHeight="false" outlineLevel="0" collapsed="false">
      <c r="A718" s="18"/>
      <c r="B718" s="18"/>
      <c r="C718" s="25"/>
      <c r="D718" s="25"/>
      <c r="E718" s="25"/>
      <c r="F718" s="18"/>
      <c r="G718" s="18"/>
      <c r="H718" s="18"/>
      <c r="I718" s="18"/>
      <c r="J718" s="13" t="str">
        <f aca="false">IF(OR(D718="",E718=""),"",E718-D718)</f>
        <v/>
      </c>
      <c r="K718" s="13" t="str">
        <f aca="false">IF(OR(C718="",D718=""),"",D718-C718)</f>
        <v/>
      </c>
      <c r="L718" s="13" t="str">
        <f aca="false">IF(A718="","",IF(OR(I718="Devolvida",N(H718)&gt;0),"Sim","Não"))</f>
        <v/>
      </c>
    </row>
    <row r="719" customFormat="false" ht="15" hidden="false" customHeight="false" outlineLevel="0" collapsed="false">
      <c r="A719" s="18"/>
      <c r="B719" s="18"/>
      <c r="C719" s="25"/>
      <c r="D719" s="25"/>
      <c r="E719" s="25"/>
      <c r="F719" s="18"/>
      <c r="G719" s="18"/>
      <c r="H719" s="18"/>
      <c r="I719" s="18"/>
      <c r="J719" s="13" t="str">
        <f aca="false">IF(OR(D719="",E719=""),"",E719-D719)</f>
        <v/>
      </c>
      <c r="K719" s="13" t="str">
        <f aca="false">IF(OR(C719="",D719=""),"",D719-C719)</f>
        <v/>
      </c>
      <c r="L719" s="13" t="str">
        <f aca="false">IF(A719="","",IF(OR(I719="Devolvida",N(H719)&gt;0),"Sim","Não"))</f>
        <v/>
      </c>
    </row>
    <row r="720" customFormat="false" ht="15" hidden="false" customHeight="false" outlineLevel="0" collapsed="false">
      <c r="A720" s="18"/>
      <c r="B720" s="18"/>
      <c r="C720" s="25"/>
      <c r="D720" s="25"/>
      <c r="E720" s="25"/>
      <c r="F720" s="18"/>
      <c r="G720" s="18"/>
      <c r="H720" s="18"/>
      <c r="I720" s="18"/>
      <c r="J720" s="13" t="str">
        <f aca="false">IF(OR(D720="",E720=""),"",E720-D720)</f>
        <v/>
      </c>
      <c r="K720" s="13" t="str">
        <f aca="false">IF(OR(C720="",D720=""),"",D720-C720)</f>
        <v/>
      </c>
      <c r="L720" s="13" t="str">
        <f aca="false">IF(A720="","",IF(OR(I720="Devolvida",N(H720)&gt;0),"Sim","Não"))</f>
        <v/>
      </c>
    </row>
    <row r="721" customFormat="false" ht="15" hidden="false" customHeight="false" outlineLevel="0" collapsed="false">
      <c r="A721" s="18"/>
      <c r="B721" s="18"/>
      <c r="C721" s="25"/>
      <c r="D721" s="25"/>
      <c r="E721" s="25"/>
      <c r="F721" s="18"/>
      <c r="G721" s="18"/>
      <c r="H721" s="18"/>
      <c r="I721" s="18"/>
      <c r="J721" s="13" t="str">
        <f aca="false">IF(OR(D721="",E721=""),"",E721-D721)</f>
        <v/>
      </c>
      <c r="K721" s="13" t="str">
        <f aca="false">IF(OR(C721="",D721=""),"",D721-C721)</f>
        <v/>
      </c>
      <c r="L721" s="13" t="str">
        <f aca="false">IF(A721="","",IF(OR(I721="Devolvida",N(H721)&gt;0),"Sim","Não"))</f>
        <v/>
      </c>
    </row>
    <row r="722" customFormat="false" ht="15" hidden="false" customHeight="false" outlineLevel="0" collapsed="false">
      <c r="A722" s="18"/>
      <c r="B722" s="18"/>
      <c r="C722" s="25"/>
      <c r="D722" s="25"/>
      <c r="E722" s="25"/>
      <c r="F722" s="18"/>
      <c r="G722" s="18"/>
      <c r="H722" s="18"/>
      <c r="I722" s="18"/>
      <c r="J722" s="13" t="str">
        <f aca="false">IF(OR(D722="",E722=""),"",E722-D722)</f>
        <v/>
      </c>
      <c r="K722" s="13" t="str">
        <f aca="false">IF(OR(C722="",D722=""),"",D722-C722)</f>
        <v/>
      </c>
      <c r="L722" s="13" t="str">
        <f aca="false">IF(A722="","",IF(OR(I722="Devolvida",N(H722)&gt;0),"Sim","Não"))</f>
        <v/>
      </c>
    </row>
    <row r="723" customFormat="false" ht="15" hidden="false" customHeight="false" outlineLevel="0" collapsed="false">
      <c r="A723" s="18"/>
      <c r="B723" s="18"/>
      <c r="C723" s="25"/>
      <c r="D723" s="25"/>
      <c r="E723" s="25"/>
      <c r="F723" s="18"/>
      <c r="G723" s="18"/>
      <c r="H723" s="18"/>
      <c r="I723" s="18"/>
      <c r="J723" s="13" t="str">
        <f aca="false">IF(OR(D723="",E723=""),"",E723-D723)</f>
        <v/>
      </c>
      <c r="K723" s="13" t="str">
        <f aca="false">IF(OR(C723="",D723=""),"",D723-C723)</f>
        <v/>
      </c>
      <c r="L723" s="13" t="str">
        <f aca="false">IF(A723="","",IF(OR(I723="Devolvida",N(H723)&gt;0),"Sim","Não"))</f>
        <v/>
      </c>
    </row>
    <row r="724" customFormat="false" ht="15" hidden="false" customHeight="false" outlineLevel="0" collapsed="false">
      <c r="A724" s="18"/>
      <c r="B724" s="18"/>
      <c r="C724" s="25"/>
      <c r="D724" s="25"/>
      <c r="E724" s="25"/>
      <c r="F724" s="18"/>
      <c r="G724" s="18"/>
      <c r="H724" s="18"/>
      <c r="I724" s="18"/>
      <c r="J724" s="13" t="str">
        <f aca="false">IF(OR(D724="",E724=""),"",E724-D724)</f>
        <v/>
      </c>
      <c r="K724" s="13" t="str">
        <f aca="false">IF(OR(C724="",D724=""),"",D724-C724)</f>
        <v/>
      </c>
      <c r="L724" s="13" t="str">
        <f aca="false">IF(A724="","",IF(OR(I724="Devolvida",N(H724)&gt;0),"Sim","Não"))</f>
        <v/>
      </c>
    </row>
    <row r="725" customFormat="false" ht="15" hidden="false" customHeight="false" outlineLevel="0" collapsed="false">
      <c r="A725" s="18"/>
      <c r="B725" s="18"/>
      <c r="C725" s="25"/>
      <c r="D725" s="25"/>
      <c r="E725" s="25"/>
      <c r="F725" s="18"/>
      <c r="G725" s="18"/>
      <c r="H725" s="18"/>
      <c r="I725" s="18"/>
      <c r="J725" s="13" t="str">
        <f aca="false">IF(OR(D725="",E725=""),"",E725-D725)</f>
        <v/>
      </c>
      <c r="K725" s="13" t="str">
        <f aca="false">IF(OR(C725="",D725=""),"",D725-C725)</f>
        <v/>
      </c>
      <c r="L725" s="13" t="str">
        <f aca="false">IF(A725="","",IF(OR(I725="Devolvida",N(H725)&gt;0),"Sim","Não"))</f>
        <v/>
      </c>
    </row>
    <row r="726" customFormat="false" ht="15" hidden="false" customHeight="false" outlineLevel="0" collapsed="false">
      <c r="A726" s="18"/>
      <c r="B726" s="18"/>
      <c r="C726" s="25"/>
      <c r="D726" s="25"/>
      <c r="E726" s="25"/>
      <c r="F726" s="18"/>
      <c r="G726" s="18"/>
      <c r="H726" s="18"/>
      <c r="I726" s="18"/>
      <c r="J726" s="13" t="str">
        <f aca="false">IF(OR(D726="",E726=""),"",E726-D726)</f>
        <v/>
      </c>
      <c r="K726" s="13" t="str">
        <f aca="false">IF(OR(C726="",D726=""),"",D726-C726)</f>
        <v/>
      </c>
      <c r="L726" s="13" t="str">
        <f aca="false">IF(A726="","",IF(OR(I726="Devolvida",N(H726)&gt;0),"Sim","Não"))</f>
        <v/>
      </c>
    </row>
    <row r="727" customFormat="false" ht="15" hidden="false" customHeight="false" outlineLevel="0" collapsed="false">
      <c r="A727" s="18"/>
      <c r="B727" s="18"/>
      <c r="C727" s="25"/>
      <c r="D727" s="25"/>
      <c r="E727" s="25"/>
      <c r="F727" s="18"/>
      <c r="G727" s="18"/>
      <c r="H727" s="18"/>
      <c r="I727" s="18"/>
      <c r="J727" s="13" t="str">
        <f aca="false">IF(OR(D727="",E727=""),"",E727-D727)</f>
        <v/>
      </c>
      <c r="K727" s="13" t="str">
        <f aca="false">IF(OR(C727="",D727=""),"",D727-C727)</f>
        <v/>
      </c>
      <c r="L727" s="13" t="str">
        <f aca="false">IF(A727="","",IF(OR(I727="Devolvida",N(H727)&gt;0),"Sim","Não"))</f>
        <v/>
      </c>
    </row>
    <row r="728" customFormat="false" ht="15" hidden="false" customHeight="false" outlineLevel="0" collapsed="false">
      <c r="A728" s="18"/>
      <c r="B728" s="18"/>
      <c r="C728" s="25"/>
      <c r="D728" s="25"/>
      <c r="E728" s="25"/>
      <c r="F728" s="18"/>
      <c r="G728" s="18"/>
      <c r="H728" s="18"/>
      <c r="I728" s="18"/>
      <c r="J728" s="13" t="str">
        <f aca="false">IF(OR(D728="",E728=""),"",E728-D728)</f>
        <v/>
      </c>
      <c r="K728" s="13" t="str">
        <f aca="false">IF(OR(C728="",D728=""),"",D728-C728)</f>
        <v/>
      </c>
      <c r="L728" s="13" t="str">
        <f aca="false">IF(A728="","",IF(OR(I728="Devolvida",N(H728)&gt;0),"Sim","Não"))</f>
        <v/>
      </c>
    </row>
    <row r="729" customFormat="false" ht="15" hidden="false" customHeight="false" outlineLevel="0" collapsed="false">
      <c r="A729" s="18"/>
      <c r="B729" s="18"/>
      <c r="C729" s="25"/>
      <c r="D729" s="25"/>
      <c r="E729" s="25"/>
      <c r="F729" s="18"/>
      <c r="G729" s="18"/>
      <c r="H729" s="18"/>
      <c r="I729" s="18"/>
      <c r="J729" s="13" t="str">
        <f aca="false">IF(OR(D729="",E729=""),"",E729-D729)</f>
        <v/>
      </c>
      <c r="K729" s="13" t="str">
        <f aca="false">IF(OR(C729="",D729=""),"",D729-C729)</f>
        <v/>
      </c>
      <c r="L729" s="13" t="str">
        <f aca="false">IF(A729="","",IF(OR(I729="Devolvida",N(H729)&gt;0),"Sim","Não"))</f>
        <v/>
      </c>
    </row>
    <row r="730" customFormat="false" ht="15" hidden="false" customHeight="false" outlineLevel="0" collapsed="false">
      <c r="A730" s="18"/>
      <c r="B730" s="18"/>
      <c r="C730" s="25"/>
      <c r="D730" s="25"/>
      <c r="E730" s="25"/>
      <c r="F730" s="18"/>
      <c r="G730" s="18"/>
      <c r="H730" s="18"/>
      <c r="I730" s="18"/>
      <c r="J730" s="13" t="str">
        <f aca="false">IF(OR(D730="",E730=""),"",E730-D730)</f>
        <v/>
      </c>
      <c r="K730" s="13" t="str">
        <f aca="false">IF(OR(C730="",D730=""),"",D730-C730)</f>
        <v/>
      </c>
      <c r="L730" s="13" t="str">
        <f aca="false">IF(A730="","",IF(OR(I730="Devolvida",N(H730)&gt;0),"Sim","Não"))</f>
        <v/>
      </c>
    </row>
    <row r="731" customFormat="false" ht="15" hidden="false" customHeight="false" outlineLevel="0" collapsed="false">
      <c r="A731" s="18"/>
      <c r="B731" s="18"/>
      <c r="C731" s="25"/>
      <c r="D731" s="25"/>
      <c r="E731" s="25"/>
      <c r="F731" s="18"/>
      <c r="G731" s="18"/>
      <c r="H731" s="18"/>
      <c r="I731" s="18"/>
      <c r="J731" s="13" t="str">
        <f aca="false">IF(OR(D731="",E731=""),"",E731-D731)</f>
        <v/>
      </c>
      <c r="K731" s="13" t="str">
        <f aca="false">IF(OR(C731="",D731=""),"",D731-C731)</f>
        <v/>
      </c>
      <c r="L731" s="13" t="str">
        <f aca="false">IF(A731="","",IF(OR(I731="Devolvida",N(H731)&gt;0),"Sim","Não"))</f>
        <v/>
      </c>
    </row>
    <row r="732" customFormat="false" ht="15" hidden="false" customHeight="false" outlineLevel="0" collapsed="false">
      <c r="A732" s="18"/>
      <c r="B732" s="18"/>
      <c r="C732" s="25"/>
      <c r="D732" s="25"/>
      <c r="E732" s="25"/>
      <c r="F732" s="18"/>
      <c r="G732" s="18"/>
      <c r="H732" s="18"/>
      <c r="I732" s="18"/>
      <c r="J732" s="13" t="str">
        <f aca="false">IF(OR(D732="",E732=""),"",E732-D732)</f>
        <v/>
      </c>
      <c r="K732" s="13" t="str">
        <f aca="false">IF(OR(C732="",D732=""),"",D732-C732)</f>
        <v/>
      </c>
      <c r="L732" s="13" t="str">
        <f aca="false">IF(A732="","",IF(OR(I732="Devolvida",N(H732)&gt;0),"Sim","Não"))</f>
        <v/>
      </c>
    </row>
    <row r="733" customFormat="false" ht="15" hidden="false" customHeight="false" outlineLevel="0" collapsed="false">
      <c r="A733" s="18"/>
      <c r="B733" s="18"/>
      <c r="C733" s="25"/>
      <c r="D733" s="25"/>
      <c r="E733" s="25"/>
      <c r="F733" s="18"/>
      <c r="G733" s="18"/>
      <c r="H733" s="18"/>
      <c r="I733" s="18"/>
      <c r="J733" s="13" t="str">
        <f aca="false">IF(OR(D733="",E733=""),"",E733-D733)</f>
        <v/>
      </c>
      <c r="K733" s="13" t="str">
        <f aca="false">IF(OR(C733="",D733=""),"",D733-C733)</f>
        <v/>
      </c>
      <c r="L733" s="13" t="str">
        <f aca="false">IF(A733="","",IF(OR(I733="Devolvida",N(H733)&gt;0),"Sim","Não"))</f>
        <v/>
      </c>
    </row>
    <row r="734" customFormat="false" ht="15" hidden="false" customHeight="false" outlineLevel="0" collapsed="false">
      <c r="A734" s="18"/>
      <c r="B734" s="18"/>
      <c r="C734" s="25"/>
      <c r="D734" s="25"/>
      <c r="E734" s="25"/>
      <c r="F734" s="18"/>
      <c r="G734" s="18"/>
      <c r="H734" s="18"/>
      <c r="I734" s="18"/>
      <c r="J734" s="13" t="str">
        <f aca="false">IF(OR(D734="",E734=""),"",E734-D734)</f>
        <v/>
      </c>
      <c r="K734" s="13" t="str">
        <f aca="false">IF(OR(C734="",D734=""),"",D734-C734)</f>
        <v/>
      </c>
      <c r="L734" s="13" t="str">
        <f aca="false">IF(A734="","",IF(OR(I734="Devolvida",N(H734)&gt;0),"Sim","Não"))</f>
        <v/>
      </c>
    </row>
    <row r="735" customFormat="false" ht="15" hidden="false" customHeight="false" outlineLevel="0" collapsed="false">
      <c r="A735" s="18"/>
      <c r="B735" s="18"/>
      <c r="C735" s="25"/>
      <c r="D735" s="25"/>
      <c r="E735" s="25"/>
      <c r="F735" s="18"/>
      <c r="G735" s="18"/>
      <c r="H735" s="18"/>
      <c r="I735" s="18"/>
      <c r="J735" s="13" t="str">
        <f aca="false">IF(OR(D735="",E735=""),"",E735-D735)</f>
        <v/>
      </c>
      <c r="K735" s="13" t="str">
        <f aca="false">IF(OR(C735="",D735=""),"",D735-C735)</f>
        <v/>
      </c>
      <c r="L735" s="13" t="str">
        <f aca="false">IF(A735="","",IF(OR(I735="Devolvida",N(H735)&gt;0),"Sim","Não"))</f>
        <v/>
      </c>
    </row>
    <row r="736" customFormat="false" ht="15" hidden="false" customHeight="false" outlineLevel="0" collapsed="false">
      <c r="A736" s="18"/>
      <c r="B736" s="18"/>
      <c r="C736" s="25"/>
      <c r="D736" s="25"/>
      <c r="E736" s="25"/>
      <c r="F736" s="18"/>
      <c r="G736" s="18"/>
      <c r="H736" s="18"/>
      <c r="I736" s="18"/>
      <c r="J736" s="13" t="str">
        <f aca="false">IF(OR(D736="",E736=""),"",E736-D736)</f>
        <v/>
      </c>
      <c r="K736" s="13" t="str">
        <f aca="false">IF(OR(C736="",D736=""),"",D736-C736)</f>
        <v/>
      </c>
      <c r="L736" s="13" t="str">
        <f aca="false">IF(A736="","",IF(OR(I736="Devolvida",N(H736)&gt;0),"Sim","Não"))</f>
        <v/>
      </c>
    </row>
    <row r="737" customFormat="false" ht="15" hidden="false" customHeight="false" outlineLevel="0" collapsed="false">
      <c r="A737" s="18"/>
      <c r="B737" s="18"/>
      <c r="C737" s="25"/>
      <c r="D737" s="25"/>
      <c r="E737" s="25"/>
      <c r="F737" s="18"/>
      <c r="G737" s="18"/>
      <c r="H737" s="18"/>
      <c r="I737" s="18"/>
      <c r="J737" s="13" t="str">
        <f aca="false">IF(OR(D737="",E737=""),"",E737-D737)</f>
        <v/>
      </c>
      <c r="K737" s="13" t="str">
        <f aca="false">IF(OR(C737="",D737=""),"",D737-C737)</f>
        <v/>
      </c>
      <c r="L737" s="13" t="str">
        <f aca="false">IF(A737="","",IF(OR(I737="Devolvida",N(H737)&gt;0),"Sim","Não"))</f>
        <v/>
      </c>
    </row>
    <row r="738" customFormat="false" ht="15" hidden="false" customHeight="false" outlineLevel="0" collapsed="false">
      <c r="A738" s="18"/>
      <c r="B738" s="18"/>
      <c r="C738" s="25"/>
      <c r="D738" s="25"/>
      <c r="E738" s="25"/>
      <c r="F738" s="18"/>
      <c r="G738" s="18"/>
      <c r="H738" s="18"/>
      <c r="I738" s="18"/>
      <c r="J738" s="13" t="str">
        <f aca="false">IF(OR(D738="",E738=""),"",E738-D738)</f>
        <v/>
      </c>
      <c r="K738" s="13" t="str">
        <f aca="false">IF(OR(C738="",D738=""),"",D738-C738)</f>
        <v/>
      </c>
      <c r="L738" s="13" t="str">
        <f aca="false">IF(A738="","",IF(OR(I738="Devolvida",N(H738)&gt;0),"Sim","Não"))</f>
        <v/>
      </c>
    </row>
    <row r="739" customFormat="false" ht="15" hidden="false" customHeight="false" outlineLevel="0" collapsed="false">
      <c r="A739" s="18"/>
      <c r="B739" s="18"/>
      <c r="C739" s="25"/>
      <c r="D739" s="25"/>
      <c r="E739" s="25"/>
      <c r="F739" s="18"/>
      <c r="G739" s="18"/>
      <c r="H739" s="18"/>
      <c r="I739" s="18"/>
      <c r="J739" s="13" t="str">
        <f aca="false">IF(OR(D739="",E739=""),"",E739-D739)</f>
        <v/>
      </c>
      <c r="K739" s="13" t="str">
        <f aca="false">IF(OR(C739="",D739=""),"",D739-C739)</f>
        <v/>
      </c>
      <c r="L739" s="13" t="str">
        <f aca="false">IF(A739="","",IF(OR(I739="Devolvida",N(H739)&gt;0),"Sim","Não"))</f>
        <v/>
      </c>
    </row>
    <row r="740" customFormat="false" ht="15" hidden="false" customHeight="false" outlineLevel="0" collapsed="false">
      <c r="A740" s="18"/>
      <c r="B740" s="18"/>
      <c r="C740" s="25"/>
      <c r="D740" s="25"/>
      <c r="E740" s="25"/>
      <c r="F740" s="18"/>
      <c r="G740" s="18"/>
      <c r="H740" s="18"/>
      <c r="I740" s="18"/>
      <c r="J740" s="13" t="str">
        <f aca="false">IF(OR(D740="",E740=""),"",E740-D740)</f>
        <v/>
      </c>
      <c r="K740" s="13" t="str">
        <f aca="false">IF(OR(C740="",D740=""),"",D740-C740)</f>
        <v/>
      </c>
      <c r="L740" s="13" t="str">
        <f aca="false">IF(A740="","",IF(OR(I740="Devolvida",N(H740)&gt;0),"Sim","Não"))</f>
        <v/>
      </c>
    </row>
    <row r="741" customFormat="false" ht="15" hidden="false" customHeight="false" outlineLevel="0" collapsed="false">
      <c r="A741" s="18"/>
      <c r="B741" s="18"/>
      <c r="C741" s="25"/>
      <c r="D741" s="25"/>
      <c r="E741" s="25"/>
      <c r="F741" s="18"/>
      <c r="G741" s="18"/>
      <c r="H741" s="18"/>
      <c r="I741" s="18"/>
      <c r="J741" s="13" t="str">
        <f aca="false">IF(OR(D741="",E741=""),"",E741-D741)</f>
        <v/>
      </c>
      <c r="K741" s="13" t="str">
        <f aca="false">IF(OR(C741="",D741=""),"",D741-C741)</f>
        <v/>
      </c>
      <c r="L741" s="13" t="str">
        <f aca="false">IF(A741="","",IF(OR(I741="Devolvida",N(H741)&gt;0),"Sim","Não"))</f>
        <v/>
      </c>
    </row>
    <row r="742" customFormat="false" ht="15" hidden="false" customHeight="false" outlineLevel="0" collapsed="false">
      <c r="A742" s="18"/>
      <c r="B742" s="18"/>
      <c r="C742" s="25"/>
      <c r="D742" s="25"/>
      <c r="E742" s="25"/>
      <c r="F742" s="18"/>
      <c r="G742" s="18"/>
      <c r="H742" s="18"/>
      <c r="I742" s="18"/>
      <c r="J742" s="13" t="str">
        <f aca="false">IF(OR(D742="",E742=""),"",E742-D742)</f>
        <v/>
      </c>
      <c r="K742" s="13" t="str">
        <f aca="false">IF(OR(C742="",D742=""),"",D742-C742)</f>
        <v/>
      </c>
      <c r="L742" s="13" t="str">
        <f aca="false">IF(A742="","",IF(OR(I742="Devolvida",N(H742)&gt;0),"Sim","Não"))</f>
        <v/>
      </c>
    </row>
    <row r="743" customFormat="false" ht="15" hidden="false" customHeight="false" outlineLevel="0" collapsed="false">
      <c r="A743" s="18"/>
      <c r="B743" s="18"/>
      <c r="C743" s="25"/>
      <c r="D743" s="25"/>
      <c r="E743" s="25"/>
      <c r="F743" s="18"/>
      <c r="G743" s="18"/>
      <c r="H743" s="18"/>
      <c r="I743" s="18"/>
      <c r="J743" s="13" t="str">
        <f aca="false">IF(OR(D743="",E743=""),"",E743-D743)</f>
        <v/>
      </c>
      <c r="K743" s="13" t="str">
        <f aca="false">IF(OR(C743="",D743=""),"",D743-C743)</f>
        <v/>
      </c>
      <c r="L743" s="13" t="str">
        <f aca="false">IF(A743="","",IF(OR(I743="Devolvida",N(H743)&gt;0),"Sim","Não"))</f>
        <v/>
      </c>
    </row>
    <row r="744" customFormat="false" ht="15" hidden="false" customHeight="false" outlineLevel="0" collapsed="false">
      <c r="A744" s="18"/>
      <c r="B744" s="18"/>
      <c r="C744" s="25"/>
      <c r="D744" s="25"/>
      <c r="E744" s="25"/>
      <c r="F744" s="18"/>
      <c r="G744" s="18"/>
      <c r="H744" s="18"/>
      <c r="I744" s="18"/>
      <c r="J744" s="13" t="str">
        <f aca="false">IF(OR(D744="",E744=""),"",E744-D744)</f>
        <v/>
      </c>
      <c r="K744" s="13" t="str">
        <f aca="false">IF(OR(C744="",D744=""),"",D744-C744)</f>
        <v/>
      </c>
      <c r="L744" s="13" t="str">
        <f aca="false">IF(A744="","",IF(OR(I744="Devolvida",N(H744)&gt;0),"Sim","Não"))</f>
        <v/>
      </c>
    </row>
    <row r="745" customFormat="false" ht="15" hidden="false" customHeight="false" outlineLevel="0" collapsed="false">
      <c r="A745" s="18"/>
      <c r="B745" s="18"/>
      <c r="C745" s="25"/>
      <c r="D745" s="25"/>
      <c r="E745" s="25"/>
      <c r="F745" s="18"/>
      <c r="G745" s="18"/>
      <c r="H745" s="18"/>
      <c r="I745" s="18"/>
      <c r="J745" s="13" t="str">
        <f aca="false">IF(OR(D745="",E745=""),"",E745-D745)</f>
        <v/>
      </c>
      <c r="K745" s="13" t="str">
        <f aca="false">IF(OR(C745="",D745=""),"",D745-C745)</f>
        <v/>
      </c>
      <c r="L745" s="13" t="str">
        <f aca="false">IF(A745="","",IF(OR(I745="Devolvida",N(H745)&gt;0),"Sim","Não"))</f>
        <v/>
      </c>
    </row>
    <row r="746" customFormat="false" ht="15" hidden="false" customHeight="false" outlineLevel="0" collapsed="false">
      <c r="A746" s="18"/>
      <c r="B746" s="18"/>
      <c r="C746" s="25"/>
      <c r="D746" s="25"/>
      <c r="E746" s="25"/>
      <c r="F746" s="18"/>
      <c r="G746" s="18"/>
      <c r="H746" s="18"/>
      <c r="I746" s="18"/>
      <c r="J746" s="13" t="str">
        <f aca="false">IF(OR(D746="",E746=""),"",E746-D746)</f>
        <v/>
      </c>
      <c r="K746" s="13" t="str">
        <f aca="false">IF(OR(C746="",D746=""),"",D746-C746)</f>
        <v/>
      </c>
      <c r="L746" s="13" t="str">
        <f aca="false">IF(A746="","",IF(OR(I746="Devolvida",N(H746)&gt;0),"Sim","Não"))</f>
        <v/>
      </c>
    </row>
    <row r="747" customFormat="false" ht="15" hidden="false" customHeight="false" outlineLevel="0" collapsed="false">
      <c r="A747" s="18"/>
      <c r="B747" s="18"/>
      <c r="C747" s="25"/>
      <c r="D747" s="25"/>
      <c r="E747" s="25"/>
      <c r="F747" s="18"/>
      <c r="G747" s="18"/>
      <c r="H747" s="18"/>
      <c r="I747" s="18"/>
      <c r="J747" s="13" t="str">
        <f aca="false">IF(OR(D747="",E747=""),"",E747-D747)</f>
        <v/>
      </c>
      <c r="K747" s="13" t="str">
        <f aca="false">IF(OR(C747="",D747=""),"",D747-C747)</f>
        <v/>
      </c>
      <c r="L747" s="13" t="str">
        <f aca="false">IF(A747="","",IF(OR(I747="Devolvida",N(H747)&gt;0),"Sim","Não"))</f>
        <v/>
      </c>
    </row>
    <row r="748" customFormat="false" ht="15" hidden="false" customHeight="false" outlineLevel="0" collapsed="false">
      <c r="A748" s="18"/>
      <c r="B748" s="18"/>
      <c r="C748" s="25"/>
      <c r="D748" s="25"/>
      <c r="E748" s="25"/>
      <c r="F748" s="18"/>
      <c r="G748" s="18"/>
      <c r="H748" s="18"/>
      <c r="I748" s="18"/>
      <c r="J748" s="13" t="str">
        <f aca="false">IF(OR(D748="",E748=""),"",E748-D748)</f>
        <v/>
      </c>
      <c r="K748" s="13" t="str">
        <f aca="false">IF(OR(C748="",D748=""),"",D748-C748)</f>
        <v/>
      </c>
      <c r="L748" s="13" t="str">
        <f aca="false">IF(A748="","",IF(OR(I748="Devolvida",N(H748)&gt;0),"Sim","Não"))</f>
        <v/>
      </c>
    </row>
    <row r="749" customFormat="false" ht="15" hidden="false" customHeight="false" outlineLevel="0" collapsed="false">
      <c r="A749" s="18"/>
      <c r="B749" s="18"/>
      <c r="C749" s="25"/>
      <c r="D749" s="25"/>
      <c r="E749" s="25"/>
      <c r="F749" s="18"/>
      <c r="G749" s="18"/>
      <c r="H749" s="18"/>
      <c r="I749" s="18"/>
      <c r="J749" s="13" t="str">
        <f aca="false">IF(OR(D749="",E749=""),"",E749-D749)</f>
        <v/>
      </c>
      <c r="K749" s="13" t="str">
        <f aca="false">IF(OR(C749="",D749=""),"",D749-C749)</f>
        <v/>
      </c>
      <c r="L749" s="13" t="str">
        <f aca="false">IF(A749="","",IF(OR(I749="Devolvida",N(H749)&gt;0),"Sim","Não"))</f>
        <v/>
      </c>
    </row>
    <row r="750" customFormat="false" ht="15" hidden="false" customHeight="false" outlineLevel="0" collapsed="false">
      <c r="A750" s="18"/>
      <c r="B750" s="18"/>
      <c r="C750" s="25"/>
      <c r="D750" s="25"/>
      <c r="E750" s="25"/>
      <c r="F750" s="18"/>
      <c r="G750" s="18"/>
      <c r="H750" s="18"/>
      <c r="I750" s="18"/>
      <c r="J750" s="13" t="str">
        <f aca="false">IF(OR(D750="",E750=""),"",E750-D750)</f>
        <v/>
      </c>
      <c r="K750" s="13" t="str">
        <f aca="false">IF(OR(C750="",D750=""),"",D750-C750)</f>
        <v/>
      </c>
      <c r="L750" s="13" t="str">
        <f aca="false">IF(A750="","",IF(OR(I750="Devolvida",N(H750)&gt;0),"Sim","Não"))</f>
        <v/>
      </c>
    </row>
    <row r="751" customFormat="false" ht="15" hidden="false" customHeight="false" outlineLevel="0" collapsed="false">
      <c r="A751" s="18"/>
      <c r="B751" s="18"/>
      <c r="C751" s="25"/>
      <c r="D751" s="25"/>
      <c r="E751" s="25"/>
      <c r="F751" s="18"/>
      <c r="G751" s="18"/>
      <c r="H751" s="18"/>
      <c r="I751" s="18"/>
      <c r="J751" s="13" t="str">
        <f aca="false">IF(OR(D751="",E751=""),"",E751-D751)</f>
        <v/>
      </c>
      <c r="K751" s="13" t="str">
        <f aca="false">IF(OR(C751="",D751=""),"",D751-C751)</f>
        <v/>
      </c>
      <c r="L751" s="13" t="str">
        <f aca="false">IF(A751="","",IF(OR(I751="Devolvida",N(H751)&gt;0),"Sim","Não"))</f>
        <v/>
      </c>
    </row>
    <row r="752" customFormat="false" ht="15" hidden="false" customHeight="false" outlineLevel="0" collapsed="false">
      <c r="A752" s="18"/>
      <c r="B752" s="18"/>
      <c r="C752" s="25"/>
      <c r="D752" s="25"/>
      <c r="E752" s="25"/>
      <c r="F752" s="18"/>
      <c r="G752" s="18"/>
      <c r="H752" s="18"/>
      <c r="I752" s="18"/>
      <c r="J752" s="13" t="str">
        <f aca="false">IF(OR(D752="",E752=""),"",E752-D752)</f>
        <v/>
      </c>
      <c r="K752" s="13" t="str">
        <f aca="false">IF(OR(C752="",D752=""),"",D752-C752)</f>
        <v/>
      </c>
      <c r="L752" s="13" t="str">
        <f aca="false">IF(A752="","",IF(OR(I752="Devolvida",N(H752)&gt;0),"Sim","Não"))</f>
        <v/>
      </c>
    </row>
    <row r="753" customFormat="false" ht="15" hidden="false" customHeight="false" outlineLevel="0" collapsed="false">
      <c r="A753" s="18"/>
      <c r="B753" s="18"/>
      <c r="C753" s="25"/>
      <c r="D753" s="25"/>
      <c r="E753" s="25"/>
      <c r="F753" s="18"/>
      <c r="G753" s="18"/>
      <c r="H753" s="18"/>
      <c r="I753" s="18"/>
      <c r="J753" s="13" t="str">
        <f aca="false">IF(OR(D753="",E753=""),"",E753-D753)</f>
        <v/>
      </c>
      <c r="K753" s="13" t="str">
        <f aca="false">IF(OR(C753="",D753=""),"",D753-C753)</f>
        <v/>
      </c>
      <c r="L753" s="13" t="str">
        <f aca="false">IF(A753="","",IF(OR(I753="Devolvida",N(H753)&gt;0),"Sim","Não"))</f>
        <v/>
      </c>
    </row>
    <row r="754" customFormat="false" ht="15" hidden="false" customHeight="false" outlineLevel="0" collapsed="false">
      <c r="A754" s="18"/>
      <c r="B754" s="18"/>
      <c r="C754" s="25"/>
      <c r="D754" s="25"/>
      <c r="E754" s="25"/>
      <c r="F754" s="18"/>
      <c r="G754" s="18"/>
      <c r="H754" s="18"/>
      <c r="I754" s="18"/>
      <c r="J754" s="13" t="str">
        <f aca="false">IF(OR(D754="",E754=""),"",E754-D754)</f>
        <v/>
      </c>
      <c r="K754" s="13" t="str">
        <f aca="false">IF(OR(C754="",D754=""),"",D754-C754)</f>
        <v/>
      </c>
      <c r="L754" s="13" t="str">
        <f aca="false">IF(A754="","",IF(OR(I754="Devolvida",N(H754)&gt;0),"Sim","Não"))</f>
        <v/>
      </c>
    </row>
    <row r="755" customFormat="false" ht="15" hidden="false" customHeight="false" outlineLevel="0" collapsed="false">
      <c r="A755" s="18"/>
      <c r="B755" s="18"/>
      <c r="C755" s="25"/>
      <c r="D755" s="25"/>
      <c r="E755" s="25"/>
      <c r="F755" s="18"/>
      <c r="G755" s="18"/>
      <c r="H755" s="18"/>
      <c r="I755" s="18"/>
      <c r="J755" s="13" t="str">
        <f aca="false">IF(OR(D755="",E755=""),"",E755-D755)</f>
        <v/>
      </c>
      <c r="K755" s="13" t="str">
        <f aca="false">IF(OR(C755="",D755=""),"",D755-C755)</f>
        <v/>
      </c>
      <c r="L755" s="13" t="str">
        <f aca="false">IF(A755="","",IF(OR(I755="Devolvida",N(H755)&gt;0),"Sim","Não"))</f>
        <v/>
      </c>
    </row>
    <row r="756" customFormat="false" ht="15" hidden="false" customHeight="false" outlineLevel="0" collapsed="false">
      <c r="A756" s="18"/>
      <c r="B756" s="18"/>
      <c r="C756" s="25"/>
      <c r="D756" s="25"/>
      <c r="E756" s="25"/>
      <c r="F756" s="18"/>
      <c r="G756" s="18"/>
      <c r="H756" s="18"/>
      <c r="I756" s="18"/>
      <c r="J756" s="13" t="str">
        <f aca="false">IF(OR(D756="",E756=""),"",E756-D756)</f>
        <v/>
      </c>
      <c r="K756" s="13" t="str">
        <f aca="false">IF(OR(C756="",D756=""),"",D756-C756)</f>
        <v/>
      </c>
      <c r="L756" s="13" t="str">
        <f aca="false">IF(A756="","",IF(OR(I756="Devolvida",N(H756)&gt;0),"Sim","Não"))</f>
        <v/>
      </c>
    </row>
    <row r="757" customFormat="false" ht="15" hidden="false" customHeight="false" outlineLevel="0" collapsed="false">
      <c r="A757" s="18"/>
      <c r="B757" s="18"/>
      <c r="C757" s="25"/>
      <c r="D757" s="25"/>
      <c r="E757" s="25"/>
      <c r="F757" s="18"/>
      <c r="G757" s="18"/>
      <c r="H757" s="18"/>
      <c r="I757" s="18"/>
      <c r="J757" s="13" t="str">
        <f aca="false">IF(OR(D757="",E757=""),"",E757-D757)</f>
        <v/>
      </c>
      <c r="K757" s="13" t="str">
        <f aca="false">IF(OR(C757="",D757=""),"",D757-C757)</f>
        <v/>
      </c>
      <c r="L757" s="13" t="str">
        <f aca="false">IF(A757="","",IF(OR(I757="Devolvida",N(H757)&gt;0),"Sim","Não"))</f>
        <v/>
      </c>
    </row>
    <row r="758" customFormat="false" ht="15" hidden="false" customHeight="false" outlineLevel="0" collapsed="false">
      <c r="A758" s="18"/>
      <c r="B758" s="18"/>
      <c r="C758" s="25"/>
      <c r="D758" s="25"/>
      <c r="E758" s="25"/>
      <c r="F758" s="18"/>
      <c r="G758" s="18"/>
      <c r="H758" s="18"/>
      <c r="I758" s="18"/>
      <c r="J758" s="13" t="str">
        <f aca="false">IF(OR(D758="",E758=""),"",E758-D758)</f>
        <v/>
      </c>
      <c r="K758" s="13" t="str">
        <f aca="false">IF(OR(C758="",D758=""),"",D758-C758)</f>
        <v/>
      </c>
      <c r="L758" s="13" t="str">
        <f aca="false">IF(A758="","",IF(OR(I758="Devolvida",N(H758)&gt;0),"Sim","Não"))</f>
        <v/>
      </c>
    </row>
    <row r="759" customFormat="false" ht="15" hidden="false" customHeight="false" outlineLevel="0" collapsed="false">
      <c r="A759" s="18"/>
      <c r="B759" s="18"/>
      <c r="C759" s="25"/>
      <c r="D759" s="25"/>
      <c r="E759" s="25"/>
      <c r="F759" s="18"/>
      <c r="G759" s="18"/>
      <c r="H759" s="18"/>
      <c r="I759" s="18"/>
      <c r="J759" s="13" t="str">
        <f aca="false">IF(OR(D759="",E759=""),"",E759-D759)</f>
        <v/>
      </c>
      <c r="K759" s="13" t="str">
        <f aca="false">IF(OR(C759="",D759=""),"",D759-C759)</f>
        <v/>
      </c>
      <c r="L759" s="13" t="str">
        <f aca="false">IF(A759="","",IF(OR(I759="Devolvida",N(H759)&gt;0),"Sim","Não"))</f>
        <v/>
      </c>
    </row>
    <row r="760" customFormat="false" ht="15" hidden="false" customHeight="false" outlineLevel="0" collapsed="false">
      <c r="A760" s="18"/>
      <c r="B760" s="18"/>
      <c r="C760" s="25"/>
      <c r="D760" s="25"/>
      <c r="E760" s="25"/>
      <c r="F760" s="18"/>
      <c r="G760" s="18"/>
      <c r="H760" s="18"/>
      <c r="I760" s="18"/>
      <c r="J760" s="13" t="str">
        <f aca="false">IF(OR(D760="",E760=""),"",E760-D760)</f>
        <v/>
      </c>
      <c r="K760" s="13" t="str">
        <f aca="false">IF(OR(C760="",D760=""),"",D760-C760)</f>
        <v/>
      </c>
      <c r="L760" s="13" t="str">
        <f aca="false">IF(A760="","",IF(OR(I760="Devolvida",N(H760)&gt;0),"Sim","Não"))</f>
        <v/>
      </c>
    </row>
    <row r="761" customFormat="false" ht="15" hidden="false" customHeight="false" outlineLevel="0" collapsed="false">
      <c r="A761" s="18"/>
      <c r="B761" s="18"/>
      <c r="C761" s="25"/>
      <c r="D761" s="25"/>
      <c r="E761" s="25"/>
      <c r="F761" s="18"/>
      <c r="G761" s="18"/>
      <c r="H761" s="18"/>
      <c r="I761" s="18"/>
      <c r="J761" s="13" t="str">
        <f aca="false">IF(OR(D761="",E761=""),"",E761-D761)</f>
        <v/>
      </c>
      <c r="K761" s="13" t="str">
        <f aca="false">IF(OR(C761="",D761=""),"",D761-C761)</f>
        <v/>
      </c>
      <c r="L761" s="13" t="str">
        <f aca="false">IF(A761="","",IF(OR(I761="Devolvida",N(H761)&gt;0),"Sim","Não"))</f>
        <v/>
      </c>
    </row>
    <row r="762" customFormat="false" ht="15" hidden="false" customHeight="false" outlineLevel="0" collapsed="false">
      <c r="A762" s="18"/>
      <c r="B762" s="18"/>
      <c r="C762" s="25"/>
      <c r="D762" s="25"/>
      <c r="E762" s="25"/>
      <c r="F762" s="18"/>
      <c r="G762" s="18"/>
      <c r="H762" s="18"/>
      <c r="I762" s="18"/>
      <c r="J762" s="13" t="str">
        <f aca="false">IF(OR(D762="",E762=""),"",E762-D762)</f>
        <v/>
      </c>
      <c r="K762" s="13" t="str">
        <f aca="false">IF(OR(C762="",D762=""),"",D762-C762)</f>
        <v/>
      </c>
      <c r="L762" s="13" t="str">
        <f aca="false">IF(A762="","",IF(OR(I762="Devolvida",N(H762)&gt;0),"Sim","Não"))</f>
        <v/>
      </c>
    </row>
    <row r="763" customFormat="false" ht="15" hidden="false" customHeight="false" outlineLevel="0" collapsed="false">
      <c r="A763" s="18"/>
      <c r="B763" s="18"/>
      <c r="C763" s="25"/>
      <c r="D763" s="25"/>
      <c r="E763" s="25"/>
      <c r="F763" s="18"/>
      <c r="G763" s="18"/>
      <c r="H763" s="18"/>
      <c r="I763" s="18"/>
      <c r="J763" s="13" t="str">
        <f aca="false">IF(OR(D763="",E763=""),"",E763-D763)</f>
        <v/>
      </c>
      <c r="K763" s="13" t="str">
        <f aca="false">IF(OR(C763="",D763=""),"",D763-C763)</f>
        <v/>
      </c>
      <c r="L763" s="13" t="str">
        <f aca="false">IF(A763="","",IF(OR(I763="Devolvida",N(H763)&gt;0),"Sim","Não"))</f>
        <v/>
      </c>
    </row>
    <row r="764" customFormat="false" ht="15" hidden="false" customHeight="false" outlineLevel="0" collapsed="false">
      <c r="A764" s="18"/>
      <c r="B764" s="18"/>
      <c r="C764" s="25"/>
      <c r="D764" s="25"/>
      <c r="E764" s="25"/>
      <c r="F764" s="18"/>
      <c r="G764" s="18"/>
      <c r="H764" s="18"/>
      <c r="I764" s="18"/>
      <c r="J764" s="13" t="str">
        <f aca="false">IF(OR(D764="",E764=""),"",E764-D764)</f>
        <v/>
      </c>
      <c r="K764" s="13" t="str">
        <f aca="false">IF(OR(C764="",D764=""),"",D764-C764)</f>
        <v/>
      </c>
      <c r="L764" s="13" t="str">
        <f aca="false">IF(A764="","",IF(OR(I764="Devolvida",N(H764)&gt;0),"Sim","Não"))</f>
        <v/>
      </c>
    </row>
    <row r="765" customFormat="false" ht="15" hidden="false" customHeight="false" outlineLevel="0" collapsed="false">
      <c r="A765" s="18"/>
      <c r="B765" s="18"/>
      <c r="C765" s="25"/>
      <c r="D765" s="25"/>
      <c r="E765" s="25"/>
      <c r="F765" s="18"/>
      <c r="G765" s="18"/>
      <c r="H765" s="18"/>
      <c r="I765" s="18"/>
      <c r="J765" s="13" t="str">
        <f aca="false">IF(OR(D765="",E765=""),"",E765-D765)</f>
        <v/>
      </c>
      <c r="K765" s="13" t="str">
        <f aca="false">IF(OR(C765="",D765=""),"",D765-C765)</f>
        <v/>
      </c>
      <c r="L765" s="13" t="str">
        <f aca="false">IF(A765="","",IF(OR(I765="Devolvida",N(H765)&gt;0),"Sim","Não"))</f>
        <v/>
      </c>
    </row>
    <row r="766" customFormat="false" ht="15" hidden="false" customHeight="false" outlineLevel="0" collapsed="false">
      <c r="A766" s="18"/>
      <c r="B766" s="18"/>
      <c r="C766" s="25"/>
      <c r="D766" s="25"/>
      <c r="E766" s="25"/>
      <c r="F766" s="18"/>
      <c r="G766" s="18"/>
      <c r="H766" s="18"/>
      <c r="I766" s="18"/>
      <c r="J766" s="13" t="str">
        <f aca="false">IF(OR(D766="",E766=""),"",E766-D766)</f>
        <v/>
      </c>
      <c r="K766" s="13" t="str">
        <f aca="false">IF(OR(C766="",D766=""),"",D766-C766)</f>
        <v/>
      </c>
      <c r="L766" s="13" t="str">
        <f aca="false">IF(A766="","",IF(OR(I766="Devolvida",N(H766)&gt;0),"Sim","Não"))</f>
        <v/>
      </c>
    </row>
    <row r="767" customFormat="false" ht="15" hidden="false" customHeight="false" outlineLevel="0" collapsed="false">
      <c r="A767" s="18"/>
      <c r="B767" s="18"/>
      <c r="C767" s="25"/>
      <c r="D767" s="25"/>
      <c r="E767" s="25"/>
      <c r="F767" s="18"/>
      <c r="G767" s="18"/>
      <c r="H767" s="18"/>
      <c r="I767" s="18"/>
      <c r="J767" s="13" t="str">
        <f aca="false">IF(OR(D767="",E767=""),"",E767-D767)</f>
        <v/>
      </c>
      <c r="K767" s="13" t="str">
        <f aca="false">IF(OR(C767="",D767=""),"",D767-C767)</f>
        <v/>
      </c>
      <c r="L767" s="13" t="str">
        <f aca="false">IF(A767="","",IF(OR(I767="Devolvida",N(H767)&gt;0),"Sim","Não"))</f>
        <v/>
      </c>
    </row>
    <row r="768" customFormat="false" ht="15" hidden="false" customHeight="false" outlineLevel="0" collapsed="false">
      <c r="A768" s="18"/>
      <c r="B768" s="18"/>
      <c r="C768" s="25"/>
      <c r="D768" s="25"/>
      <c r="E768" s="25"/>
      <c r="F768" s="18"/>
      <c r="G768" s="18"/>
      <c r="H768" s="18"/>
      <c r="I768" s="18"/>
      <c r="J768" s="13" t="str">
        <f aca="false">IF(OR(D768="",E768=""),"",E768-D768)</f>
        <v/>
      </c>
      <c r="K768" s="13" t="str">
        <f aca="false">IF(OR(C768="",D768=""),"",D768-C768)</f>
        <v/>
      </c>
      <c r="L768" s="13" t="str">
        <f aca="false">IF(A768="","",IF(OR(I768="Devolvida",N(H768)&gt;0),"Sim","Não"))</f>
        <v/>
      </c>
    </row>
    <row r="769" customFormat="false" ht="15" hidden="false" customHeight="false" outlineLevel="0" collapsed="false">
      <c r="A769" s="18"/>
      <c r="B769" s="18"/>
      <c r="C769" s="25"/>
      <c r="D769" s="25"/>
      <c r="E769" s="25"/>
      <c r="F769" s="18"/>
      <c r="G769" s="18"/>
      <c r="H769" s="18"/>
      <c r="I769" s="18"/>
      <c r="J769" s="13" t="str">
        <f aca="false">IF(OR(D769="",E769=""),"",E769-D769)</f>
        <v/>
      </c>
      <c r="K769" s="13" t="str">
        <f aca="false">IF(OR(C769="",D769=""),"",D769-C769)</f>
        <v/>
      </c>
      <c r="L769" s="13" t="str">
        <f aca="false">IF(A769="","",IF(OR(I769="Devolvida",N(H769)&gt;0),"Sim","Não"))</f>
        <v/>
      </c>
    </row>
    <row r="770" customFormat="false" ht="15" hidden="false" customHeight="false" outlineLevel="0" collapsed="false">
      <c r="A770" s="18"/>
      <c r="B770" s="18"/>
      <c r="C770" s="25"/>
      <c r="D770" s="25"/>
      <c r="E770" s="25"/>
      <c r="F770" s="18"/>
      <c r="G770" s="18"/>
      <c r="H770" s="18"/>
      <c r="I770" s="18"/>
      <c r="J770" s="13" t="str">
        <f aca="false">IF(OR(D770="",E770=""),"",E770-D770)</f>
        <v/>
      </c>
      <c r="K770" s="13" t="str">
        <f aca="false">IF(OR(C770="",D770=""),"",D770-C770)</f>
        <v/>
      </c>
      <c r="L770" s="13" t="str">
        <f aca="false">IF(A770="","",IF(OR(I770="Devolvida",N(H770)&gt;0),"Sim","Não"))</f>
        <v/>
      </c>
    </row>
    <row r="771" customFormat="false" ht="15" hidden="false" customHeight="false" outlineLevel="0" collapsed="false">
      <c r="A771" s="18"/>
      <c r="B771" s="18"/>
      <c r="C771" s="25"/>
      <c r="D771" s="25"/>
      <c r="E771" s="25"/>
      <c r="F771" s="18"/>
      <c r="G771" s="18"/>
      <c r="H771" s="18"/>
      <c r="I771" s="18"/>
      <c r="J771" s="13" t="str">
        <f aca="false">IF(OR(D771="",E771=""),"",E771-D771)</f>
        <v/>
      </c>
      <c r="K771" s="13" t="str">
        <f aca="false">IF(OR(C771="",D771=""),"",D771-C771)</f>
        <v/>
      </c>
      <c r="L771" s="13" t="str">
        <f aca="false">IF(A771="","",IF(OR(I771="Devolvida",N(H771)&gt;0),"Sim","Não"))</f>
        <v/>
      </c>
    </row>
    <row r="772" customFormat="false" ht="15" hidden="false" customHeight="false" outlineLevel="0" collapsed="false">
      <c r="A772" s="18"/>
      <c r="B772" s="18"/>
      <c r="C772" s="25"/>
      <c r="D772" s="25"/>
      <c r="E772" s="25"/>
      <c r="F772" s="18"/>
      <c r="G772" s="18"/>
      <c r="H772" s="18"/>
      <c r="I772" s="18"/>
      <c r="J772" s="13" t="str">
        <f aca="false">IF(OR(D772="",E772=""),"",E772-D772)</f>
        <v/>
      </c>
      <c r="K772" s="13" t="str">
        <f aca="false">IF(OR(C772="",D772=""),"",D772-C772)</f>
        <v/>
      </c>
      <c r="L772" s="13" t="str">
        <f aca="false">IF(A772="","",IF(OR(I772="Devolvida",N(H772)&gt;0),"Sim","Não"))</f>
        <v/>
      </c>
    </row>
    <row r="773" customFormat="false" ht="15" hidden="false" customHeight="false" outlineLevel="0" collapsed="false">
      <c r="A773" s="18"/>
      <c r="B773" s="18"/>
      <c r="C773" s="25"/>
      <c r="D773" s="25"/>
      <c r="E773" s="25"/>
      <c r="F773" s="18"/>
      <c r="G773" s="18"/>
      <c r="H773" s="18"/>
      <c r="I773" s="18"/>
      <c r="J773" s="13" t="str">
        <f aca="false">IF(OR(D773="",E773=""),"",E773-D773)</f>
        <v/>
      </c>
      <c r="K773" s="13" t="str">
        <f aca="false">IF(OR(C773="",D773=""),"",D773-C773)</f>
        <v/>
      </c>
      <c r="L773" s="13" t="str">
        <f aca="false">IF(A773="","",IF(OR(I773="Devolvida",N(H773)&gt;0),"Sim","Não"))</f>
        <v/>
      </c>
    </row>
    <row r="774" customFormat="false" ht="15" hidden="false" customHeight="false" outlineLevel="0" collapsed="false">
      <c r="A774" s="18"/>
      <c r="B774" s="18"/>
      <c r="C774" s="25"/>
      <c r="D774" s="25"/>
      <c r="E774" s="25"/>
      <c r="F774" s="18"/>
      <c r="G774" s="18"/>
      <c r="H774" s="18"/>
      <c r="I774" s="18"/>
      <c r="J774" s="13" t="str">
        <f aca="false">IF(OR(D774="",E774=""),"",E774-D774)</f>
        <v/>
      </c>
      <c r="K774" s="13" t="str">
        <f aca="false">IF(OR(C774="",D774=""),"",D774-C774)</f>
        <v/>
      </c>
      <c r="L774" s="13" t="str">
        <f aca="false">IF(A774="","",IF(OR(I774="Devolvida",N(H774)&gt;0),"Sim","Não"))</f>
        <v/>
      </c>
    </row>
    <row r="775" customFormat="false" ht="15" hidden="false" customHeight="false" outlineLevel="0" collapsed="false">
      <c r="A775" s="18"/>
      <c r="B775" s="18"/>
      <c r="C775" s="25"/>
      <c r="D775" s="25"/>
      <c r="E775" s="25"/>
      <c r="F775" s="18"/>
      <c r="G775" s="18"/>
      <c r="H775" s="18"/>
      <c r="I775" s="18"/>
      <c r="J775" s="13" t="str">
        <f aca="false">IF(OR(D775="",E775=""),"",E775-D775)</f>
        <v/>
      </c>
      <c r="K775" s="13" t="str">
        <f aca="false">IF(OR(C775="",D775=""),"",D775-C775)</f>
        <v/>
      </c>
      <c r="L775" s="13" t="str">
        <f aca="false">IF(A775="","",IF(OR(I775="Devolvida",N(H775)&gt;0),"Sim","Não"))</f>
        <v/>
      </c>
    </row>
    <row r="776" customFormat="false" ht="15" hidden="false" customHeight="false" outlineLevel="0" collapsed="false">
      <c r="A776" s="18"/>
      <c r="B776" s="18"/>
      <c r="C776" s="25"/>
      <c r="D776" s="25"/>
      <c r="E776" s="25"/>
      <c r="F776" s="18"/>
      <c r="G776" s="18"/>
      <c r="H776" s="18"/>
      <c r="I776" s="18"/>
      <c r="J776" s="13" t="str">
        <f aca="false">IF(OR(D776="",E776=""),"",E776-D776)</f>
        <v/>
      </c>
      <c r="K776" s="13" t="str">
        <f aca="false">IF(OR(C776="",D776=""),"",D776-C776)</f>
        <v/>
      </c>
      <c r="L776" s="13" t="str">
        <f aca="false">IF(A776="","",IF(OR(I776="Devolvida",N(H776)&gt;0),"Sim","Não"))</f>
        <v/>
      </c>
    </row>
    <row r="777" customFormat="false" ht="15" hidden="false" customHeight="false" outlineLevel="0" collapsed="false">
      <c r="A777" s="18"/>
      <c r="B777" s="18"/>
      <c r="C777" s="25"/>
      <c r="D777" s="25"/>
      <c r="E777" s="25"/>
      <c r="F777" s="18"/>
      <c r="G777" s="18"/>
      <c r="H777" s="18"/>
      <c r="I777" s="18"/>
      <c r="J777" s="13" t="str">
        <f aca="false">IF(OR(D777="",E777=""),"",E777-D777)</f>
        <v/>
      </c>
      <c r="K777" s="13" t="str">
        <f aca="false">IF(OR(C777="",D777=""),"",D777-C777)</f>
        <v/>
      </c>
      <c r="L777" s="13" t="str">
        <f aca="false">IF(A777="","",IF(OR(I777="Devolvida",N(H777)&gt;0),"Sim","Não"))</f>
        <v/>
      </c>
    </row>
    <row r="778" customFormat="false" ht="15" hidden="false" customHeight="false" outlineLevel="0" collapsed="false">
      <c r="A778" s="18"/>
      <c r="B778" s="18"/>
      <c r="C778" s="25"/>
      <c r="D778" s="25"/>
      <c r="E778" s="25"/>
      <c r="F778" s="18"/>
      <c r="G778" s="18"/>
      <c r="H778" s="18"/>
      <c r="I778" s="18"/>
      <c r="J778" s="13" t="str">
        <f aca="false">IF(OR(D778="",E778=""),"",E778-D778)</f>
        <v/>
      </c>
      <c r="K778" s="13" t="str">
        <f aca="false">IF(OR(C778="",D778=""),"",D778-C778)</f>
        <v/>
      </c>
      <c r="L778" s="13" t="str">
        <f aca="false">IF(A778="","",IF(OR(I778="Devolvida",N(H778)&gt;0),"Sim","Não"))</f>
        <v/>
      </c>
    </row>
    <row r="779" customFormat="false" ht="15" hidden="false" customHeight="false" outlineLevel="0" collapsed="false">
      <c r="A779" s="18"/>
      <c r="B779" s="18"/>
      <c r="C779" s="25"/>
      <c r="D779" s="25"/>
      <c r="E779" s="25"/>
      <c r="F779" s="18"/>
      <c r="G779" s="18"/>
      <c r="H779" s="18"/>
      <c r="I779" s="18"/>
      <c r="J779" s="13" t="str">
        <f aca="false">IF(OR(D779="",E779=""),"",E779-D779)</f>
        <v/>
      </c>
      <c r="K779" s="13" t="str">
        <f aca="false">IF(OR(C779="",D779=""),"",D779-C779)</f>
        <v/>
      </c>
      <c r="L779" s="13" t="str">
        <f aca="false">IF(A779="","",IF(OR(I779="Devolvida",N(H779)&gt;0),"Sim","Não"))</f>
        <v/>
      </c>
    </row>
    <row r="780" customFormat="false" ht="15" hidden="false" customHeight="false" outlineLevel="0" collapsed="false">
      <c r="A780" s="18"/>
      <c r="B780" s="18"/>
      <c r="C780" s="25"/>
      <c r="D780" s="25"/>
      <c r="E780" s="25"/>
      <c r="F780" s="18"/>
      <c r="G780" s="18"/>
      <c r="H780" s="18"/>
      <c r="I780" s="18"/>
      <c r="J780" s="13" t="str">
        <f aca="false">IF(OR(D780="",E780=""),"",E780-D780)</f>
        <v/>
      </c>
      <c r="K780" s="13" t="str">
        <f aca="false">IF(OR(C780="",D780=""),"",D780-C780)</f>
        <v/>
      </c>
      <c r="L780" s="13" t="str">
        <f aca="false">IF(A780="","",IF(OR(I780="Devolvida",N(H780)&gt;0),"Sim","Não"))</f>
        <v/>
      </c>
    </row>
    <row r="781" customFormat="false" ht="15" hidden="false" customHeight="false" outlineLevel="0" collapsed="false">
      <c r="A781" s="18"/>
      <c r="B781" s="18"/>
      <c r="C781" s="25"/>
      <c r="D781" s="25"/>
      <c r="E781" s="25"/>
      <c r="F781" s="18"/>
      <c r="G781" s="18"/>
      <c r="H781" s="18"/>
      <c r="I781" s="18"/>
      <c r="J781" s="13" t="str">
        <f aca="false">IF(OR(D781="",E781=""),"",E781-D781)</f>
        <v/>
      </c>
      <c r="K781" s="13" t="str">
        <f aca="false">IF(OR(C781="",D781=""),"",D781-C781)</f>
        <v/>
      </c>
      <c r="L781" s="13" t="str">
        <f aca="false">IF(A781="","",IF(OR(I781="Devolvida",N(H781)&gt;0),"Sim","Não"))</f>
        <v/>
      </c>
    </row>
    <row r="782" customFormat="false" ht="15" hidden="false" customHeight="false" outlineLevel="0" collapsed="false">
      <c r="A782" s="18"/>
      <c r="B782" s="18"/>
      <c r="C782" s="25"/>
      <c r="D782" s="25"/>
      <c r="E782" s="25"/>
      <c r="F782" s="18"/>
      <c r="G782" s="18"/>
      <c r="H782" s="18"/>
      <c r="I782" s="18"/>
      <c r="J782" s="13" t="str">
        <f aca="false">IF(OR(D782="",E782=""),"",E782-D782)</f>
        <v/>
      </c>
      <c r="K782" s="13" t="str">
        <f aca="false">IF(OR(C782="",D782=""),"",D782-C782)</f>
        <v/>
      </c>
      <c r="L782" s="13" t="str">
        <f aca="false">IF(A782="","",IF(OR(I782="Devolvida",N(H782)&gt;0),"Sim","Não"))</f>
        <v/>
      </c>
    </row>
    <row r="783" customFormat="false" ht="15" hidden="false" customHeight="false" outlineLevel="0" collapsed="false">
      <c r="A783" s="18"/>
      <c r="B783" s="18"/>
      <c r="C783" s="25"/>
      <c r="D783" s="25"/>
      <c r="E783" s="25"/>
      <c r="F783" s="18"/>
      <c r="G783" s="18"/>
      <c r="H783" s="18"/>
      <c r="I783" s="18"/>
      <c r="J783" s="13" t="str">
        <f aca="false">IF(OR(D783="",E783=""),"",E783-D783)</f>
        <v/>
      </c>
      <c r="K783" s="13" t="str">
        <f aca="false">IF(OR(C783="",D783=""),"",D783-C783)</f>
        <v/>
      </c>
      <c r="L783" s="13" t="str">
        <f aca="false">IF(A783="","",IF(OR(I783="Devolvida",N(H783)&gt;0),"Sim","Não"))</f>
        <v/>
      </c>
    </row>
    <row r="784" customFormat="false" ht="15" hidden="false" customHeight="false" outlineLevel="0" collapsed="false">
      <c r="A784" s="18"/>
      <c r="B784" s="18"/>
      <c r="C784" s="25"/>
      <c r="D784" s="25"/>
      <c r="E784" s="25"/>
      <c r="F784" s="18"/>
      <c r="G784" s="18"/>
      <c r="H784" s="18"/>
      <c r="I784" s="18"/>
      <c r="J784" s="13" t="str">
        <f aca="false">IF(OR(D784="",E784=""),"",E784-D784)</f>
        <v/>
      </c>
      <c r="K784" s="13" t="str">
        <f aca="false">IF(OR(C784="",D784=""),"",D784-C784)</f>
        <v/>
      </c>
      <c r="L784" s="13" t="str">
        <f aca="false">IF(A784="","",IF(OR(I784="Devolvida",N(H784)&gt;0),"Sim","Não"))</f>
        <v/>
      </c>
    </row>
    <row r="785" customFormat="false" ht="15" hidden="false" customHeight="false" outlineLevel="0" collapsed="false">
      <c r="A785" s="18"/>
      <c r="B785" s="18"/>
      <c r="C785" s="25"/>
      <c r="D785" s="25"/>
      <c r="E785" s="25"/>
      <c r="F785" s="18"/>
      <c r="G785" s="18"/>
      <c r="H785" s="18"/>
      <c r="I785" s="18"/>
      <c r="J785" s="13" t="str">
        <f aca="false">IF(OR(D785="",E785=""),"",E785-D785)</f>
        <v/>
      </c>
      <c r="K785" s="13" t="str">
        <f aca="false">IF(OR(C785="",D785=""),"",D785-C785)</f>
        <v/>
      </c>
      <c r="L785" s="13" t="str">
        <f aca="false">IF(A785="","",IF(OR(I785="Devolvida",N(H785)&gt;0),"Sim","Não"))</f>
        <v/>
      </c>
    </row>
    <row r="786" customFormat="false" ht="15" hidden="false" customHeight="false" outlineLevel="0" collapsed="false">
      <c r="A786" s="18"/>
      <c r="B786" s="18"/>
      <c r="C786" s="25"/>
      <c r="D786" s="25"/>
      <c r="E786" s="25"/>
      <c r="F786" s="18"/>
      <c r="G786" s="18"/>
      <c r="H786" s="18"/>
      <c r="I786" s="18"/>
      <c r="J786" s="13" t="str">
        <f aca="false">IF(OR(D786="",E786=""),"",E786-D786)</f>
        <v/>
      </c>
      <c r="K786" s="13" t="str">
        <f aca="false">IF(OR(C786="",D786=""),"",D786-C786)</f>
        <v/>
      </c>
      <c r="L786" s="13" t="str">
        <f aca="false">IF(A786="","",IF(OR(I786="Devolvida",N(H786)&gt;0),"Sim","Não"))</f>
        <v/>
      </c>
    </row>
    <row r="787" customFormat="false" ht="15" hidden="false" customHeight="false" outlineLevel="0" collapsed="false">
      <c r="A787" s="18"/>
      <c r="B787" s="18"/>
      <c r="C787" s="25"/>
      <c r="D787" s="25"/>
      <c r="E787" s="25"/>
      <c r="F787" s="18"/>
      <c r="G787" s="18"/>
      <c r="H787" s="18"/>
      <c r="I787" s="18"/>
      <c r="J787" s="13" t="str">
        <f aca="false">IF(OR(D787="",E787=""),"",E787-D787)</f>
        <v/>
      </c>
      <c r="K787" s="13" t="str">
        <f aca="false">IF(OR(C787="",D787=""),"",D787-C787)</f>
        <v/>
      </c>
      <c r="L787" s="13" t="str">
        <f aca="false">IF(A787="","",IF(OR(I787="Devolvida",N(H787)&gt;0),"Sim","Não"))</f>
        <v/>
      </c>
    </row>
    <row r="788" customFormat="false" ht="15" hidden="false" customHeight="false" outlineLevel="0" collapsed="false">
      <c r="A788" s="18"/>
      <c r="B788" s="18"/>
      <c r="C788" s="25"/>
      <c r="D788" s="25"/>
      <c r="E788" s="25"/>
      <c r="F788" s="18"/>
      <c r="G788" s="18"/>
      <c r="H788" s="18"/>
      <c r="I788" s="18"/>
      <c r="J788" s="13" t="str">
        <f aca="false">IF(OR(D788="",E788=""),"",E788-D788)</f>
        <v/>
      </c>
      <c r="K788" s="13" t="str">
        <f aca="false">IF(OR(C788="",D788=""),"",D788-C788)</f>
        <v/>
      </c>
      <c r="L788" s="13" t="str">
        <f aca="false">IF(A788="","",IF(OR(I788="Devolvida",N(H788)&gt;0),"Sim","Não"))</f>
        <v/>
      </c>
    </row>
    <row r="789" customFormat="false" ht="15" hidden="false" customHeight="false" outlineLevel="0" collapsed="false">
      <c r="A789" s="18"/>
      <c r="B789" s="18"/>
      <c r="C789" s="25"/>
      <c r="D789" s="25"/>
      <c r="E789" s="25"/>
      <c r="F789" s="18"/>
      <c r="G789" s="18"/>
      <c r="H789" s="18"/>
      <c r="I789" s="18"/>
      <c r="J789" s="13" t="str">
        <f aca="false">IF(OR(D789="",E789=""),"",E789-D789)</f>
        <v/>
      </c>
      <c r="K789" s="13" t="str">
        <f aca="false">IF(OR(C789="",D789=""),"",D789-C789)</f>
        <v/>
      </c>
      <c r="L789" s="13" t="str">
        <f aca="false">IF(A789="","",IF(OR(I789="Devolvida",N(H789)&gt;0),"Sim","Não"))</f>
        <v/>
      </c>
    </row>
    <row r="790" customFormat="false" ht="15" hidden="false" customHeight="false" outlineLevel="0" collapsed="false">
      <c r="A790" s="18"/>
      <c r="B790" s="18"/>
      <c r="C790" s="25"/>
      <c r="D790" s="25"/>
      <c r="E790" s="25"/>
      <c r="F790" s="18"/>
      <c r="G790" s="18"/>
      <c r="H790" s="18"/>
      <c r="I790" s="18"/>
      <c r="J790" s="13" t="str">
        <f aca="false">IF(OR(D790="",E790=""),"",E790-D790)</f>
        <v/>
      </c>
      <c r="K790" s="13" t="str">
        <f aca="false">IF(OR(C790="",D790=""),"",D790-C790)</f>
        <v/>
      </c>
      <c r="L790" s="13" t="str">
        <f aca="false">IF(A790="","",IF(OR(I790="Devolvida",N(H790)&gt;0),"Sim","Não"))</f>
        <v/>
      </c>
    </row>
    <row r="791" customFormat="false" ht="15" hidden="false" customHeight="false" outlineLevel="0" collapsed="false">
      <c r="A791" s="18"/>
      <c r="B791" s="18"/>
      <c r="C791" s="25"/>
      <c r="D791" s="25"/>
      <c r="E791" s="25"/>
      <c r="F791" s="18"/>
      <c r="G791" s="18"/>
      <c r="H791" s="18"/>
      <c r="I791" s="18"/>
      <c r="J791" s="13" t="str">
        <f aca="false">IF(OR(D791="",E791=""),"",E791-D791)</f>
        <v/>
      </c>
      <c r="K791" s="13" t="str">
        <f aca="false">IF(OR(C791="",D791=""),"",D791-C791)</f>
        <v/>
      </c>
      <c r="L791" s="13" t="str">
        <f aca="false">IF(A791="","",IF(OR(I791="Devolvida",N(H791)&gt;0),"Sim","Não"))</f>
        <v/>
      </c>
    </row>
    <row r="792" customFormat="false" ht="15" hidden="false" customHeight="false" outlineLevel="0" collapsed="false">
      <c r="A792" s="18"/>
      <c r="B792" s="18"/>
      <c r="C792" s="25"/>
      <c r="D792" s="25"/>
      <c r="E792" s="25"/>
      <c r="F792" s="18"/>
      <c r="G792" s="18"/>
      <c r="H792" s="18"/>
      <c r="I792" s="18"/>
      <c r="J792" s="13" t="str">
        <f aca="false">IF(OR(D792="",E792=""),"",E792-D792)</f>
        <v/>
      </c>
      <c r="K792" s="13" t="str">
        <f aca="false">IF(OR(C792="",D792=""),"",D792-C792)</f>
        <v/>
      </c>
      <c r="L792" s="13" t="str">
        <f aca="false">IF(A792="","",IF(OR(I792="Devolvida",N(H792)&gt;0),"Sim","Não"))</f>
        <v/>
      </c>
    </row>
    <row r="793" customFormat="false" ht="15" hidden="false" customHeight="false" outlineLevel="0" collapsed="false">
      <c r="A793" s="18"/>
      <c r="B793" s="18"/>
      <c r="C793" s="25"/>
      <c r="D793" s="25"/>
      <c r="E793" s="25"/>
      <c r="F793" s="18"/>
      <c r="G793" s="18"/>
      <c r="H793" s="18"/>
      <c r="I793" s="18"/>
      <c r="J793" s="13" t="str">
        <f aca="false">IF(OR(D793="",E793=""),"",E793-D793)</f>
        <v/>
      </c>
      <c r="K793" s="13" t="str">
        <f aca="false">IF(OR(C793="",D793=""),"",D793-C793)</f>
        <v/>
      </c>
      <c r="L793" s="13" t="str">
        <f aca="false">IF(A793="","",IF(OR(I793="Devolvida",N(H793)&gt;0),"Sim","Não"))</f>
        <v/>
      </c>
    </row>
    <row r="794" customFormat="false" ht="15" hidden="false" customHeight="false" outlineLevel="0" collapsed="false">
      <c r="A794" s="18"/>
      <c r="B794" s="18"/>
      <c r="C794" s="25"/>
      <c r="D794" s="25"/>
      <c r="E794" s="25"/>
      <c r="F794" s="18"/>
      <c r="G794" s="18"/>
      <c r="H794" s="18"/>
      <c r="I794" s="18"/>
      <c r="J794" s="13" t="str">
        <f aca="false">IF(OR(D794="",E794=""),"",E794-D794)</f>
        <v/>
      </c>
      <c r="K794" s="13" t="str">
        <f aca="false">IF(OR(C794="",D794=""),"",D794-C794)</f>
        <v/>
      </c>
      <c r="L794" s="13" t="str">
        <f aca="false">IF(A794="","",IF(OR(I794="Devolvida",N(H794)&gt;0),"Sim","Não"))</f>
        <v/>
      </c>
    </row>
    <row r="795" customFormat="false" ht="15" hidden="false" customHeight="false" outlineLevel="0" collapsed="false">
      <c r="A795" s="18"/>
      <c r="B795" s="18"/>
      <c r="C795" s="25"/>
      <c r="D795" s="25"/>
      <c r="E795" s="25"/>
      <c r="F795" s="18"/>
      <c r="G795" s="18"/>
      <c r="H795" s="18"/>
      <c r="I795" s="18"/>
      <c r="J795" s="13" t="str">
        <f aca="false">IF(OR(D795="",E795=""),"",E795-D795)</f>
        <v/>
      </c>
      <c r="K795" s="13" t="str">
        <f aca="false">IF(OR(C795="",D795=""),"",D795-C795)</f>
        <v/>
      </c>
      <c r="L795" s="13" t="str">
        <f aca="false">IF(A795="","",IF(OR(I795="Devolvida",N(H795)&gt;0),"Sim","Não"))</f>
        <v/>
      </c>
    </row>
    <row r="796" customFormat="false" ht="15" hidden="false" customHeight="false" outlineLevel="0" collapsed="false">
      <c r="A796" s="18"/>
      <c r="B796" s="18"/>
      <c r="C796" s="25"/>
      <c r="D796" s="25"/>
      <c r="E796" s="25"/>
      <c r="F796" s="18"/>
      <c r="G796" s="18"/>
      <c r="H796" s="18"/>
      <c r="I796" s="18"/>
      <c r="J796" s="13" t="str">
        <f aca="false">IF(OR(D796="",E796=""),"",E796-D796)</f>
        <v/>
      </c>
      <c r="K796" s="13" t="str">
        <f aca="false">IF(OR(C796="",D796=""),"",D796-C796)</f>
        <v/>
      </c>
      <c r="L796" s="13" t="str">
        <f aca="false">IF(A796="","",IF(OR(I796="Devolvida",N(H796)&gt;0),"Sim","Não"))</f>
        <v/>
      </c>
    </row>
    <row r="797" customFormat="false" ht="15" hidden="false" customHeight="false" outlineLevel="0" collapsed="false">
      <c r="A797" s="18"/>
      <c r="B797" s="18"/>
      <c r="C797" s="25"/>
      <c r="D797" s="25"/>
      <c r="E797" s="25"/>
      <c r="F797" s="18"/>
      <c r="G797" s="18"/>
      <c r="H797" s="18"/>
      <c r="I797" s="18"/>
      <c r="J797" s="13" t="str">
        <f aca="false">IF(OR(D797="",E797=""),"",E797-D797)</f>
        <v/>
      </c>
      <c r="K797" s="13" t="str">
        <f aca="false">IF(OR(C797="",D797=""),"",D797-C797)</f>
        <v/>
      </c>
      <c r="L797" s="13" t="str">
        <f aca="false">IF(A797="","",IF(OR(I797="Devolvida",N(H797)&gt;0),"Sim","Não"))</f>
        <v/>
      </c>
    </row>
    <row r="798" customFormat="false" ht="15" hidden="false" customHeight="false" outlineLevel="0" collapsed="false">
      <c r="A798" s="18"/>
      <c r="B798" s="18"/>
      <c r="C798" s="25"/>
      <c r="D798" s="25"/>
      <c r="E798" s="25"/>
      <c r="F798" s="18"/>
      <c r="G798" s="18"/>
      <c r="H798" s="18"/>
      <c r="I798" s="18"/>
      <c r="J798" s="13" t="str">
        <f aca="false">IF(OR(D798="",E798=""),"",E798-D798)</f>
        <v/>
      </c>
      <c r="K798" s="13" t="str">
        <f aca="false">IF(OR(C798="",D798=""),"",D798-C798)</f>
        <v/>
      </c>
      <c r="L798" s="13" t="str">
        <f aca="false">IF(A798="","",IF(OR(I798="Devolvida",N(H798)&gt;0),"Sim","Não"))</f>
        <v/>
      </c>
    </row>
    <row r="799" customFormat="false" ht="15" hidden="false" customHeight="false" outlineLevel="0" collapsed="false">
      <c r="A799" s="18"/>
      <c r="B799" s="18"/>
      <c r="C799" s="25"/>
      <c r="D799" s="25"/>
      <c r="E799" s="25"/>
      <c r="F799" s="18"/>
      <c r="G799" s="18"/>
      <c r="H799" s="18"/>
      <c r="I799" s="18"/>
      <c r="J799" s="13" t="str">
        <f aca="false">IF(OR(D799="",E799=""),"",E799-D799)</f>
        <v/>
      </c>
      <c r="K799" s="13" t="str">
        <f aca="false">IF(OR(C799="",D799=""),"",D799-C799)</f>
        <v/>
      </c>
      <c r="L799" s="13" t="str">
        <f aca="false">IF(A799="","",IF(OR(I799="Devolvida",N(H799)&gt;0),"Sim","Não"))</f>
        <v/>
      </c>
    </row>
    <row r="800" customFormat="false" ht="15" hidden="false" customHeight="false" outlineLevel="0" collapsed="false">
      <c r="A800" s="18"/>
      <c r="B800" s="18"/>
      <c r="C800" s="25"/>
      <c r="D800" s="25"/>
      <c r="E800" s="25"/>
      <c r="F800" s="18"/>
      <c r="G800" s="18"/>
      <c r="H800" s="18"/>
      <c r="I800" s="18"/>
      <c r="J800" s="13" t="str">
        <f aca="false">IF(OR(D800="",E800=""),"",E800-D800)</f>
        <v/>
      </c>
      <c r="K800" s="13" t="str">
        <f aca="false">IF(OR(C800="",D800=""),"",D800-C800)</f>
        <v/>
      </c>
      <c r="L800" s="13" t="str">
        <f aca="false">IF(A800="","",IF(OR(I800="Devolvida",N(H800)&gt;0),"Sim","Não"))</f>
        <v/>
      </c>
    </row>
    <row r="801" customFormat="false" ht="15" hidden="false" customHeight="false" outlineLevel="0" collapsed="false">
      <c r="A801" s="18"/>
      <c r="B801" s="18"/>
      <c r="C801" s="25"/>
      <c r="D801" s="25"/>
      <c r="E801" s="25"/>
      <c r="F801" s="18"/>
      <c r="G801" s="18"/>
      <c r="H801" s="18"/>
      <c r="I801" s="18"/>
      <c r="J801" s="13" t="str">
        <f aca="false">IF(OR(D801="",E801=""),"",E801-D801)</f>
        <v/>
      </c>
      <c r="K801" s="13" t="str">
        <f aca="false">IF(OR(C801="",D801=""),"",D801-C801)</f>
        <v/>
      </c>
      <c r="L801" s="13" t="str">
        <f aca="false">IF(A801="","",IF(OR(I801="Devolvida",N(H801)&gt;0),"Sim","Não"))</f>
        <v/>
      </c>
    </row>
    <row r="802" customFormat="false" ht="15" hidden="false" customHeight="false" outlineLevel="0" collapsed="false">
      <c r="A802" s="18"/>
      <c r="B802" s="18"/>
      <c r="C802" s="25"/>
      <c r="D802" s="25"/>
      <c r="E802" s="25"/>
      <c r="F802" s="18"/>
      <c r="G802" s="18"/>
      <c r="H802" s="18"/>
      <c r="I802" s="18"/>
      <c r="J802" s="13" t="str">
        <f aca="false">IF(OR(D802="",E802=""),"",E802-D802)</f>
        <v/>
      </c>
      <c r="K802" s="13" t="str">
        <f aca="false">IF(OR(C802="",D802=""),"",D802-C802)</f>
        <v/>
      </c>
      <c r="L802" s="13" t="str">
        <f aca="false">IF(A802="","",IF(OR(I802="Devolvida",N(H802)&gt;0),"Sim","Não"))</f>
        <v/>
      </c>
    </row>
    <row r="803" customFormat="false" ht="15" hidden="false" customHeight="false" outlineLevel="0" collapsed="false">
      <c r="A803" s="18"/>
      <c r="B803" s="18"/>
      <c r="C803" s="25"/>
      <c r="D803" s="25"/>
      <c r="E803" s="25"/>
      <c r="F803" s="18"/>
      <c r="G803" s="18"/>
      <c r="H803" s="18"/>
      <c r="I803" s="18"/>
      <c r="J803" s="13" t="str">
        <f aca="false">IF(OR(D803="",E803=""),"",E803-D803)</f>
        <v/>
      </c>
      <c r="K803" s="13" t="str">
        <f aca="false">IF(OR(C803="",D803=""),"",D803-C803)</f>
        <v/>
      </c>
      <c r="L803" s="13" t="str">
        <f aca="false">IF(A803="","",IF(OR(I803="Devolvida",N(H803)&gt;0),"Sim","Não"))</f>
        <v/>
      </c>
    </row>
    <row r="804" customFormat="false" ht="15" hidden="false" customHeight="false" outlineLevel="0" collapsed="false">
      <c r="A804" s="18"/>
      <c r="B804" s="18"/>
      <c r="C804" s="25"/>
      <c r="D804" s="25"/>
      <c r="E804" s="25"/>
      <c r="F804" s="18"/>
      <c r="G804" s="18"/>
      <c r="H804" s="18"/>
      <c r="I804" s="18"/>
      <c r="J804" s="13" t="str">
        <f aca="false">IF(OR(D804="",E804=""),"",E804-D804)</f>
        <v/>
      </c>
      <c r="K804" s="13" t="str">
        <f aca="false">IF(OR(C804="",D804=""),"",D804-C804)</f>
        <v/>
      </c>
      <c r="L804" s="13" t="str">
        <f aca="false">IF(A804="","",IF(OR(I804="Devolvida",N(H804)&gt;0),"Sim","Não"))</f>
        <v/>
      </c>
    </row>
    <row r="805" customFormat="false" ht="15" hidden="false" customHeight="false" outlineLevel="0" collapsed="false">
      <c r="A805" s="18"/>
      <c r="B805" s="18"/>
      <c r="C805" s="25"/>
      <c r="D805" s="25"/>
      <c r="E805" s="25"/>
      <c r="F805" s="18"/>
      <c r="G805" s="18"/>
      <c r="H805" s="18"/>
      <c r="I805" s="18"/>
      <c r="J805" s="13" t="str">
        <f aca="false">IF(OR(D805="",E805=""),"",E805-D805)</f>
        <v/>
      </c>
      <c r="K805" s="13" t="str">
        <f aca="false">IF(OR(C805="",D805=""),"",D805-C805)</f>
        <v/>
      </c>
      <c r="L805" s="13" t="str">
        <f aca="false">IF(A805="","",IF(OR(I805="Devolvida",N(H805)&gt;0),"Sim","Não"))</f>
        <v/>
      </c>
    </row>
    <row r="806" customFormat="false" ht="15" hidden="false" customHeight="false" outlineLevel="0" collapsed="false">
      <c r="A806" s="18"/>
      <c r="B806" s="18"/>
      <c r="C806" s="25"/>
      <c r="D806" s="25"/>
      <c r="E806" s="25"/>
      <c r="F806" s="18"/>
      <c r="G806" s="18"/>
      <c r="H806" s="18"/>
      <c r="I806" s="18"/>
      <c r="J806" s="13" t="str">
        <f aca="false">IF(OR(D806="",E806=""),"",E806-D806)</f>
        <v/>
      </c>
      <c r="K806" s="13" t="str">
        <f aca="false">IF(OR(C806="",D806=""),"",D806-C806)</f>
        <v/>
      </c>
      <c r="L806" s="13" t="str">
        <f aca="false">IF(A806="","",IF(OR(I806="Devolvida",N(H806)&gt;0),"Sim","Não"))</f>
        <v/>
      </c>
    </row>
    <row r="807" customFormat="false" ht="15" hidden="false" customHeight="false" outlineLevel="0" collapsed="false">
      <c r="A807" s="18"/>
      <c r="B807" s="18"/>
      <c r="C807" s="25"/>
      <c r="D807" s="25"/>
      <c r="E807" s="25"/>
      <c r="F807" s="18"/>
      <c r="G807" s="18"/>
      <c r="H807" s="18"/>
      <c r="I807" s="18"/>
      <c r="J807" s="13" t="str">
        <f aca="false">IF(OR(D807="",E807=""),"",E807-D807)</f>
        <v/>
      </c>
      <c r="K807" s="13" t="str">
        <f aca="false">IF(OR(C807="",D807=""),"",D807-C807)</f>
        <v/>
      </c>
      <c r="L807" s="13" t="str">
        <f aca="false">IF(A807="","",IF(OR(I807="Devolvida",N(H807)&gt;0),"Sim","Não"))</f>
        <v/>
      </c>
    </row>
    <row r="808" customFormat="false" ht="15" hidden="false" customHeight="false" outlineLevel="0" collapsed="false">
      <c r="A808" s="18"/>
      <c r="B808" s="18"/>
      <c r="C808" s="25"/>
      <c r="D808" s="25"/>
      <c r="E808" s="25"/>
      <c r="F808" s="18"/>
      <c r="G808" s="18"/>
      <c r="H808" s="18"/>
      <c r="I808" s="18"/>
      <c r="J808" s="13" t="str">
        <f aca="false">IF(OR(D808="",E808=""),"",E808-D808)</f>
        <v/>
      </c>
      <c r="K808" s="13" t="str">
        <f aca="false">IF(OR(C808="",D808=""),"",D808-C808)</f>
        <v/>
      </c>
      <c r="L808" s="13" t="str">
        <f aca="false">IF(A808="","",IF(OR(I808="Devolvida",N(H808)&gt;0),"Sim","Não"))</f>
        <v/>
      </c>
    </row>
    <row r="809" customFormat="false" ht="15" hidden="false" customHeight="false" outlineLevel="0" collapsed="false">
      <c r="A809" s="18"/>
      <c r="B809" s="18"/>
      <c r="C809" s="25"/>
      <c r="D809" s="25"/>
      <c r="E809" s="25"/>
      <c r="F809" s="18"/>
      <c r="G809" s="18"/>
      <c r="H809" s="18"/>
      <c r="I809" s="18"/>
      <c r="J809" s="13" t="str">
        <f aca="false">IF(OR(D809="",E809=""),"",E809-D809)</f>
        <v/>
      </c>
      <c r="K809" s="13" t="str">
        <f aca="false">IF(OR(C809="",D809=""),"",D809-C809)</f>
        <v/>
      </c>
      <c r="L809" s="13" t="str">
        <f aca="false">IF(A809="","",IF(OR(I809="Devolvida",N(H809)&gt;0),"Sim","Não"))</f>
        <v/>
      </c>
    </row>
    <row r="810" customFormat="false" ht="15" hidden="false" customHeight="false" outlineLevel="0" collapsed="false">
      <c r="A810" s="18"/>
      <c r="B810" s="18"/>
      <c r="C810" s="25"/>
      <c r="D810" s="25"/>
      <c r="E810" s="25"/>
      <c r="F810" s="18"/>
      <c r="G810" s="18"/>
      <c r="H810" s="18"/>
      <c r="I810" s="18"/>
      <c r="J810" s="13" t="str">
        <f aca="false">IF(OR(D810="",E810=""),"",E810-D810)</f>
        <v/>
      </c>
      <c r="K810" s="13" t="str">
        <f aca="false">IF(OR(C810="",D810=""),"",D810-C810)</f>
        <v/>
      </c>
      <c r="L810" s="13" t="str">
        <f aca="false">IF(A810="","",IF(OR(I810="Devolvida",N(H810)&gt;0),"Sim","Não"))</f>
        <v/>
      </c>
    </row>
    <row r="811" customFormat="false" ht="15" hidden="false" customHeight="false" outlineLevel="0" collapsed="false">
      <c r="A811" s="18"/>
      <c r="B811" s="18"/>
      <c r="C811" s="25"/>
      <c r="D811" s="25"/>
      <c r="E811" s="25"/>
      <c r="F811" s="18"/>
      <c r="G811" s="18"/>
      <c r="H811" s="18"/>
      <c r="I811" s="18"/>
      <c r="J811" s="13" t="str">
        <f aca="false">IF(OR(D811="",E811=""),"",E811-D811)</f>
        <v/>
      </c>
      <c r="K811" s="13" t="str">
        <f aca="false">IF(OR(C811="",D811=""),"",D811-C811)</f>
        <v/>
      </c>
      <c r="L811" s="13" t="str">
        <f aca="false">IF(A811="","",IF(OR(I811="Devolvida",N(H811)&gt;0),"Sim","Não"))</f>
        <v/>
      </c>
    </row>
    <row r="812" customFormat="false" ht="15" hidden="false" customHeight="false" outlineLevel="0" collapsed="false">
      <c r="A812" s="18"/>
      <c r="B812" s="18"/>
      <c r="C812" s="25"/>
      <c r="D812" s="25"/>
      <c r="E812" s="25"/>
      <c r="F812" s="18"/>
      <c r="G812" s="18"/>
      <c r="H812" s="18"/>
      <c r="I812" s="18"/>
      <c r="J812" s="13" t="str">
        <f aca="false">IF(OR(D812="",E812=""),"",E812-D812)</f>
        <v/>
      </c>
      <c r="K812" s="13" t="str">
        <f aca="false">IF(OR(C812="",D812=""),"",D812-C812)</f>
        <v/>
      </c>
      <c r="L812" s="13" t="str">
        <f aca="false">IF(A812="","",IF(OR(I812="Devolvida",N(H812)&gt;0),"Sim","Não"))</f>
        <v/>
      </c>
    </row>
    <row r="813" customFormat="false" ht="15" hidden="false" customHeight="false" outlineLevel="0" collapsed="false">
      <c r="A813" s="18"/>
      <c r="B813" s="18"/>
      <c r="C813" s="25"/>
      <c r="D813" s="25"/>
      <c r="E813" s="25"/>
      <c r="F813" s="18"/>
      <c r="G813" s="18"/>
      <c r="H813" s="18"/>
      <c r="I813" s="18"/>
      <c r="J813" s="13" t="str">
        <f aca="false">IF(OR(D813="",E813=""),"",E813-D813)</f>
        <v/>
      </c>
      <c r="K813" s="13" t="str">
        <f aca="false">IF(OR(C813="",D813=""),"",D813-C813)</f>
        <v/>
      </c>
      <c r="L813" s="13" t="str">
        <f aca="false">IF(A813="","",IF(OR(I813="Devolvida",N(H813)&gt;0),"Sim","Não"))</f>
        <v/>
      </c>
    </row>
    <row r="814" customFormat="false" ht="15" hidden="false" customHeight="false" outlineLevel="0" collapsed="false">
      <c r="A814" s="18"/>
      <c r="B814" s="18"/>
      <c r="C814" s="25"/>
      <c r="D814" s="25"/>
      <c r="E814" s="25"/>
      <c r="F814" s="18"/>
      <c r="G814" s="18"/>
      <c r="H814" s="18"/>
      <c r="I814" s="18"/>
      <c r="J814" s="13" t="str">
        <f aca="false">IF(OR(D814="",E814=""),"",E814-D814)</f>
        <v/>
      </c>
      <c r="K814" s="13" t="str">
        <f aca="false">IF(OR(C814="",D814=""),"",D814-C814)</f>
        <v/>
      </c>
      <c r="L814" s="13" t="str">
        <f aca="false">IF(A814="","",IF(OR(I814="Devolvida",N(H814)&gt;0),"Sim","Não"))</f>
        <v/>
      </c>
    </row>
    <row r="815" customFormat="false" ht="15" hidden="false" customHeight="false" outlineLevel="0" collapsed="false">
      <c r="A815" s="18"/>
      <c r="B815" s="18"/>
      <c r="C815" s="25"/>
      <c r="D815" s="25"/>
      <c r="E815" s="25"/>
      <c r="F815" s="18"/>
      <c r="G815" s="18"/>
      <c r="H815" s="18"/>
      <c r="I815" s="18"/>
      <c r="J815" s="13" t="str">
        <f aca="false">IF(OR(D815="",E815=""),"",E815-D815)</f>
        <v/>
      </c>
      <c r="K815" s="13" t="str">
        <f aca="false">IF(OR(C815="",D815=""),"",D815-C815)</f>
        <v/>
      </c>
      <c r="L815" s="13" t="str">
        <f aca="false">IF(A815="","",IF(OR(I815="Devolvida",N(H815)&gt;0),"Sim","Não"))</f>
        <v/>
      </c>
    </row>
    <row r="816" customFormat="false" ht="15" hidden="false" customHeight="false" outlineLevel="0" collapsed="false">
      <c r="A816" s="18"/>
      <c r="B816" s="18"/>
      <c r="C816" s="25"/>
      <c r="D816" s="25"/>
      <c r="E816" s="25"/>
      <c r="F816" s="18"/>
      <c r="G816" s="18"/>
      <c r="H816" s="18"/>
      <c r="I816" s="18"/>
      <c r="J816" s="13" t="str">
        <f aca="false">IF(OR(D816="",E816=""),"",E816-D816)</f>
        <v/>
      </c>
      <c r="K816" s="13" t="str">
        <f aca="false">IF(OR(C816="",D816=""),"",D816-C816)</f>
        <v/>
      </c>
      <c r="L816" s="13" t="str">
        <f aca="false">IF(A816="","",IF(OR(I816="Devolvida",N(H816)&gt;0),"Sim","Não"))</f>
        <v/>
      </c>
    </row>
    <row r="817" customFormat="false" ht="15" hidden="false" customHeight="false" outlineLevel="0" collapsed="false">
      <c r="A817" s="18"/>
      <c r="B817" s="18"/>
      <c r="C817" s="25"/>
      <c r="D817" s="25"/>
      <c r="E817" s="25"/>
      <c r="F817" s="18"/>
      <c r="G817" s="18"/>
      <c r="H817" s="18"/>
      <c r="I817" s="18"/>
      <c r="J817" s="13" t="str">
        <f aca="false">IF(OR(D817="",E817=""),"",E817-D817)</f>
        <v/>
      </c>
      <c r="K817" s="13" t="str">
        <f aca="false">IF(OR(C817="",D817=""),"",D817-C817)</f>
        <v/>
      </c>
      <c r="L817" s="13" t="str">
        <f aca="false">IF(A817="","",IF(OR(I817="Devolvida",N(H817)&gt;0),"Sim","Não"))</f>
        <v/>
      </c>
    </row>
    <row r="818" customFormat="false" ht="15" hidden="false" customHeight="false" outlineLevel="0" collapsed="false">
      <c r="A818" s="18"/>
      <c r="B818" s="18"/>
      <c r="C818" s="25"/>
      <c r="D818" s="25"/>
      <c r="E818" s="25"/>
      <c r="F818" s="18"/>
      <c r="G818" s="18"/>
      <c r="H818" s="18"/>
      <c r="I818" s="18"/>
      <c r="J818" s="13" t="str">
        <f aca="false">IF(OR(D818="",E818=""),"",E818-D818)</f>
        <v/>
      </c>
      <c r="K818" s="13" t="str">
        <f aca="false">IF(OR(C818="",D818=""),"",D818-C818)</f>
        <v/>
      </c>
      <c r="L818" s="13" t="str">
        <f aca="false">IF(A818="","",IF(OR(I818="Devolvida",N(H818)&gt;0),"Sim","Não"))</f>
        <v/>
      </c>
    </row>
    <row r="819" customFormat="false" ht="15" hidden="false" customHeight="false" outlineLevel="0" collapsed="false">
      <c r="A819" s="18"/>
      <c r="B819" s="18"/>
      <c r="C819" s="25"/>
      <c r="D819" s="25"/>
      <c r="E819" s="25"/>
      <c r="F819" s="18"/>
      <c r="G819" s="18"/>
      <c r="H819" s="18"/>
      <c r="I819" s="18"/>
      <c r="J819" s="13" t="str">
        <f aca="false">IF(OR(D819="",E819=""),"",E819-D819)</f>
        <v/>
      </c>
      <c r="K819" s="13" t="str">
        <f aca="false">IF(OR(C819="",D819=""),"",D819-C819)</f>
        <v/>
      </c>
      <c r="L819" s="13" t="str">
        <f aca="false">IF(A819="","",IF(OR(I819="Devolvida",N(H819)&gt;0),"Sim","Não"))</f>
        <v/>
      </c>
    </row>
    <row r="820" customFormat="false" ht="15" hidden="false" customHeight="false" outlineLevel="0" collapsed="false">
      <c r="A820" s="18"/>
      <c r="B820" s="18"/>
      <c r="C820" s="25"/>
      <c r="D820" s="25"/>
      <c r="E820" s="25"/>
      <c r="F820" s="18"/>
      <c r="G820" s="18"/>
      <c r="H820" s="18"/>
      <c r="I820" s="18"/>
      <c r="J820" s="13" t="str">
        <f aca="false">IF(OR(D820="",E820=""),"",E820-D820)</f>
        <v/>
      </c>
      <c r="K820" s="13" t="str">
        <f aca="false">IF(OR(C820="",D820=""),"",D820-C820)</f>
        <v/>
      </c>
      <c r="L820" s="13" t="str">
        <f aca="false">IF(A820="","",IF(OR(I820="Devolvida",N(H820)&gt;0),"Sim","Não"))</f>
        <v/>
      </c>
    </row>
    <row r="821" customFormat="false" ht="15" hidden="false" customHeight="false" outlineLevel="0" collapsed="false">
      <c r="A821" s="18"/>
      <c r="B821" s="18"/>
      <c r="C821" s="25"/>
      <c r="D821" s="25"/>
      <c r="E821" s="25"/>
      <c r="F821" s="18"/>
      <c r="G821" s="18"/>
      <c r="H821" s="18"/>
      <c r="I821" s="18"/>
      <c r="J821" s="13" t="str">
        <f aca="false">IF(OR(D821="",E821=""),"",E821-D821)</f>
        <v/>
      </c>
      <c r="K821" s="13" t="str">
        <f aca="false">IF(OR(C821="",D821=""),"",D821-C821)</f>
        <v/>
      </c>
      <c r="L821" s="13" t="str">
        <f aca="false">IF(A821="","",IF(OR(I821="Devolvida",N(H821)&gt;0),"Sim","Não"))</f>
        <v/>
      </c>
    </row>
    <row r="822" customFormat="false" ht="15" hidden="false" customHeight="false" outlineLevel="0" collapsed="false">
      <c r="A822" s="18"/>
      <c r="B822" s="18"/>
      <c r="C822" s="25"/>
      <c r="D822" s="25"/>
      <c r="E822" s="25"/>
      <c r="F822" s="18"/>
      <c r="G822" s="18"/>
      <c r="H822" s="18"/>
      <c r="I822" s="18"/>
      <c r="J822" s="13" t="str">
        <f aca="false">IF(OR(D822="",E822=""),"",E822-D822)</f>
        <v/>
      </c>
      <c r="K822" s="13" t="str">
        <f aca="false">IF(OR(C822="",D822=""),"",D822-C822)</f>
        <v/>
      </c>
      <c r="L822" s="13" t="str">
        <f aca="false">IF(A822="","",IF(OR(I822="Devolvida",N(H822)&gt;0),"Sim","Não"))</f>
        <v/>
      </c>
    </row>
    <row r="823" customFormat="false" ht="15" hidden="false" customHeight="false" outlineLevel="0" collapsed="false">
      <c r="A823" s="18"/>
      <c r="B823" s="18"/>
      <c r="C823" s="25"/>
      <c r="D823" s="25"/>
      <c r="E823" s="25"/>
      <c r="F823" s="18"/>
      <c r="G823" s="18"/>
      <c r="H823" s="18"/>
      <c r="I823" s="18"/>
      <c r="J823" s="13" t="str">
        <f aca="false">IF(OR(D823="",E823=""),"",E823-D823)</f>
        <v/>
      </c>
      <c r="K823" s="13" t="str">
        <f aca="false">IF(OR(C823="",D823=""),"",D823-C823)</f>
        <v/>
      </c>
      <c r="L823" s="13" t="str">
        <f aca="false">IF(A823="","",IF(OR(I823="Devolvida",N(H823)&gt;0),"Sim","Não"))</f>
        <v/>
      </c>
    </row>
    <row r="824" customFormat="false" ht="15" hidden="false" customHeight="false" outlineLevel="0" collapsed="false">
      <c r="A824" s="18"/>
      <c r="B824" s="18"/>
      <c r="C824" s="25"/>
      <c r="D824" s="25"/>
      <c r="E824" s="25"/>
      <c r="F824" s="18"/>
      <c r="G824" s="18"/>
      <c r="H824" s="18"/>
      <c r="I824" s="18"/>
      <c r="J824" s="13" t="str">
        <f aca="false">IF(OR(D824="",E824=""),"",E824-D824)</f>
        <v/>
      </c>
      <c r="K824" s="13" t="str">
        <f aca="false">IF(OR(C824="",D824=""),"",D824-C824)</f>
        <v/>
      </c>
      <c r="L824" s="13" t="str">
        <f aca="false">IF(A824="","",IF(OR(I824="Devolvida",N(H824)&gt;0),"Sim","Não"))</f>
        <v/>
      </c>
    </row>
    <row r="825" customFormat="false" ht="15" hidden="false" customHeight="false" outlineLevel="0" collapsed="false">
      <c r="A825" s="18"/>
      <c r="B825" s="18"/>
      <c r="C825" s="25"/>
      <c r="D825" s="25"/>
      <c r="E825" s="25"/>
      <c r="F825" s="18"/>
      <c r="G825" s="18"/>
      <c r="H825" s="18"/>
      <c r="I825" s="18"/>
      <c r="J825" s="13" t="str">
        <f aca="false">IF(OR(D825="",E825=""),"",E825-D825)</f>
        <v/>
      </c>
      <c r="K825" s="13" t="str">
        <f aca="false">IF(OR(C825="",D825=""),"",D825-C825)</f>
        <v/>
      </c>
      <c r="L825" s="13" t="str">
        <f aca="false">IF(A825="","",IF(OR(I825="Devolvida",N(H825)&gt;0),"Sim","Não"))</f>
        <v/>
      </c>
    </row>
    <row r="826" customFormat="false" ht="15" hidden="false" customHeight="false" outlineLevel="0" collapsed="false">
      <c r="A826" s="18"/>
      <c r="B826" s="18"/>
      <c r="C826" s="25"/>
      <c r="D826" s="25"/>
      <c r="E826" s="25"/>
      <c r="F826" s="18"/>
      <c r="G826" s="18"/>
      <c r="H826" s="18"/>
      <c r="I826" s="18"/>
      <c r="J826" s="13" t="str">
        <f aca="false">IF(OR(D826="",E826=""),"",E826-D826)</f>
        <v/>
      </c>
      <c r="K826" s="13" t="str">
        <f aca="false">IF(OR(C826="",D826=""),"",D826-C826)</f>
        <v/>
      </c>
      <c r="L826" s="13" t="str">
        <f aca="false">IF(A826="","",IF(OR(I826="Devolvida",N(H826)&gt;0),"Sim","Não"))</f>
        <v/>
      </c>
    </row>
    <row r="827" customFormat="false" ht="15" hidden="false" customHeight="false" outlineLevel="0" collapsed="false">
      <c r="A827" s="18"/>
      <c r="B827" s="18"/>
      <c r="C827" s="25"/>
      <c r="D827" s="25"/>
      <c r="E827" s="25"/>
      <c r="F827" s="18"/>
      <c r="G827" s="18"/>
      <c r="H827" s="18"/>
      <c r="I827" s="18"/>
      <c r="J827" s="13" t="str">
        <f aca="false">IF(OR(D827="",E827=""),"",E827-D827)</f>
        <v/>
      </c>
      <c r="K827" s="13" t="str">
        <f aca="false">IF(OR(C827="",D827=""),"",D827-C827)</f>
        <v/>
      </c>
      <c r="L827" s="13" t="str">
        <f aca="false">IF(A827="","",IF(OR(I827="Devolvida",N(H827)&gt;0),"Sim","Não"))</f>
        <v/>
      </c>
    </row>
    <row r="828" customFormat="false" ht="15" hidden="false" customHeight="false" outlineLevel="0" collapsed="false">
      <c r="A828" s="18"/>
      <c r="B828" s="18"/>
      <c r="C828" s="25"/>
      <c r="D828" s="25"/>
      <c r="E828" s="25"/>
      <c r="F828" s="18"/>
      <c r="G828" s="18"/>
      <c r="H828" s="18"/>
      <c r="I828" s="18"/>
      <c r="J828" s="13" t="str">
        <f aca="false">IF(OR(D828="",E828=""),"",E828-D828)</f>
        <v/>
      </c>
      <c r="K828" s="13" t="str">
        <f aca="false">IF(OR(C828="",D828=""),"",D828-C828)</f>
        <v/>
      </c>
      <c r="L828" s="13" t="str">
        <f aca="false">IF(A828="","",IF(OR(I828="Devolvida",N(H828)&gt;0),"Sim","Não"))</f>
        <v/>
      </c>
    </row>
    <row r="829" customFormat="false" ht="15" hidden="false" customHeight="false" outlineLevel="0" collapsed="false">
      <c r="A829" s="18"/>
      <c r="B829" s="18"/>
      <c r="C829" s="25"/>
      <c r="D829" s="25"/>
      <c r="E829" s="25"/>
      <c r="F829" s="18"/>
      <c r="G829" s="18"/>
      <c r="H829" s="18"/>
      <c r="I829" s="18"/>
      <c r="J829" s="13" t="str">
        <f aca="false">IF(OR(D829="",E829=""),"",E829-D829)</f>
        <v/>
      </c>
      <c r="K829" s="13" t="str">
        <f aca="false">IF(OR(C829="",D829=""),"",D829-C829)</f>
        <v/>
      </c>
      <c r="L829" s="13" t="str">
        <f aca="false">IF(A829="","",IF(OR(I829="Devolvida",N(H829)&gt;0),"Sim","Não"))</f>
        <v/>
      </c>
    </row>
    <row r="830" customFormat="false" ht="15" hidden="false" customHeight="false" outlineLevel="0" collapsed="false">
      <c r="A830" s="18"/>
      <c r="B830" s="18"/>
      <c r="C830" s="25"/>
      <c r="D830" s="25"/>
      <c r="E830" s="25"/>
      <c r="F830" s="18"/>
      <c r="G830" s="18"/>
      <c r="H830" s="18"/>
      <c r="I830" s="18"/>
      <c r="J830" s="13" t="str">
        <f aca="false">IF(OR(D830="",E830=""),"",E830-D830)</f>
        <v/>
      </c>
      <c r="K830" s="13" t="str">
        <f aca="false">IF(OR(C830="",D830=""),"",D830-C830)</f>
        <v/>
      </c>
      <c r="L830" s="13" t="str">
        <f aca="false">IF(A830="","",IF(OR(I830="Devolvida",N(H830)&gt;0),"Sim","Não"))</f>
        <v/>
      </c>
    </row>
    <row r="831" customFormat="false" ht="15" hidden="false" customHeight="false" outlineLevel="0" collapsed="false">
      <c r="A831" s="18"/>
      <c r="B831" s="18"/>
      <c r="C831" s="25"/>
      <c r="D831" s="25"/>
      <c r="E831" s="25"/>
      <c r="F831" s="18"/>
      <c r="G831" s="18"/>
      <c r="H831" s="18"/>
      <c r="I831" s="18"/>
      <c r="J831" s="13" t="str">
        <f aca="false">IF(OR(D831="",E831=""),"",E831-D831)</f>
        <v/>
      </c>
      <c r="K831" s="13" t="str">
        <f aca="false">IF(OR(C831="",D831=""),"",D831-C831)</f>
        <v/>
      </c>
      <c r="L831" s="13" t="str">
        <f aca="false">IF(A831="","",IF(OR(I831="Devolvida",N(H831)&gt;0),"Sim","Não"))</f>
        <v/>
      </c>
    </row>
    <row r="832" customFormat="false" ht="15" hidden="false" customHeight="false" outlineLevel="0" collapsed="false">
      <c r="A832" s="18"/>
      <c r="B832" s="18"/>
      <c r="C832" s="25"/>
      <c r="D832" s="25"/>
      <c r="E832" s="25"/>
      <c r="F832" s="18"/>
      <c r="G832" s="18"/>
      <c r="H832" s="18"/>
      <c r="I832" s="18"/>
      <c r="J832" s="13" t="str">
        <f aca="false">IF(OR(D832="",E832=""),"",E832-D832)</f>
        <v/>
      </c>
      <c r="K832" s="13" t="str">
        <f aca="false">IF(OR(C832="",D832=""),"",D832-C832)</f>
        <v/>
      </c>
      <c r="L832" s="13" t="str">
        <f aca="false">IF(A832="","",IF(OR(I832="Devolvida",N(H832)&gt;0),"Sim","Não"))</f>
        <v/>
      </c>
    </row>
    <row r="833" customFormat="false" ht="15" hidden="false" customHeight="false" outlineLevel="0" collapsed="false">
      <c r="A833" s="18"/>
      <c r="B833" s="18"/>
      <c r="C833" s="25"/>
      <c r="D833" s="25"/>
      <c r="E833" s="25"/>
      <c r="F833" s="18"/>
      <c r="G833" s="18"/>
      <c r="H833" s="18"/>
      <c r="I833" s="18"/>
      <c r="J833" s="13" t="str">
        <f aca="false">IF(OR(D833="",E833=""),"",E833-D833)</f>
        <v/>
      </c>
      <c r="K833" s="13" t="str">
        <f aca="false">IF(OR(C833="",D833=""),"",D833-C833)</f>
        <v/>
      </c>
      <c r="L833" s="13" t="str">
        <f aca="false">IF(A833="","",IF(OR(I833="Devolvida",N(H833)&gt;0),"Sim","Não"))</f>
        <v/>
      </c>
    </row>
    <row r="834" customFormat="false" ht="15" hidden="false" customHeight="false" outlineLevel="0" collapsed="false">
      <c r="A834" s="18"/>
      <c r="B834" s="18"/>
      <c r="C834" s="25"/>
      <c r="D834" s="25"/>
      <c r="E834" s="25"/>
      <c r="F834" s="18"/>
      <c r="G834" s="18"/>
      <c r="H834" s="18"/>
      <c r="I834" s="18"/>
      <c r="J834" s="13" t="str">
        <f aca="false">IF(OR(D834="",E834=""),"",E834-D834)</f>
        <v/>
      </c>
      <c r="K834" s="13" t="str">
        <f aca="false">IF(OR(C834="",D834=""),"",D834-C834)</f>
        <v/>
      </c>
      <c r="L834" s="13" t="str">
        <f aca="false">IF(A834="","",IF(OR(I834="Devolvida",N(H834)&gt;0),"Sim","Não"))</f>
        <v/>
      </c>
    </row>
    <row r="835" customFormat="false" ht="15" hidden="false" customHeight="false" outlineLevel="0" collapsed="false">
      <c r="A835" s="18"/>
      <c r="B835" s="18"/>
      <c r="C835" s="25"/>
      <c r="D835" s="25"/>
      <c r="E835" s="25"/>
      <c r="F835" s="18"/>
      <c r="G835" s="18"/>
      <c r="H835" s="18"/>
      <c r="I835" s="18"/>
      <c r="J835" s="13" t="str">
        <f aca="false">IF(OR(D835="",E835=""),"",E835-D835)</f>
        <v/>
      </c>
      <c r="K835" s="13" t="str">
        <f aca="false">IF(OR(C835="",D835=""),"",D835-C835)</f>
        <v/>
      </c>
      <c r="L835" s="13" t="str">
        <f aca="false">IF(A835="","",IF(OR(I835="Devolvida",N(H835)&gt;0),"Sim","Não"))</f>
        <v/>
      </c>
    </row>
    <row r="836" customFormat="false" ht="15" hidden="false" customHeight="false" outlineLevel="0" collapsed="false">
      <c r="A836" s="18"/>
      <c r="B836" s="18"/>
      <c r="C836" s="25"/>
      <c r="D836" s="25"/>
      <c r="E836" s="25"/>
      <c r="F836" s="18"/>
      <c r="G836" s="18"/>
      <c r="H836" s="18"/>
      <c r="I836" s="18"/>
      <c r="J836" s="13" t="str">
        <f aca="false">IF(OR(D836="",E836=""),"",E836-D836)</f>
        <v/>
      </c>
      <c r="K836" s="13" t="str">
        <f aca="false">IF(OR(C836="",D836=""),"",D836-C836)</f>
        <v/>
      </c>
      <c r="L836" s="13" t="str">
        <f aca="false">IF(A836="","",IF(OR(I836="Devolvida",N(H836)&gt;0),"Sim","Não"))</f>
        <v/>
      </c>
    </row>
    <row r="837" customFormat="false" ht="15" hidden="false" customHeight="false" outlineLevel="0" collapsed="false">
      <c r="A837" s="18"/>
      <c r="B837" s="18"/>
      <c r="C837" s="25"/>
      <c r="D837" s="25"/>
      <c r="E837" s="25"/>
      <c r="F837" s="18"/>
      <c r="G837" s="18"/>
      <c r="H837" s="18"/>
      <c r="I837" s="18"/>
      <c r="J837" s="13" t="str">
        <f aca="false">IF(OR(D837="",E837=""),"",E837-D837)</f>
        <v/>
      </c>
      <c r="K837" s="13" t="str">
        <f aca="false">IF(OR(C837="",D837=""),"",D837-C837)</f>
        <v/>
      </c>
      <c r="L837" s="13" t="str">
        <f aca="false">IF(A837="","",IF(OR(I837="Devolvida",N(H837)&gt;0),"Sim","Não"))</f>
        <v/>
      </c>
    </row>
    <row r="838" customFormat="false" ht="15" hidden="false" customHeight="false" outlineLevel="0" collapsed="false">
      <c r="A838" s="18"/>
      <c r="B838" s="18"/>
      <c r="C838" s="25"/>
      <c r="D838" s="25"/>
      <c r="E838" s="25"/>
      <c r="F838" s="18"/>
      <c r="G838" s="18"/>
      <c r="H838" s="18"/>
      <c r="I838" s="18"/>
      <c r="J838" s="13" t="str">
        <f aca="false">IF(OR(D838="",E838=""),"",E838-D838)</f>
        <v/>
      </c>
      <c r="K838" s="13" t="str">
        <f aca="false">IF(OR(C838="",D838=""),"",D838-C838)</f>
        <v/>
      </c>
      <c r="L838" s="13" t="str">
        <f aca="false">IF(A838="","",IF(OR(I838="Devolvida",N(H838)&gt;0),"Sim","Não"))</f>
        <v/>
      </c>
    </row>
    <row r="839" customFormat="false" ht="15" hidden="false" customHeight="false" outlineLevel="0" collapsed="false">
      <c r="A839" s="18"/>
      <c r="B839" s="18"/>
      <c r="C839" s="25"/>
      <c r="D839" s="25"/>
      <c r="E839" s="25"/>
      <c r="F839" s="18"/>
      <c r="G839" s="18"/>
      <c r="H839" s="18"/>
      <c r="I839" s="18"/>
      <c r="J839" s="13" t="str">
        <f aca="false">IF(OR(D839="",E839=""),"",E839-D839)</f>
        <v/>
      </c>
      <c r="K839" s="13" t="str">
        <f aca="false">IF(OR(C839="",D839=""),"",D839-C839)</f>
        <v/>
      </c>
      <c r="L839" s="13" t="str">
        <f aca="false">IF(A839="","",IF(OR(I839="Devolvida",N(H839)&gt;0),"Sim","Não"))</f>
        <v/>
      </c>
    </row>
    <row r="840" customFormat="false" ht="15" hidden="false" customHeight="false" outlineLevel="0" collapsed="false">
      <c r="A840" s="18"/>
      <c r="B840" s="18"/>
      <c r="C840" s="25"/>
      <c r="D840" s="25"/>
      <c r="E840" s="25"/>
      <c r="F840" s="18"/>
      <c r="G840" s="18"/>
      <c r="H840" s="18"/>
      <c r="I840" s="18"/>
      <c r="J840" s="13" t="str">
        <f aca="false">IF(OR(D840="",E840=""),"",E840-D840)</f>
        <v/>
      </c>
      <c r="K840" s="13" t="str">
        <f aca="false">IF(OR(C840="",D840=""),"",D840-C840)</f>
        <v/>
      </c>
      <c r="L840" s="13" t="str">
        <f aca="false">IF(A840="","",IF(OR(I840="Devolvida",N(H840)&gt;0),"Sim","Não"))</f>
        <v/>
      </c>
    </row>
    <row r="841" customFormat="false" ht="15" hidden="false" customHeight="false" outlineLevel="0" collapsed="false">
      <c r="A841" s="18"/>
      <c r="B841" s="18"/>
      <c r="C841" s="25"/>
      <c r="D841" s="25"/>
      <c r="E841" s="25"/>
      <c r="F841" s="18"/>
      <c r="G841" s="18"/>
      <c r="H841" s="18"/>
      <c r="I841" s="18"/>
      <c r="J841" s="13" t="str">
        <f aca="false">IF(OR(D841="",E841=""),"",E841-D841)</f>
        <v/>
      </c>
      <c r="K841" s="13" t="str">
        <f aca="false">IF(OR(C841="",D841=""),"",D841-C841)</f>
        <v/>
      </c>
      <c r="L841" s="13" t="str">
        <f aca="false">IF(A841="","",IF(OR(I841="Devolvida",N(H841)&gt;0),"Sim","Não"))</f>
        <v/>
      </c>
    </row>
    <row r="842" customFormat="false" ht="15" hidden="false" customHeight="false" outlineLevel="0" collapsed="false">
      <c r="A842" s="18"/>
      <c r="B842" s="18"/>
      <c r="C842" s="25"/>
      <c r="D842" s="25"/>
      <c r="E842" s="25"/>
      <c r="F842" s="18"/>
      <c r="G842" s="18"/>
      <c r="H842" s="18"/>
      <c r="I842" s="18"/>
      <c r="J842" s="13" t="str">
        <f aca="false">IF(OR(D842="",E842=""),"",E842-D842)</f>
        <v/>
      </c>
      <c r="K842" s="13" t="str">
        <f aca="false">IF(OR(C842="",D842=""),"",D842-C842)</f>
        <v/>
      </c>
      <c r="L842" s="13" t="str">
        <f aca="false">IF(A842="","",IF(OR(I842="Devolvida",N(H842)&gt;0),"Sim","Não"))</f>
        <v/>
      </c>
    </row>
    <row r="843" customFormat="false" ht="15" hidden="false" customHeight="false" outlineLevel="0" collapsed="false">
      <c r="A843" s="18"/>
      <c r="B843" s="18"/>
      <c r="C843" s="25"/>
      <c r="D843" s="25"/>
      <c r="E843" s="25"/>
      <c r="F843" s="18"/>
      <c r="G843" s="18"/>
      <c r="H843" s="18"/>
      <c r="I843" s="18"/>
      <c r="J843" s="13" t="str">
        <f aca="false">IF(OR(D843="",E843=""),"",E843-D843)</f>
        <v/>
      </c>
      <c r="K843" s="13" t="str">
        <f aca="false">IF(OR(C843="",D843=""),"",D843-C843)</f>
        <v/>
      </c>
      <c r="L843" s="13" t="str">
        <f aca="false">IF(A843="","",IF(OR(I843="Devolvida",N(H843)&gt;0),"Sim","Não"))</f>
        <v/>
      </c>
    </row>
    <row r="844" customFormat="false" ht="15" hidden="false" customHeight="false" outlineLevel="0" collapsed="false">
      <c r="A844" s="18"/>
      <c r="B844" s="18"/>
      <c r="C844" s="25"/>
      <c r="D844" s="25"/>
      <c r="E844" s="25"/>
      <c r="F844" s="18"/>
      <c r="G844" s="18"/>
      <c r="H844" s="18"/>
      <c r="I844" s="18"/>
      <c r="J844" s="13" t="str">
        <f aca="false">IF(OR(D844="",E844=""),"",E844-D844)</f>
        <v/>
      </c>
      <c r="K844" s="13" t="str">
        <f aca="false">IF(OR(C844="",D844=""),"",D844-C844)</f>
        <v/>
      </c>
      <c r="L844" s="13" t="str">
        <f aca="false">IF(A844="","",IF(OR(I844="Devolvida",N(H844)&gt;0),"Sim","Não"))</f>
        <v/>
      </c>
    </row>
    <row r="845" customFormat="false" ht="15" hidden="false" customHeight="false" outlineLevel="0" collapsed="false">
      <c r="A845" s="18"/>
      <c r="B845" s="18"/>
      <c r="C845" s="25"/>
      <c r="D845" s="25"/>
      <c r="E845" s="25"/>
      <c r="F845" s="18"/>
      <c r="G845" s="18"/>
      <c r="H845" s="18"/>
      <c r="I845" s="18"/>
      <c r="J845" s="13" t="str">
        <f aca="false">IF(OR(D845="",E845=""),"",E845-D845)</f>
        <v/>
      </c>
      <c r="K845" s="13" t="str">
        <f aca="false">IF(OR(C845="",D845=""),"",D845-C845)</f>
        <v/>
      </c>
      <c r="L845" s="13" t="str">
        <f aca="false">IF(A845="","",IF(OR(I845="Devolvida",N(H845)&gt;0),"Sim","Não"))</f>
        <v/>
      </c>
    </row>
    <row r="846" customFormat="false" ht="15" hidden="false" customHeight="false" outlineLevel="0" collapsed="false">
      <c r="A846" s="18"/>
      <c r="B846" s="18"/>
      <c r="C846" s="25"/>
      <c r="D846" s="25"/>
      <c r="E846" s="25"/>
      <c r="F846" s="18"/>
      <c r="G846" s="18"/>
      <c r="H846" s="18"/>
      <c r="I846" s="18"/>
      <c r="J846" s="13" t="str">
        <f aca="false">IF(OR(D846="",E846=""),"",E846-D846)</f>
        <v/>
      </c>
      <c r="K846" s="13" t="str">
        <f aca="false">IF(OR(C846="",D846=""),"",D846-C846)</f>
        <v/>
      </c>
      <c r="L846" s="13" t="str">
        <f aca="false">IF(A846="","",IF(OR(I846="Devolvida",N(H846)&gt;0),"Sim","Não"))</f>
        <v/>
      </c>
    </row>
    <row r="847" customFormat="false" ht="15" hidden="false" customHeight="false" outlineLevel="0" collapsed="false">
      <c r="A847" s="18"/>
      <c r="B847" s="18"/>
      <c r="C847" s="25"/>
      <c r="D847" s="25"/>
      <c r="E847" s="25"/>
      <c r="F847" s="18"/>
      <c r="G847" s="18"/>
      <c r="H847" s="18"/>
      <c r="I847" s="18"/>
      <c r="J847" s="13" t="str">
        <f aca="false">IF(OR(D847="",E847=""),"",E847-D847)</f>
        <v/>
      </c>
      <c r="K847" s="13" t="str">
        <f aca="false">IF(OR(C847="",D847=""),"",D847-C847)</f>
        <v/>
      </c>
      <c r="L847" s="13" t="str">
        <f aca="false">IF(A847="","",IF(OR(I847="Devolvida",N(H847)&gt;0),"Sim","Não"))</f>
        <v/>
      </c>
    </row>
    <row r="848" customFormat="false" ht="15" hidden="false" customHeight="false" outlineLevel="0" collapsed="false">
      <c r="A848" s="18"/>
      <c r="B848" s="18"/>
      <c r="C848" s="25"/>
      <c r="D848" s="25"/>
      <c r="E848" s="25"/>
      <c r="F848" s="18"/>
      <c r="G848" s="18"/>
      <c r="H848" s="18"/>
      <c r="I848" s="18"/>
      <c r="J848" s="13" t="str">
        <f aca="false">IF(OR(D848="",E848=""),"",E848-D848)</f>
        <v/>
      </c>
      <c r="K848" s="13" t="str">
        <f aca="false">IF(OR(C848="",D848=""),"",D848-C848)</f>
        <v/>
      </c>
      <c r="L848" s="13" t="str">
        <f aca="false">IF(A848="","",IF(OR(I848="Devolvida",N(H848)&gt;0),"Sim","Não"))</f>
        <v/>
      </c>
    </row>
    <row r="849" customFormat="false" ht="15" hidden="false" customHeight="false" outlineLevel="0" collapsed="false">
      <c r="A849" s="18"/>
      <c r="B849" s="18"/>
      <c r="C849" s="25"/>
      <c r="D849" s="25"/>
      <c r="E849" s="25"/>
      <c r="F849" s="18"/>
      <c r="G849" s="18"/>
      <c r="H849" s="18"/>
      <c r="I849" s="18"/>
      <c r="J849" s="13" t="str">
        <f aca="false">IF(OR(D849="",E849=""),"",E849-D849)</f>
        <v/>
      </c>
      <c r="K849" s="13" t="str">
        <f aca="false">IF(OR(C849="",D849=""),"",D849-C849)</f>
        <v/>
      </c>
      <c r="L849" s="13" t="str">
        <f aca="false">IF(A849="","",IF(OR(I849="Devolvida",N(H849)&gt;0),"Sim","Não"))</f>
        <v/>
      </c>
    </row>
    <row r="850" customFormat="false" ht="15" hidden="false" customHeight="false" outlineLevel="0" collapsed="false">
      <c r="A850" s="18"/>
      <c r="B850" s="18"/>
      <c r="C850" s="25"/>
      <c r="D850" s="25"/>
      <c r="E850" s="25"/>
      <c r="F850" s="18"/>
      <c r="G850" s="18"/>
      <c r="H850" s="18"/>
      <c r="I850" s="18"/>
      <c r="J850" s="13" t="str">
        <f aca="false">IF(OR(D850="",E850=""),"",E850-D850)</f>
        <v/>
      </c>
      <c r="K850" s="13" t="str">
        <f aca="false">IF(OR(C850="",D850=""),"",D850-C850)</f>
        <v/>
      </c>
      <c r="L850" s="13" t="str">
        <f aca="false">IF(A850="","",IF(OR(I850="Devolvida",N(H850)&gt;0),"Sim","Não"))</f>
        <v/>
      </c>
    </row>
    <row r="851" customFormat="false" ht="15" hidden="false" customHeight="false" outlineLevel="0" collapsed="false">
      <c r="A851" s="18"/>
      <c r="B851" s="18"/>
      <c r="C851" s="25"/>
      <c r="D851" s="25"/>
      <c r="E851" s="25"/>
      <c r="F851" s="18"/>
      <c r="G851" s="18"/>
      <c r="H851" s="18"/>
      <c r="I851" s="18"/>
      <c r="J851" s="13" t="str">
        <f aca="false">IF(OR(D851="",E851=""),"",E851-D851)</f>
        <v/>
      </c>
      <c r="K851" s="13" t="str">
        <f aca="false">IF(OR(C851="",D851=""),"",D851-C851)</f>
        <v/>
      </c>
      <c r="L851" s="13" t="str">
        <f aca="false">IF(A851="","",IF(OR(I851="Devolvida",N(H851)&gt;0),"Sim","Não"))</f>
        <v/>
      </c>
    </row>
    <row r="852" customFormat="false" ht="15" hidden="false" customHeight="false" outlineLevel="0" collapsed="false">
      <c r="A852" s="18"/>
      <c r="B852" s="18"/>
      <c r="C852" s="25"/>
      <c r="D852" s="25"/>
      <c r="E852" s="25"/>
      <c r="F852" s="18"/>
      <c r="G852" s="18"/>
      <c r="H852" s="18"/>
      <c r="I852" s="18"/>
      <c r="J852" s="13" t="str">
        <f aca="false">IF(OR(D852="",E852=""),"",E852-D852)</f>
        <v/>
      </c>
      <c r="K852" s="13" t="str">
        <f aca="false">IF(OR(C852="",D852=""),"",D852-C852)</f>
        <v/>
      </c>
      <c r="L852" s="13" t="str">
        <f aca="false">IF(A852="","",IF(OR(I852="Devolvida",N(H852)&gt;0),"Sim","Não"))</f>
        <v/>
      </c>
    </row>
    <row r="853" customFormat="false" ht="15" hidden="false" customHeight="false" outlineLevel="0" collapsed="false">
      <c r="A853" s="18"/>
      <c r="B853" s="18"/>
      <c r="C853" s="25"/>
      <c r="D853" s="25"/>
      <c r="E853" s="25"/>
      <c r="F853" s="18"/>
      <c r="G853" s="18"/>
      <c r="H853" s="18"/>
      <c r="I853" s="18"/>
      <c r="J853" s="13" t="str">
        <f aca="false">IF(OR(D853="",E853=""),"",E853-D853)</f>
        <v/>
      </c>
      <c r="K853" s="13" t="str">
        <f aca="false">IF(OR(C853="",D853=""),"",D853-C853)</f>
        <v/>
      </c>
      <c r="L853" s="13" t="str">
        <f aca="false">IF(A853="","",IF(OR(I853="Devolvida",N(H853)&gt;0),"Sim","Não"))</f>
        <v/>
      </c>
    </row>
    <row r="854" customFormat="false" ht="15" hidden="false" customHeight="false" outlineLevel="0" collapsed="false">
      <c r="A854" s="18"/>
      <c r="B854" s="18"/>
      <c r="C854" s="25"/>
      <c r="D854" s="25"/>
      <c r="E854" s="25"/>
      <c r="F854" s="18"/>
      <c r="G854" s="18"/>
      <c r="H854" s="18"/>
      <c r="I854" s="18"/>
      <c r="J854" s="13" t="str">
        <f aca="false">IF(OR(D854="",E854=""),"",E854-D854)</f>
        <v/>
      </c>
      <c r="K854" s="13" t="str">
        <f aca="false">IF(OR(C854="",D854=""),"",D854-C854)</f>
        <v/>
      </c>
      <c r="L854" s="13" t="str">
        <f aca="false">IF(A854="","",IF(OR(I854="Devolvida",N(H854)&gt;0),"Sim","Não"))</f>
        <v/>
      </c>
    </row>
    <row r="855" customFormat="false" ht="15" hidden="false" customHeight="false" outlineLevel="0" collapsed="false">
      <c r="A855" s="18"/>
      <c r="B855" s="18"/>
      <c r="C855" s="25"/>
      <c r="D855" s="25"/>
      <c r="E855" s="25"/>
      <c r="F855" s="18"/>
      <c r="G855" s="18"/>
      <c r="H855" s="18"/>
      <c r="I855" s="18"/>
      <c r="J855" s="13" t="str">
        <f aca="false">IF(OR(D855="",E855=""),"",E855-D855)</f>
        <v/>
      </c>
      <c r="K855" s="13" t="str">
        <f aca="false">IF(OR(C855="",D855=""),"",D855-C855)</f>
        <v/>
      </c>
      <c r="L855" s="13" t="str">
        <f aca="false">IF(A855="","",IF(OR(I855="Devolvida",N(H855)&gt;0),"Sim","Não"))</f>
        <v/>
      </c>
    </row>
    <row r="856" customFormat="false" ht="15" hidden="false" customHeight="false" outlineLevel="0" collapsed="false">
      <c r="A856" s="18"/>
      <c r="B856" s="18"/>
      <c r="C856" s="25"/>
      <c r="D856" s="25"/>
      <c r="E856" s="25"/>
      <c r="F856" s="18"/>
      <c r="G856" s="18"/>
      <c r="H856" s="18"/>
      <c r="I856" s="18"/>
      <c r="J856" s="13" t="str">
        <f aca="false">IF(OR(D856="",E856=""),"",E856-D856)</f>
        <v/>
      </c>
      <c r="K856" s="13" t="str">
        <f aca="false">IF(OR(C856="",D856=""),"",D856-C856)</f>
        <v/>
      </c>
      <c r="L856" s="13" t="str">
        <f aca="false">IF(A856="","",IF(OR(I856="Devolvida",N(H856)&gt;0),"Sim","Não"))</f>
        <v/>
      </c>
    </row>
    <row r="857" customFormat="false" ht="15" hidden="false" customHeight="false" outlineLevel="0" collapsed="false">
      <c r="A857" s="18"/>
      <c r="B857" s="18"/>
      <c r="C857" s="25"/>
      <c r="D857" s="25"/>
      <c r="E857" s="25"/>
      <c r="F857" s="18"/>
      <c r="G857" s="18"/>
      <c r="H857" s="18"/>
      <c r="I857" s="18"/>
      <c r="J857" s="13" t="str">
        <f aca="false">IF(OR(D857="",E857=""),"",E857-D857)</f>
        <v/>
      </c>
      <c r="K857" s="13" t="str">
        <f aca="false">IF(OR(C857="",D857=""),"",D857-C857)</f>
        <v/>
      </c>
      <c r="L857" s="13" t="str">
        <f aca="false">IF(A857="","",IF(OR(I857="Devolvida",N(H857)&gt;0),"Sim","Não"))</f>
        <v/>
      </c>
    </row>
    <row r="858" customFormat="false" ht="15" hidden="false" customHeight="false" outlineLevel="0" collapsed="false">
      <c r="A858" s="18"/>
      <c r="B858" s="18"/>
      <c r="C858" s="25"/>
      <c r="D858" s="25"/>
      <c r="E858" s="25"/>
      <c r="F858" s="18"/>
      <c r="G858" s="18"/>
      <c r="H858" s="18"/>
      <c r="I858" s="18"/>
      <c r="J858" s="13" t="str">
        <f aca="false">IF(OR(D858="",E858=""),"",E858-D858)</f>
        <v/>
      </c>
      <c r="K858" s="13" t="str">
        <f aca="false">IF(OR(C858="",D858=""),"",D858-C858)</f>
        <v/>
      </c>
      <c r="L858" s="13" t="str">
        <f aca="false">IF(A858="","",IF(OR(I858="Devolvida",N(H858)&gt;0),"Sim","Não"))</f>
        <v/>
      </c>
    </row>
    <row r="859" customFormat="false" ht="15" hidden="false" customHeight="false" outlineLevel="0" collapsed="false">
      <c r="A859" s="18"/>
      <c r="B859" s="18"/>
      <c r="C859" s="25"/>
      <c r="D859" s="25"/>
      <c r="E859" s="25"/>
      <c r="F859" s="18"/>
      <c r="G859" s="18"/>
      <c r="H859" s="18"/>
      <c r="I859" s="18"/>
      <c r="J859" s="13" t="str">
        <f aca="false">IF(OR(D859="",E859=""),"",E859-D859)</f>
        <v/>
      </c>
      <c r="K859" s="13" t="str">
        <f aca="false">IF(OR(C859="",D859=""),"",D859-C859)</f>
        <v/>
      </c>
      <c r="L859" s="13" t="str">
        <f aca="false">IF(A859="","",IF(OR(I859="Devolvida",N(H859)&gt;0),"Sim","Não"))</f>
        <v/>
      </c>
    </row>
    <row r="860" customFormat="false" ht="15" hidden="false" customHeight="false" outlineLevel="0" collapsed="false">
      <c r="A860" s="18"/>
      <c r="B860" s="18"/>
      <c r="C860" s="25"/>
      <c r="D860" s="25"/>
      <c r="E860" s="25"/>
      <c r="F860" s="18"/>
      <c r="G860" s="18"/>
      <c r="H860" s="18"/>
      <c r="I860" s="18"/>
      <c r="J860" s="13" t="str">
        <f aca="false">IF(OR(D860="",E860=""),"",E860-D860)</f>
        <v/>
      </c>
      <c r="K860" s="13" t="str">
        <f aca="false">IF(OR(C860="",D860=""),"",D860-C860)</f>
        <v/>
      </c>
      <c r="L860" s="13" t="str">
        <f aca="false">IF(A860="","",IF(OR(I860="Devolvida",N(H860)&gt;0),"Sim","Não"))</f>
        <v/>
      </c>
    </row>
    <row r="861" customFormat="false" ht="15" hidden="false" customHeight="false" outlineLevel="0" collapsed="false">
      <c r="A861" s="18"/>
      <c r="B861" s="18"/>
      <c r="C861" s="25"/>
      <c r="D861" s="25"/>
      <c r="E861" s="25"/>
      <c r="F861" s="18"/>
      <c r="G861" s="18"/>
      <c r="H861" s="18"/>
      <c r="I861" s="18"/>
      <c r="J861" s="13" t="str">
        <f aca="false">IF(OR(D861="",E861=""),"",E861-D861)</f>
        <v/>
      </c>
      <c r="K861" s="13" t="str">
        <f aca="false">IF(OR(C861="",D861=""),"",D861-C861)</f>
        <v/>
      </c>
      <c r="L861" s="13" t="str">
        <f aca="false">IF(A861="","",IF(OR(I861="Devolvida",N(H861)&gt;0),"Sim","Não"))</f>
        <v/>
      </c>
    </row>
    <row r="862" customFormat="false" ht="15" hidden="false" customHeight="false" outlineLevel="0" collapsed="false">
      <c r="A862" s="18"/>
      <c r="B862" s="18"/>
      <c r="C862" s="25"/>
      <c r="D862" s="25"/>
      <c r="E862" s="25"/>
      <c r="F862" s="18"/>
      <c r="G862" s="18"/>
      <c r="H862" s="18"/>
      <c r="I862" s="18"/>
      <c r="J862" s="13" t="str">
        <f aca="false">IF(OR(D862="",E862=""),"",E862-D862)</f>
        <v/>
      </c>
      <c r="K862" s="13" t="str">
        <f aca="false">IF(OR(C862="",D862=""),"",D862-C862)</f>
        <v/>
      </c>
      <c r="L862" s="13" t="str">
        <f aca="false">IF(A862="","",IF(OR(I862="Devolvida",N(H862)&gt;0),"Sim","Não"))</f>
        <v/>
      </c>
    </row>
    <row r="863" customFormat="false" ht="15" hidden="false" customHeight="false" outlineLevel="0" collapsed="false">
      <c r="A863" s="18"/>
      <c r="B863" s="18"/>
      <c r="C863" s="25"/>
      <c r="D863" s="25"/>
      <c r="E863" s="25"/>
      <c r="F863" s="18"/>
      <c r="G863" s="18"/>
      <c r="H863" s="18"/>
      <c r="I863" s="18"/>
      <c r="J863" s="13" t="str">
        <f aca="false">IF(OR(D863="",E863=""),"",E863-D863)</f>
        <v/>
      </c>
      <c r="K863" s="13" t="str">
        <f aca="false">IF(OR(C863="",D863=""),"",D863-C863)</f>
        <v/>
      </c>
      <c r="L863" s="13" t="str">
        <f aca="false">IF(A863="","",IF(OR(I863="Devolvida",N(H863)&gt;0),"Sim","Não"))</f>
        <v/>
      </c>
    </row>
    <row r="864" customFormat="false" ht="15" hidden="false" customHeight="false" outlineLevel="0" collapsed="false">
      <c r="A864" s="18"/>
      <c r="B864" s="18"/>
      <c r="C864" s="25"/>
      <c r="D864" s="25"/>
      <c r="E864" s="25"/>
      <c r="F864" s="18"/>
      <c r="G864" s="18"/>
      <c r="H864" s="18"/>
      <c r="I864" s="18"/>
      <c r="J864" s="13" t="str">
        <f aca="false">IF(OR(D864="",E864=""),"",E864-D864)</f>
        <v/>
      </c>
      <c r="K864" s="13" t="str">
        <f aca="false">IF(OR(C864="",D864=""),"",D864-C864)</f>
        <v/>
      </c>
      <c r="L864" s="13" t="str">
        <f aca="false">IF(A864="","",IF(OR(I864="Devolvida",N(H864)&gt;0),"Sim","Não"))</f>
        <v/>
      </c>
    </row>
    <row r="865" customFormat="false" ht="15" hidden="false" customHeight="false" outlineLevel="0" collapsed="false">
      <c r="A865" s="18"/>
      <c r="B865" s="18"/>
      <c r="C865" s="25"/>
      <c r="D865" s="25"/>
      <c r="E865" s="25"/>
      <c r="F865" s="18"/>
      <c r="G865" s="18"/>
      <c r="H865" s="18"/>
      <c r="I865" s="18"/>
      <c r="J865" s="13" t="str">
        <f aca="false">IF(OR(D865="",E865=""),"",E865-D865)</f>
        <v/>
      </c>
      <c r="K865" s="13" t="str">
        <f aca="false">IF(OR(C865="",D865=""),"",D865-C865)</f>
        <v/>
      </c>
      <c r="L865" s="13" t="str">
        <f aca="false">IF(A865="","",IF(OR(I865="Devolvida",N(H865)&gt;0),"Sim","Não"))</f>
        <v/>
      </c>
    </row>
    <row r="866" customFormat="false" ht="15" hidden="false" customHeight="false" outlineLevel="0" collapsed="false">
      <c r="A866" s="18"/>
      <c r="B866" s="18"/>
      <c r="C866" s="25"/>
      <c r="D866" s="25"/>
      <c r="E866" s="25"/>
      <c r="F866" s="18"/>
      <c r="G866" s="18"/>
      <c r="H866" s="18"/>
      <c r="I866" s="18"/>
      <c r="J866" s="13" t="str">
        <f aca="false">IF(OR(D866="",E866=""),"",E866-D866)</f>
        <v/>
      </c>
      <c r="K866" s="13" t="str">
        <f aca="false">IF(OR(C866="",D866=""),"",D866-C866)</f>
        <v/>
      </c>
      <c r="L866" s="13" t="str">
        <f aca="false">IF(A866="","",IF(OR(I866="Devolvida",N(H866)&gt;0),"Sim","Não"))</f>
        <v/>
      </c>
    </row>
    <row r="867" customFormat="false" ht="15" hidden="false" customHeight="false" outlineLevel="0" collapsed="false">
      <c r="A867" s="18"/>
      <c r="B867" s="18"/>
      <c r="C867" s="25"/>
      <c r="D867" s="25"/>
      <c r="E867" s="25"/>
      <c r="F867" s="18"/>
      <c r="G867" s="18"/>
      <c r="H867" s="18"/>
      <c r="I867" s="18"/>
      <c r="J867" s="13" t="str">
        <f aca="false">IF(OR(D867="",E867=""),"",E867-D867)</f>
        <v/>
      </c>
      <c r="K867" s="13" t="str">
        <f aca="false">IF(OR(C867="",D867=""),"",D867-C867)</f>
        <v/>
      </c>
      <c r="L867" s="13" t="str">
        <f aca="false">IF(A867="","",IF(OR(I867="Devolvida",N(H867)&gt;0),"Sim","Não"))</f>
        <v/>
      </c>
    </row>
    <row r="868" customFormat="false" ht="15" hidden="false" customHeight="false" outlineLevel="0" collapsed="false">
      <c r="A868" s="18"/>
      <c r="B868" s="18"/>
      <c r="C868" s="25"/>
      <c r="D868" s="25"/>
      <c r="E868" s="25"/>
      <c r="F868" s="18"/>
      <c r="G868" s="18"/>
      <c r="H868" s="18"/>
      <c r="I868" s="18"/>
      <c r="J868" s="13" t="str">
        <f aca="false">IF(OR(D868="",E868=""),"",E868-D868)</f>
        <v/>
      </c>
      <c r="K868" s="13" t="str">
        <f aca="false">IF(OR(C868="",D868=""),"",D868-C868)</f>
        <v/>
      </c>
      <c r="L868" s="13" t="str">
        <f aca="false">IF(A868="","",IF(OR(I868="Devolvida",N(H868)&gt;0),"Sim","Não"))</f>
        <v/>
      </c>
    </row>
    <row r="869" customFormat="false" ht="15" hidden="false" customHeight="false" outlineLevel="0" collapsed="false">
      <c r="A869" s="18"/>
      <c r="B869" s="18"/>
      <c r="C869" s="25"/>
      <c r="D869" s="25"/>
      <c r="E869" s="25"/>
      <c r="F869" s="18"/>
      <c r="G869" s="18"/>
      <c r="H869" s="18"/>
      <c r="I869" s="18"/>
      <c r="J869" s="13" t="str">
        <f aca="false">IF(OR(D869="",E869=""),"",E869-D869)</f>
        <v/>
      </c>
      <c r="K869" s="13" t="str">
        <f aca="false">IF(OR(C869="",D869=""),"",D869-C869)</f>
        <v/>
      </c>
      <c r="L869" s="13" t="str">
        <f aca="false">IF(A869="","",IF(OR(I869="Devolvida",N(H869)&gt;0),"Sim","Não"))</f>
        <v/>
      </c>
    </row>
    <row r="870" customFormat="false" ht="15" hidden="false" customHeight="false" outlineLevel="0" collapsed="false">
      <c r="A870" s="18"/>
      <c r="B870" s="18"/>
      <c r="C870" s="25"/>
      <c r="D870" s="25"/>
      <c r="E870" s="25"/>
      <c r="F870" s="18"/>
      <c r="G870" s="18"/>
      <c r="H870" s="18"/>
      <c r="I870" s="18"/>
      <c r="J870" s="13" t="str">
        <f aca="false">IF(OR(D870="",E870=""),"",E870-D870)</f>
        <v/>
      </c>
      <c r="K870" s="13" t="str">
        <f aca="false">IF(OR(C870="",D870=""),"",D870-C870)</f>
        <v/>
      </c>
      <c r="L870" s="13" t="str">
        <f aca="false">IF(A870="","",IF(OR(I870="Devolvida",N(H870)&gt;0),"Sim","Não"))</f>
        <v/>
      </c>
    </row>
    <row r="871" customFormat="false" ht="15" hidden="false" customHeight="false" outlineLevel="0" collapsed="false">
      <c r="A871" s="18"/>
      <c r="B871" s="18"/>
      <c r="C871" s="25"/>
      <c r="D871" s="25"/>
      <c r="E871" s="25"/>
      <c r="F871" s="18"/>
      <c r="G871" s="18"/>
      <c r="H871" s="18"/>
      <c r="I871" s="18"/>
      <c r="J871" s="13" t="str">
        <f aca="false">IF(OR(D871="",E871=""),"",E871-D871)</f>
        <v/>
      </c>
      <c r="K871" s="13" t="str">
        <f aca="false">IF(OR(C871="",D871=""),"",D871-C871)</f>
        <v/>
      </c>
      <c r="L871" s="13" t="str">
        <f aca="false">IF(A871="","",IF(OR(I871="Devolvida",N(H871)&gt;0),"Sim","Não"))</f>
        <v/>
      </c>
    </row>
    <row r="872" customFormat="false" ht="15" hidden="false" customHeight="false" outlineLevel="0" collapsed="false">
      <c r="A872" s="18"/>
      <c r="B872" s="18"/>
      <c r="C872" s="25"/>
      <c r="D872" s="25"/>
      <c r="E872" s="25"/>
      <c r="F872" s="18"/>
      <c r="G872" s="18"/>
      <c r="H872" s="18"/>
      <c r="I872" s="18"/>
      <c r="J872" s="13" t="str">
        <f aca="false">IF(OR(D872="",E872=""),"",E872-D872)</f>
        <v/>
      </c>
      <c r="K872" s="13" t="str">
        <f aca="false">IF(OR(C872="",D872=""),"",D872-C872)</f>
        <v/>
      </c>
      <c r="L872" s="13" t="str">
        <f aca="false">IF(A872="","",IF(OR(I872="Devolvida",N(H872)&gt;0),"Sim","Não"))</f>
        <v/>
      </c>
    </row>
    <row r="873" customFormat="false" ht="15" hidden="false" customHeight="false" outlineLevel="0" collapsed="false">
      <c r="A873" s="18"/>
      <c r="B873" s="18"/>
      <c r="C873" s="25"/>
      <c r="D873" s="25"/>
      <c r="E873" s="25"/>
      <c r="F873" s="18"/>
      <c r="G873" s="18"/>
      <c r="H873" s="18"/>
      <c r="I873" s="18"/>
      <c r="J873" s="13" t="str">
        <f aca="false">IF(OR(D873="",E873=""),"",E873-D873)</f>
        <v/>
      </c>
      <c r="K873" s="13" t="str">
        <f aca="false">IF(OR(C873="",D873=""),"",D873-C873)</f>
        <v/>
      </c>
      <c r="L873" s="13" t="str">
        <f aca="false">IF(A873="","",IF(OR(I873="Devolvida",N(H873)&gt;0),"Sim","Não"))</f>
        <v/>
      </c>
    </row>
    <row r="874" customFormat="false" ht="15" hidden="false" customHeight="false" outlineLevel="0" collapsed="false">
      <c r="A874" s="18"/>
      <c r="B874" s="18"/>
      <c r="C874" s="25"/>
      <c r="D874" s="25"/>
      <c r="E874" s="25"/>
      <c r="F874" s="18"/>
      <c r="G874" s="18"/>
      <c r="H874" s="18"/>
      <c r="I874" s="18"/>
      <c r="J874" s="13" t="str">
        <f aca="false">IF(OR(D874="",E874=""),"",E874-D874)</f>
        <v/>
      </c>
      <c r="K874" s="13" t="str">
        <f aca="false">IF(OR(C874="",D874=""),"",D874-C874)</f>
        <v/>
      </c>
      <c r="L874" s="13" t="str">
        <f aca="false">IF(A874="","",IF(OR(I874="Devolvida",N(H874)&gt;0),"Sim","Não"))</f>
        <v/>
      </c>
    </row>
    <row r="875" customFormat="false" ht="15" hidden="false" customHeight="false" outlineLevel="0" collapsed="false">
      <c r="A875" s="18"/>
      <c r="B875" s="18"/>
      <c r="C875" s="25"/>
      <c r="D875" s="25"/>
      <c r="E875" s="25"/>
      <c r="F875" s="18"/>
      <c r="G875" s="18"/>
      <c r="H875" s="18"/>
      <c r="I875" s="18"/>
      <c r="J875" s="13" t="str">
        <f aca="false">IF(OR(D875="",E875=""),"",E875-D875)</f>
        <v/>
      </c>
      <c r="K875" s="13" t="str">
        <f aca="false">IF(OR(C875="",D875=""),"",D875-C875)</f>
        <v/>
      </c>
      <c r="L875" s="13" t="str">
        <f aca="false">IF(A875="","",IF(OR(I875="Devolvida",N(H875)&gt;0),"Sim","Não"))</f>
        <v/>
      </c>
    </row>
    <row r="876" customFormat="false" ht="15" hidden="false" customHeight="false" outlineLevel="0" collapsed="false">
      <c r="A876" s="18"/>
      <c r="B876" s="18"/>
      <c r="C876" s="25"/>
      <c r="D876" s="25"/>
      <c r="E876" s="25"/>
      <c r="F876" s="18"/>
      <c r="G876" s="18"/>
      <c r="H876" s="18"/>
      <c r="I876" s="18"/>
      <c r="J876" s="13" t="str">
        <f aca="false">IF(OR(D876="",E876=""),"",E876-D876)</f>
        <v/>
      </c>
      <c r="K876" s="13" t="str">
        <f aca="false">IF(OR(C876="",D876=""),"",D876-C876)</f>
        <v/>
      </c>
      <c r="L876" s="13" t="str">
        <f aca="false">IF(A876="","",IF(OR(I876="Devolvida",N(H876)&gt;0),"Sim","Não"))</f>
        <v/>
      </c>
    </row>
    <row r="877" customFormat="false" ht="15" hidden="false" customHeight="false" outlineLevel="0" collapsed="false">
      <c r="A877" s="18"/>
      <c r="B877" s="18"/>
      <c r="C877" s="25"/>
      <c r="D877" s="25"/>
      <c r="E877" s="25"/>
      <c r="F877" s="18"/>
      <c r="G877" s="18"/>
      <c r="H877" s="18"/>
      <c r="I877" s="18"/>
      <c r="J877" s="13" t="str">
        <f aca="false">IF(OR(D877="",E877=""),"",E877-D877)</f>
        <v/>
      </c>
      <c r="K877" s="13" t="str">
        <f aca="false">IF(OR(C877="",D877=""),"",D877-C877)</f>
        <v/>
      </c>
      <c r="L877" s="13" t="str">
        <f aca="false">IF(A877="","",IF(OR(I877="Devolvida",N(H877)&gt;0),"Sim","Não"))</f>
        <v/>
      </c>
    </row>
    <row r="878" customFormat="false" ht="15" hidden="false" customHeight="false" outlineLevel="0" collapsed="false">
      <c r="A878" s="18"/>
      <c r="B878" s="18"/>
      <c r="C878" s="25"/>
      <c r="D878" s="25"/>
      <c r="E878" s="25"/>
      <c r="F878" s="18"/>
      <c r="G878" s="18"/>
      <c r="H878" s="18"/>
      <c r="I878" s="18"/>
      <c r="J878" s="13" t="str">
        <f aca="false">IF(OR(D878="",E878=""),"",E878-D878)</f>
        <v/>
      </c>
      <c r="K878" s="13" t="str">
        <f aca="false">IF(OR(C878="",D878=""),"",D878-C878)</f>
        <v/>
      </c>
      <c r="L878" s="13" t="str">
        <f aca="false">IF(A878="","",IF(OR(I878="Devolvida",N(H878)&gt;0),"Sim","Não"))</f>
        <v/>
      </c>
    </row>
    <row r="879" customFormat="false" ht="15" hidden="false" customHeight="false" outlineLevel="0" collapsed="false">
      <c r="A879" s="18"/>
      <c r="B879" s="18"/>
      <c r="C879" s="25"/>
      <c r="D879" s="25"/>
      <c r="E879" s="25"/>
      <c r="F879" s="18"/>
      <c r="G879" s="18"/>
      <c r="H879" s="18"/>
      <c r="I879" s="18"/>
      <c r="J879" s="13" t="str">
        <f aca="false">IF(OR(D879="",E879=""),"",E879-D879)</f>
        <v/>
      </c>
      <c r="K879" s="13" t="str">
        <f aca="false">IF(OR(C879="",D879=""),"",D879-C879)</f>
        <v/>
      </c>
      <c r="L879" s="13" t="str">
        <f aca="false">IF(A879="","",IF(OR(I879="Devolvida",N(H879)&gt;0),"Sim","Não"))</f>
        <v/>
      </c>
    </row>
    <row r="880" customFormat="false" ht="15" hidden="false" customHeight="false" outlineLevel="0" collapsed="false">
      <c r="A880" s="18"/>
      <c r="B880" s="18"/>
      <c r="C880" s="25"/>
      <c r="D880" s="25"/>
      <c r="E880" s="25"/>
      <c r="F880" s="18"/>
      <c r="G880" s="18"/>
      <c r="H880" s="18"/>
      <c r="I880" s="18"/>
      <c r="J880" s="13" t="str">
        <f aca="false">IF(OR(D880="",E880=""),"",E880-D880)</f>
        <v/>
      </c>
      <c r="K880" s="13" t="str">
        <f aca="false">IF(OR(C880="",D880=""),"",D880-C880)</f>
        <v/>
      </c>
      <c r="L880" s="13" t="str">
        <f aca="false">IF(A880="","",IF(OR(I880="Devolvida",N(H880)&gt;0),"Sim","Não"))</f>
        <v/>
      </c>
    </row>
    <row r="881" customFormat="false" ht="15" hidden="false" customHeight="false" outlineLevel="0" collapsed="false">
      <c r="A881" s="18"/>
      <c r="B881" s="18"/>
      <c r="C881" s="25"/>
      <c r="D881" s="25"/>
      <c r="E881" s="25"/>
      <c r="F881" s="18"/>
      <c r="G881" s="18"/>
      <c r="H881" s="18"/>
      <c r="I881" s="18"/>
      <c r="J881" s="13" t="str">
        <f aca="false">IF(OR(D881="",E881=""),"",E881-D881)</f>
        <v/>
      </c>
      <c r="K881" s="13" t="str">
        <f aca="false">IF(OR(C881="",D881=""),"",D881-C881)</f>
        <v/>
      </c>
      <c r="L881" s="13" t="str">
        <f aca="false">IF(A881="","",IF(OR(I881="Devolvida",N(H881)&gt;0),"Sim","Não"))</f>
        <v/>
      </c>
    </row>
    <row r="882" customFormat="false" ht="15" hidden="false" customHeight="false" outlineLevel="0" collapsed="false">
      <c r="A882" s="18"/>
      <c r="B882" s="18"/>
      <c r="C882" s="25"/>
      <c r="D882" s="25"/>
      <c r="E882" s="25"/>
      <c r="F882" s="18"/>
      <c r="G882" s="18"/>
      <c r="H882" s="18"/>
      <c r="I882" s="18"/>
      <c r="J882" s="13" t="str">
        <f aca="false">IF(OR(D882="",E882=""),"",E882-D882)</f>
        <v/>
      </c>
      <c r="K882" s="13" t="str">
        <f aca="false">IF(OR(C882="",D882=""),"",D882-C882)</f>
        <v/>
      </c>
      <c r="L882" s="13" t="str">
        <f aca="false">IF(A882="","",IF(OR(I882="Devolvida",N(H882)&gt;0),"Sim","Não"))</f>
        <v/>
      </c>
    </row>
    <row r="883" customFormat="false" ht="15" hidden="false" customHeight="false" outlineLevel="0" collapsed="false">
      <c r="A883" s="18"/>
      <c r="B883" s="18"/>
      <c r="C883" s="25"/>
      <c r="D883" s="25"/>
      <c r="E883" s="25"/>
      <c r="F883" s="18"/>
      <c r="G883" s="18"/>
      <c r="H883" s="18"/>
      <c r="I883" s="18"/>
      <c r="J883" s="13" t="str">
        <f aca="false">IF(OR(D883="",E883=""),"",E883-D883)</f>
        <v/>
      </c>
      <c r="K883" s="13" t="str">
        <f aca="false">IF(OR(C883="",D883=""),"",D883-C883)</f>
        <v/>
      </c>
      <c r="L883" s="13" t="str">
        <f aca="false">IF(A883="","",IF(OR(I883="Devolvida",N(H883)&gt;0),"Sim","Não"))</f>
        <v/>
      </c>
    </row>
    <row r="884" customFormat="false" ht="15" hidden="false" customHeight="false" outlineLevel="0" collapsed="false">
      <c r="A884" s="18"/>
      <c r="B884" s="18"/>
      <c r="C884" s="25"/>
      <c r="D884" s="25"/>
      <c r="E884" s="25"/>
      <c r="F884" s="18"/>
      <c r="G884" s="18"/>
      <c r="H884" s="18"/>
      <c r="I884" s="18"/>
      <c r="J884" s="13" t="str">
        <f aca="false">IF(OR(D884="",E884=""),"",E884-D884)</f>
        <v/>
      </c>
      <c r="K884" s="13" t="str">
        <f aca="false">IF(OR(C884="",D884=""),"",D884-C884)</f>
        <v/>
      </c>
      <c r="L884" s="13" t="str">
        <f aca="false">IF(A884="","",IF(OR(I884="Devolvida",N(H884)&gt;0),"Sim","Não"))</f>
        <v/>
      </c>
    </row>
    <row r="885" customFormat="false" ht="15" hidden="false" customHeight="false" outlineLevel="0" collapsed="false">
      <c r="A885" s="18"/>
      <c r="B885" s="18"/>
      <c r="C885" s="25"/>
      <c r="D885" s="25"/>
      <c r="E885" s="25"/>
      <c r="F885" s="18"/>
      <c r="G885" s="18"/>
      <c r="H885" s="18"/>
      <c r="I885" s="18"/>
      <c r="J885" s="13" t="str">
        <f aca="false">IF(OR(D885="",E885=""),"",E885-D885)</f>
        <v/>
      </c>
      <c r="K885" s="13" t="str">
        <f aca="false">IF(OR(C885="",D885=""),"",D885-C885)</f>
        <v/>
      </c>
      <c r="L885" s="13" t="str">
        <f aca="false">IF(A885="","",IF(OR(I885="Devolvida",N(H885)&gt;0),"Sim","Não"))</f>
        <v/>
      </c>
    </row>
    <row r="886" customFormat="false" ht="15" hidden="false" customHeight="false" outlineLevel="0" collapsed="false">
      <c r="A886" s="18"/>
      <c r="B886" s="18"/>
      <c r="C886" s="25"/>
      <c r="D886" s="25"/>
      <c r="E886" s="25"/>
      <c r="F886" s="18"/>
      <c r="G886" s="18"/>
      <c r="H886" s="18"/>
      <c r="I886" s="18"/>
      <c r="J886" s="13" t="str">
        <f aca="false">IF(OR(D886="",E886=""),"",E886-D886)</f>
        <v/>
      </c>
      <c r="K886" s="13" t="str">
        <f aca="false">IF(OR(C886="",D886=""),"",D886-C886)</f>
        <v/>
      </c>
      <c r="L886" s="13" t="str">
        <f aca="false">IF(A886="","",IF(OR(I886="Devolvida",N(H886)&gt;0),"Sim","Não"))</f>
        <v/>
      </c>
    </row>
    <row r="887" customFormat="false" ht="15" hidden="false" customHeight="false" outlineLevel="0" collapsed="false">
      <c r="A887" s="18"/>
      <c r="B887" s="18"/>
      <c r="C887" s="25"/>
      <c r="D887" s="25"/>
      <c r="E887" s="25"/>
      <c r="F887" s="18"/>
      <c r="G887" s="18"/>
      <c r="H887" s="18"/>
      <c r="I887" s="18"/>
      <c r="J887" s="13" t="str">
        <f aca="false">IF(OR(D887="",E887=""),"",E887-D887)</f>
        <v/>
      </c>
      <c r="K887" s="13" t="str">
        <f aca="false">IF(OR(C887="",D887=""),"",D887-C887)</f>
        <v/>
      </c>
      <c r="L887" s="13" t="str">
        <f aca="false">IF(A887="","",IF(OR(I887="Devolvida",N(H887)&gt;0),"Sim","Não"))</f>
        <v/>
      </c>
    </row>
    <row r="888" customFormat="false" ht="15" hidden="false" customHeight="false" outlineLevel="0" collapsed="false">
      <c r="A888" s="18"/>
      <c r="B888" s="18"/>
      <c r="C888" s="25"/>
      <c r="D888" s="25"/>
      <c r="E888" s="25"/>
      <c r="F888" s="18"/>
      <c r="G888" s="18"/>
      <c r="H888" s="18"/>
      <c r="I888" s="18"/>
      <c r="J888" s="13" t="str">
        <f aca="false">IF(OR(D888="",E888=""),"",E888-D888)</f>
        <v/>
      </c>
      <c r="K888" s="13" t="str">
        <f aca="false">IF(OR(C888="",D888=""),"",D888-C888)</f>
        <v/>
      </c>
      <c r="L888" s="13" t="str">
        <f aca="false">IF(A888="","",IF(OR(I888="Devolvida",N(H888)&gt;0),"Sim","Não"))</f>
        <v/>
      </c>
    </row>
    <row r="889" customFormat="false" ht="15" hidden="false" customHeight="false" outlineLevel="0" collapsed="false">
      <c r="A889" s="18"/>
      <c r="B889" s="18"/>
      <c r="C889" s="25"/>
      <c r="D889" s="25"/>
      <c r="E889" s="25"/>
      <c r="F889" s="18"/>
      <c r="G889" s="18"/>
      <c r="H889" s="18"/>
      <c r="I889" s="18"/>
      <c r="J889" s="13" t="str">
        <f aca="false">IF(OR(D889="",E889=""),"",E889-D889)</f>
        <v/>
      </c>
      <c r="K889" s="13" t="str">
        <f aca="false">IF(OR(C889="",D889=""),"",D889-C889)</f>
        <v/>
      </c>
      <c r="L889" s="13" t="str">
        <f aca="false">IF(A889="","",IF(OR(I889="Devolvida",N(H889)&gt;0),"Sim","Não"))</f>
        <v/>
      </c>
    </row>
    <row r="890" customFormat="false" ht="15" hidden="false" customHeight="false" outlineLevel="0" collapsed="false">
      <c r="A890" s="18"/>
      <c r="B890" s="18"/>
      <c r="C890" s="25"/>
      <c r="D890" s="25"/>
      <c r="E890" s="25"/>
      <c r="F890" s="18"/>
      <c r="G890" s="18"/>
      <c r="H890" s="18"/>
      <c r="I890" s="18"/>
      <c r="J890" s="13" t="str">
        <f aca="false">IF(OR(D890="",E890=""),"",E890-D890)</f>
        <v/>
      </c>
      <c r="K890" s="13" t="str">
        <f aca="false">IF(OR(C890="",D890=""),"",D890-C890)</f>
        <v/>
      </c>
      <c r="L890" s="13" t="str">
        <f aca="false">IF(A890="","",IF(OR(I890="Devolvida",N(H890)&gt;0),"Sim","Não"))</f>
        <v/>
      </c>
    </row>
    <row r="891" customFormat="false" ht="15" hidden="false" customHeight="false" outlineLevel="0" collapsed="false">
      <c r="A891" s="18"/>
      <c r="B891" s="18"/>
      <c r="C891" s="25"/>
      <c r="D891" s="25"/>
      <c r="E891" s="25"/>
      <c r="F891" s="18"/>
      <c r="G891" s="18"/>
      <c r="H891" s="18"/>
      <c r="I891" s="18"/>
      <c r="J891" s="13" t="str">
        <f aca="false">IF(OR(D891="",E891=""),"",E891-D891)</f>
        <v/>
      </c>
      <c r="K891" s="13" t="str">
        <f aca="false">IF(OR(C891="",D891=""),"",D891-C891)</f>
        <v/>
      </c>
      <c r="L891" s="13" t="str">
        <f aca="false">IF(A891="","",IF(OR(I891="Devolvida",N(H891)&gt;0),"Sim","Não"))</f>
        <v/>
      </c>
    </row>
    <row r="892" customFormat="false" ht="15" hidden="false" customHeight="false" outlineLevel="0" collapsed="false">
      <c r="A892" s="18"/>
      <c r="B892" s="18"/>
      <c r="C892" s="25"/>
      <c r="D892" s="25"/>
      <c r="E892" s="25"/>
      <c r="F892" s="18"/>
      <c r="G892" s="18"/>
      <c r="H892" s="18"/>
      <c r="I892" s="18"/>
      <c r="J892" s="13" t="str">
        <f aca="false">IF(OR(D892="",E892=""),"",E892-D892)</f>
        <v/>
      </c>
      <c r="K892" s="13" t="str">
        <f aca="false">IF(OR(C892="",D892=""),"",D892-C892)</f>
        <v/>
      </c>
      <c r="L892" s="13" t="str">
        <f aca="false">IF(A892="","",IF(OR(I892="Devolvida",N(H892)&gt;0),"Sim","Não"))</f>
        <v/>
      </c>
    </row>
    <row r="893" customFormat="false" ht="15" hidden="false" customHeight="false" outlineLevel="0" collapsed="false">
      <c r="A893" s="18"/>
      <c r="B893" s="18"/>
      <c r="C893" s="25"/>
      <c r="D893" s="25"/>
      <c r="E893" s="25"/>
      <c r="F893" s="18"/>
      <c r="G893" s="18"/>
      <c r="H893" s="18"/>
      <c r="I893" s="18"/>
      <c r="J893" s="13" t="str">
        <f aca="false">IF(OR(D893="",E893=""),"",E893-D893)</f>
        <v/>
      </c>
      <c r="K893" s="13" t="str">
        <f aca="false">IF(OR(C893="",D893=""),"",D893-C893)</f>
        <v/>
      </c>
      <c r="L893" s="13" t="str">
        <f aca="false">IF(A893="","",IF(OR(I893="Devolvida",N(H893)&gt;0),"Sim","Não"))</f>
        <v/>
      </c>
    </row>
    <row r="894" customFormat="false" ht="15" hidden="false" customHeight="false" outlineLevel="0" collapsed="false">
      <c r="A894" s="18"/>
      <c r="B894" s="18"/>
      <c r="C894" s="25"/>
      <c r="D894" s="25"/>
      <c r="E894" s="25"/>
      <c r="F894" s="18"/>
      <c r="G894" s="18"/>
      <c r="H894" s="18"/>
      <c r="I894" s="18"/>
      <c r="J894" s="13" t="str">
        <f aca="false">IF(OR(D894="",E894=""),"",E894-D894)</f>
        <v/>
      </c>
      <c r="K894" s="13" t="str">
        <f aca="false">IF(OR(C894="",D894=""),"",D894-C894)</f>
        <v/>
      </c>
      <c r="L894" s="13" t="str">
        <f aca="false">IF(A894="","",IF(OR(I894="Devolvida",N(H894)&gt;0),"Sim","Não"))</f>
        <v/>
      </c>
    </row>
    <row r="895" customFormat="false" ht="15" hidden="false" customHeight="false" outlineLevel="0" collapsed="false">
      <c r="A895" s="18"/>
      <c r="B895" s="18"/>
      <c r="C895" s="25"/>
      <c r="D895" s="25"/>
      <c r="E895" s="25"/>
      <c r="F895" s="18"/>
      <c r="G895" s="18"/>
      <c r="H895" s="18"/>
      <c r="I895" s="18"/>
      <c r="J895" s="13" t="str">
        <f aca="false">IF(OR(D895="",E895=""),"",E895-D895)</f>
        <v/>
      </c>
      <c r="K895" s="13" t="str">
        <f aca="false">IF(OR(C895="",D895=""),"",D895-C895)</f>
        <v/>
      </c>
      <c r="L895" s="13" t="str">
        <f aca="false">IF(A895="","",IF(OR(I895="Devolvida",N(H895)&gt;0),"Sim","Não"))</f>
        <v/>
      </c>
    </row>
    <row r="896" customFormat="false" ht="15" hidden="false" customHeight="false" outlineLevel="0" collapsed="false">
      <c r="A896" s="18"/>
      <c r="B896" s="18"/>
      <c r="C896" s="25"/>
      <c r="D896" s="25"/>
      <c r="E896" s="25"/>
      <c r="F896" s="18"/>
      <c r="G896" s="18"/>
      <c r="H896" s="18"/>
      <c r="I896" s="18"/>
      <c r="J896" s="13" t="str">
        <f aca="false">IF(OR(D896="",E896=""),"",E896-D896)</f>
        <v/>
      </c>
      <c r="K896" s="13" t="str">
        <f aca="false">IF(OR(C896="",D896=""),"",D896-C896)</f>
        <v/>
      </c>
      <c r="L896" s="13" t="str">
        <f aca="false">IF(A896="","",IF(OR(I896="Devolvida",N(H896)&gt;0),"Sim","Não"))</f>
        <v/>
      </c>
    </row>
    <row r="897" customFormat="false" ht="15" hidden="false" customHeight="false" outlineLevel="0" collapsed="false">
      <c r="A897" s="18"/>
      <c r="B897" s="18"/>
      <c r="C897" s="25"/>
      <c r="D897" s="25"/>
      <c r="E897" s="25"/>
      <c r="F897" s="18"/>
      <c r="G897" s="18"/>
      <c r="H897" s="18"/>
      <c r="I897" s="18"/>
      <c r="J897" s="13" t="str">
        <f aca="false">IF(OR(D897="",E897=""),"",E897-D897)</f>
        <v/>
      </c>
      <c r="K897" s="13" t="str">
        <f aca="false">IF(OR(C897="",D897=""),"",D897-C897)</f>
        <v/>
      </c>
      <c r="L897" s="13" t="str">
        <f aca="false">IF(A897="","",IF(OR(I897="Devolvida",N(H897)&gt;0),"Sim","Não"))</f>
        <v/>
      </c>
    </row>
    <row r="898" customFormat="false" ht="15" hidden="false" customHeight="false" outlineLevel="0" collapsed="false">
      <c r="A898" s="18"/>
      <c r="B898" s="18"/>
      <c r="C898" s="25"/>
      <c r="D898" s="25"/>
      <c r="E898" s="25"/>
      <c r="F898" s="18"/>
      <c r="G898" s="18"/>
      <c r="H898" s="18"/>
      <c r="I898" s="18"/>
      <c r="J898" s="13" t="str">
        <f aca="false">IF(OR(D898="",E898=""),"",E898-D898)</f>
        <v/>
      </c>
      <c r="K898" s="13" t="str">
        <f aca="false">IF(OR(C898="",D898=""),"",D898-C898)</f>
        <v/>
      </c>
      <c r="L898" s="13" t="str">
        <f aca="false">IF(A898="","",IF(OR(I898="Devolvida",N(H898)&gt;0),"Sim","Não"))</f>
        <v/>
      </c>
    </row>
    <row r="899" customFormat="false" ht="15" hidden="false" customHeight="false" outlineLevel="0" collapsed="false">
      <c r="A899" s="18"/>
      <c r="B899" s="18"/>
      <c r="C899" s="25"/>
      <c r="D899" s="25"/>
      <c r="E899" s="25"/>
      <c r="F899" s="18"/>
      <c r="G899" s="18"/>
      <c r="H899" s="18"/>
      <c r="I899" s="18"/>
      <c r="J899" s="13" t="str">
        <f aca="false">IF(OR(D899="",E899=""),"",E899-D899)</f>
        <v/>
      </c>
      <c r="K899" s="13" t="str">
        <f aca="false">IF(OR(C899="",D899=""),"",D899-C899)</f>
        <v/>
      </c>
      <c r="L899" s="13" t="str">
        <f aca="false">IF(A899="","",IF(OR(I899="Devolvida",N(H899)&gt;0),"Sim","Não"))</f>
        <v/>
      </c>
    </row>
    <row r="900" customFormat="false" ht="15" hidden="false" customHeight="false" outlineLevel="0" collapsed="false">
      <c r="A900" s="18"/>
      <c r="B900" s="18"/>
      <c r="C900" s="25"/>
      <c r="D900" s="25"/>
      <c r="E900" s="25"/>
      <c r="F900" s="18"/>
      <c r="G900" s="18"/>
      <c r="H900" s="18"/>
      <c r="I900" s="18"/>
      <c r="J900" s="13" t="str">
        <f aca="false">IF(OR(D900="",E900=""),"",E900-D900)</f>
        <v/>
      </c>
      <c r="K900" s="13" t="str">
        <f aca="false">IF(OR(C900="",D900=""),"",D900-C900)</f>
        <v/>
      </c>
      <c r="L900" s="13" t="str">
        <f aca="false">IF(A900="","",IF(OR(I900="Devolvida",N(H900)&gt;0),"Sim","Não"))</f>
        <v/>
      </c>
    </row>
    <row r="901" customFormat="false" ht="15" hidden="false" customHeight="false" outlineLevel="0" collapsed="false">
      <c r="A901" s="18"/>
      <c r="B901" s="18"/>
      <c r="C901" s="25"/>
      <c r="D901" s="25"/>
      <c r="E901" s="25"/>
      <c r="F901" s="18"/>
      <c r="G901" s="18"/>
      <c r="H901" s="18"/>
      <c r="I901" s="18"/>
      <c r="J901" s="13" t="str">
        <f aca="false">IF(OR(D901="",E901=""),"",E901-D901)</f>
        <v/>
      </c>
      <c r="K901" s="13" t="str">
        <f aca="false">IF(OR(C901="",D901=""),"",D901-C901)</f>
        <v/>
      </c>
      <c r="L901" s="13" t="str">
        <f aca="false">IF(A901="","",IF(OR(I901="Devolvida",N(H901)&gt;0),"Sim","Não"))</f>
        <v/>
      </c>
    </row>
    <row r="902" customFormat="false" ht="15" hidden="false" customHeight="false" outlineLevel="0" collapsed="false">
      <c r="A902" s="18"/>
      <c r="B902" s="18"/>
      <c r="C902" s="25"/>
      <c r="D902" s="25"/>
      <c r="E902" s="25"/>
      <c r="F902" s="18"/>
      <c r="G902" s="18"/>
      <c r="H902" s="18"/>
      <c r="I902" s="18"/>
      <c r="J902" s="13" t="str">
        <f aca="false">IF(OR(D902="",E902=""),"",E902-D902)</f>
        <v/>
      </c>
      <c r="K902" s="13" t="str">
        <f aca="false">IF(OR(C902="",D902=""),"",D902-C902)</f>
        <v/>
      </c>
      <c r="L902" s="13" t="str">
        <f aca="false">IF(A902="","",IF(OR(I902="Devolvida",N(H902)&gt;0),"Sim","Não"))</f>
        <v/>
      </c>
    </row>
    <row r="903" customFormat="false" ht="15" hidden="false" customHeight="false" outlineLevel="0" collapsed="false">
      <c r="A903" s="18"/>
      <c r="B903" s="18"/>
      <c r="C903" s="25"/>
      <c r="D903" s="25"/>
      <c r="E903" s="25"/>
      <c r="F903" s="18"/>
      <c r="G903" s="18"/>
      <c r="H903" s="18"/>
      <c r="I903" s="18"/>
      <c r="J903" s="13" t="str">
        <f aca="false">IF(OR(D903="",E903=""),"",E903-D903)</f>
        <v/>
      </c>
      <c r="K903" s="13" t="str">
        <f aca="false">IF(OR(C903="",D903=""),"",D903-C903)</f>
        <v/>
      </c>
      <c r="L903" s="13" t="str">
        <f aca="false">IF(A903="","",IF(OR(I903="Devolvida",N(H903)&gt;0),"Sim","Não"))</f>
        <v/>
      </c>
    </row>
    <row r="904" customFormat="false" ht="15" hidden="false" customHeight="false" outlineLevel="0" collapsed="false">
      <c r="A904" s="18"/>
      <c r="B904" s="18"/>
      <c r="C904" s="25"/>
      <c r="D904" s="25"/>
      <c r="E904" s="25"/>
      <c r="F904" s="18"/>
      <c r="G904" s="18"/>
      <c r="H904" s="18"/>
      <c r="I904" s="18"/>
      <c r="J904" s="13" t="str">
        <f aca="false">IF(OR(D904="",E904=""),"",E904-D904)</f>
        <v/>
      </c>
      <c r="K904" s="13" t="str">
        <f aca="false">IF(OR(C904="",D904=""),"",D904-C904)</f>
        <v/>
      </c>
      <c r="L904" s="13" t="str">
        <f aca="false">IF(A904="","",IF(OR(I904="Devolvida",N(H904)&gt;0),"Sim","Não"))</f>
        <v/>
      </c>
    </row>
    <row r="905" customFormat="false" ht="15" hidden="false" customHeight="false" outlineLevel="0" collapsed="false">
      <c r="A905" s="18"/>
      <c r="B905" s="18"/>
      <c r="C905" s="25"/>
      <c r="D905" s="25"/>
      <c r="E905" s="25"/>
      <c r="F905" s="18"/>
      <c r="G905" s="18"/>
      <c r="H905" s="18"/>
      <c r="I905" s="18"/>
      <c r="J905" s="13" t="str">
        <f aca="false">IF(OR(D905="",E905=""),"",E905-D905)</f>
        <v/>
      </c>
      <c r="K905" s="13" t="str">
        <f aca="false">IF(OR(C905="",D905=""),"",D905-C905)</f>
        <v/>
      </c>
      <c r="L905" s="13" t="str">
        <f aca="false">IF(A905="","",IF(OR(I905="Devolvida",N(H905)&gt;0),"Sim","Não"))</f>
        <v/>
      </c>
    </row>
    <row r="906" customFormat="false" ht="15" hidden="false" customHeight="false" outlineLevel="0" collapsed="false">
      <c r="A906" s="18"/>
      <c r="B906" s="18"/>
      <c r="C906" s="25"/>
      <c r="D906" s="25"/>
      <c r="E906" s="25"/>
      <c r="F906" s="18"/>
      <c r="G906" s="18"/>
      <c r="H906" s="18"/>
      <c r="I906" s="18"/>
      <c r="J906" s="13" t="str">
        <f aca="false">IF(OR(D906="",E906=""),"",E906-D906)</f>
        <v/>
      </c>
      <c r="K906" s="13" t="str">
        <f aca="false">IF(OR(C906="",D906=""),"",D906-C906)</f>
        <v/>
      </c>
      <c r="L906" s="13" t="str">
        <f aca="false">IF(A906="","",IF(OR(I906="Devolvida",N(H906)&gt;0),"Sim","Não"))</f>
        <v/>
      </c>
    </row>
    <row r="907" customFormat="false" ht="15" hidden="false" customHeight="false" outlineLevel="0" collapsed="false">
      <c r="A907" s="18"/>
      <c r="B907" s="18"/>
      <c r="C907" s="25"/>
      <c r="D907" s="25"/>
      <c r="E907" s="25"/>
      <c r="F907" s="18"/>
      <c r="G907" s="18"/>
      <c r="H907" s="18"/>
      <c r="I907" s="18"/>
      <c r="J907" s="13" t="str">
        <f aca="false">IF(OR(D907="",E907=""),"",E907-D907)</f>
        <v/>
      </c>
      <c r="K907" s="13" t="str">
        <f aca="false">IF(OR(C907="",D907=""),"",D907-C907)</f>
        <v/>
      </c>
      <c r="L907" s="13" t="str">
        <f aca="false">IF(A907="","",IF(OR(I907="Devolvida",N(H907)&gt;0),"Sim","Não"))</f>
        <v/>
      </c>
    </row>
    <row r="908" customFormat="false" ht="15" hidden="false" customHeight="false" outlineLevel="0" collapsed="false">
      <c r="A908" s="18"/>
      <c r="B908" s="18"/>
      <c r="C908" s="25"/>
      <c r="D908" s="25"/>
      <c r="E908" s="25"/>
      <c r="F908" s="18"/>
      <c r="G908" s="18"/>
      <c r="H908" s="18"/>
      <c r="I908" s="18"/>
      <c r="J908" s="13" t="str">
        <f aca="false">IF(OR(D908="",E908=""),"",E908-D908)</f>
        <v/>
      </c>
      <c r="K908" s="13" t="str">
        <f aca="false">IF(OR(C908="",D908=""),"",D908-C908)</f>
        <v/>
      </c>
      <c r="L908" s="13" t="str">
        <f aca="false">IF(A908="","",IF(OR(I908="Devolvida",N(H908)&gt;0),"Sim","Não"))</f>
        <v/>
      </c>
    </row>
    <row r="909" customFormat="false" ht="15" hidden="false" customHeight="false" outlineLevel="0" collapsed="false">
      <c r="A909" s="18"/>
      <c r="B909" s="18"/>
      <c r="C909" s="25"/>
      <c r="D909" s="25"/>
      <c r="E909" s="25"/>
      <c r="F909" s="18"/>
      <c r="G909" s="18"/>
      <c r="H909" s="18"/>
      <c r="I909" s="18"/>
      <c r="J909" s="13" t="str">
        <f aca="false">IF(OR(D909="",E909=""),"",E909-D909)</f>
        <v/>
      </c>
      <c r="K909" s="13" t="str">
        <f aca="false">IF(OR(C909="",D909=""),"",D909-C909)</f>
        <v/>
      </c>
      <c r="L909" s="13" t="str">
        <f aca="false">IF(A909="","",IF(OR(I909="Devolvida",N(H909)&gt;0),"Sim","Não"))</f>
        <v/>
      </c>
    </row>
    <row r="910" customFormat="false" ht="15" hidden="false" customHeight="false" outlineLevel="0" collapsed="false">
      <c r="A910" s="18"/>
      <c r="B910" s="18"/>
      <c r="C910" s="25"/>
      <c r="D910" s="25"/>
      <c r="E910" s="25"/>
      <c r="F910" s="18"/>
      <c r="G910" s="18"/>
      <c r="H910" s="18"/>
      <c r="I910" s="18"/>
      <c r="J910" s="13" t="str">
        <f aca="false">IF(OR(D910="",E910=""),"",E910-D910)</f>
        <v/>
      </c>
      <c r="K910" s="13" t="str">
        <f aca="false">IF(OR(C910="",D910=""),"",D910-C910)</f>
        <v/>
      </c>
      <c r="L910" s="13" t="str">
        <f aca="false">IF(A910="","",IF(OR(I910="Devolvida",N(H910)&gt;0),"Sim","Não"))</f>
        <v/>
      </c>
    </row>
    <row r="911" customFormat="false" ht="15" hidden="false" customHeight="false" outlineLevel="0" collapsed="false">
      <c r="A911" s="18"/>
      <c r="B911" s="18"/>
      <c r="C911" s="25"/>
      <c r="D911" s="25"/>
      <c r="E911" s="25"/>
      <c r="F911" s="18"/>
      <c r="G911" s="18"/>
      <c r="H911" s="18"/>
      <c r="I911" s="18"/>
      <c r="J911" s="13" t="str">
        <f aca="false">IF(OR(D911="",E911=""),"",E911-D911)</f>
        <v/>
      </c>
      <c r="K911" s="13" t="str">
        <f aca="false">IF(OR(C911="",D911=""),"",D911-C911)</f>
        <v/>
      </c>
      <c r="L911" s="13" t="str">
        <f aca="false">IF(A911="","",IF(OR(I911="Devolvida",N(H911)&gt;0),"Sim","Não"))</f>
        <v/>
      </c>
    </row>
    <row r="912" customFormat="false" ht="15" hidden="false" customHeight="false" outlineLevel="0" collapsed="false">
      <c r="A912" s="18"/>
      <c r="B912" s="18"/>
      <c r="C912" s="25"/>
      <c r="D912" s="25"/>
      <c r="E912" s="25"/>
      <c r="F912" s="18"/>
      <c r="G912" s="18"/>
      <c r="H912" s="18"/>
      <c r="I912" s="18"/>
      <c r="J912" s="13" t="str">
        <f aca="false">IF(OR(D912="",E912=""),"",E912-D912)</f>
        <v/>
      </c>
      <c r="K912" s="13" t="str">
        <f aca="false">IF(OR(C912="",D912=""),"",D912-C912)</f>
        <v/>
      </c>
      <c r="L912" s="13" t="str">
        <f aca="false">IF(A912="","",IF(OR(I912="Devolvida",N(H912)&gt;0),"Sim","Não"))</f>
        <v/>
      </c>
    </row>
    <row r="913" customFormat="false" ht="15" hidden="false" customHeight="false" outlineLevel="0" collapsed="false">
      <c r="A913" s="18"/>
      <c r="B913" s="18"/>
      <c r="C913" s="25"/>
      <c r="D913" s="25"/>
      <c r="E913" s="25"/>
      <c r="F913" s="18"/>
      <c r="G913" s="18"/>
      <c r="H913" s="18"/>
      <c r="I913" s="18"/>
      <c r="J913" s="13" t="str">
        <f aca="false">IF(OR(D913="",E913=""),"",E913-D913)</f>
        <v/>
      </c>
      <c r="K913" s="13" t="str">
        <f aca="false">IF(OR(C913="",D913=""),"",D913-C913)</f>
        <v/>
      </c>
      <c r="L913" s="13" t="str">
        <f aca="false">IF(A913="","",IF(OR(I913="Devolvida",N(H913)&gt;0),"Sim","Não"))</f>
        <v/>
      </c>
    </row>
    <row r="914" customFormat="false" ht="15" hidden="false" customHeight="false" outlineLevel="0" collapsed="false">
      <c r="A914" s="18"/>
      <c r="B914" s="18"/>
      <c r="C914" s="25"/>
      <c r="D914" s="25"/>
      <c r="E914" s="25"/>
      <c r="F914" s="18"/>
      <c r="G914" s="18"/>
      <c r="H914" s="18"/>
      <c r="I914" s="18"/>
      <c r="J914" s="13" t="str">
        <f aca="false">IF(OR(D914="",E914=""),"",E914-D914)</f>
        <v/>
      </c>
      <c r="K914" s="13" t="str">
        <f aca="false">IF(OR(C914="",D914=""),"",D914-C914)</f>
        <v/>
      </c>
      <c r="L914" s="13" t="str">
        <f aca="false">IF(A914="","",IF(OR(I914="Devolvida",N(H914)&gt;0),"Sim","Não"))</f>
        <v/>
      </c>
    </row>
    <row r="915" customFormat="false" ht="15" hidden="false" customHeight="false" outlineLevel="0" collapsed="false">
      <c r="A915" s="18"/>
      <c r="B915" s="18"/>
      <c r="C915" s="25"/>
      <c r="D915" s="25"/>
      <c r="E915" s="25"/>
      <c r="F915" s="18"/>
      <c r="G915" s="18"/>
      <c r="H915" s="18"/>
      <c r="I915" s="18"/>
      <c r="J915" s="13" t="str">
        <f aca="false">IF(OR(D915="",E915=""),"",E915-D915)</f>
        <v/>
      </c>
      <c r="K915" s="13" t="str">
        <f aca="false">IF(OR(C915="",D915=""),"",D915-C915)</f>
        <v/>
      </c>
      <c r="L915" s="13" t="str">
        <f aca="false">IF(A915="","",IF(OR(I915="Devolvida",N(H915)&gt;0),"Sim","Não"))</f>
        <v/>
      </c>
    </row>
    <row r="916" customFormat="false" ht="15" hidden="false" customHeight="false" outlineLevel="0" collapsed="false">
      <c r="A916" s="18"/>
      <c r="B916" s="18"/>
      <c r="C916" s="25"/>
      <c r="D916" s="25"/>
      <c r="E916" s="25"/>
      <c r="F916" s="18"/>
      <c r="G916" s="18"/>
      <c r="H916" s="18"/>
      <c r="I916" s="18"/>
      <c r="J916" s="13" t="str">
        <f aca="false">IF(OR(D916="",E916=""),"",E916-D916)</f>
        <v/>
      </c>
      <c r="K916" s="13" t="str">
        <f aca="false">IF(OR(C916="",D916=""),"",D916-C916)</f>
        <v/>
      </c>
      <c r="L916" s="13" t="str">
        <f aca="false">IF(A916="","",IF(OR(I916="Devolvida",N(H916)&gt;0),"Sim","Não"))</f>
        <v/>
      </c>
    </row>
    <row r="917" customFormat="false" ht="15" hidden="false" customHeight="false" outlineLevel="0" collapsed="false">
      <c r="A917" s="18"/>
      <c r="B917" s="18"/>
      <c r="C917" s="25"/>
      <c r="D917" s="25"/>
      <c r="E917" s="25"/>
      <c r="F917" s="18"/>
      <c r="G917" s="18"/>
      <c r="H917" s="18"/>
      <c r="I917" s="18"/>
      <c r="J917" s="13" t="str">
        <f aca="false">IF(OR(D917="",E917=""),"",E917-D917)</f>
        <v/>
      </c>
      <c r="K917" s="13" t="str">
        <f aca="false">IF(OR(C917="",D917=""),"",D917-C917)</f>
        <v/>
      </c>
      <c r="L917" s="13" t="str">
        <f aca="false">IF(A917="","",IF(OR(I917="Devolvida",N(H917)&gt;0),"Sim","Não"))</f>
        <v/>
      </c>
    </row>
    <row r="918" customFormat="false" ht="15" hidden="false" customHeight="false" outlineLevel="0" collapsed="false">
      <c r="A918" s="18"/>
      <c r="B918" s="18"/>
      <c r="C918" s="25"/>
      <c r="D918" s="25"/>
      <c r="E918" s="25"/>
      <c r="F918" s="18"/>
      <c r="G918" s="18"/>
      <c r="H918" s="18"/>
      <c r="I918" s="18"/>
      <c r="J918" s="13" t="str">
        <f aca="false">IF(OR(D918="",E918=""),"",E918-D918)</f>
        <v/>
      </c>
      <c r="K918" s="13" t="str">
        <f aca="false">IF(OR(C918="",D918=""),"",D918-C918)</f>
        <v/>
      </c>
      <c r="L918" s="13" t="str">
        <f aca="false">IF(A918="","",IF(OR(I918="Devolvida",N(H918)&gt;0),"Sim","Não"))</f>
        <v/>
      </c>
    </row>
    <row r="919" customFormat="false" ht="15" hidden="false" customHeight="false" outlineLevel="0" collapsed="false">
      <c r="A919" s="18"/>
      <c r="B919" s="18"/>
      <c r="C919" s="25"/>
      <c r="D919" s="25"/>
      <c r="E919" s="25"/>
      <c r="F919" s="18"/>
      <c r="G919" s="18"/>
      <c r="H919" s="18"/>
      <c r="I919" s="18"/>
      <c r="J919" s="13" t="str">
        <f aca="false">IF(OR(D919="",E919=""),"",E919-D919)</f>
        <v/>
      </c>
      <c r="K919" s="13" t="str">
        <f aca="false">IF(OR(C919="",D919=""),"",D919-C919)</f>
        <v/>
      </c>
      <c r="L919" s="13" t="str">
        <f aca="false">IF(A919="","",IF(OR(I919="Devolvida",N(H919)&gt;0),"Sim","Não"))</f>
        <v/>
      </c>
    </row>
    <row r="920" customFormat="false" ht="15" hidden="false" customHeight="false" outlineLevel="0" collapsed="false">
      <c r="A920" s="18"/>
      <c r="B920" s="18"/>
      <c r="C920" s="25"/>
      <c r="D920" s="25"/>
      <c r="E920" s="25"/>
      <c r="F920" s="18"/>
      <c r="G920" s="18"/>
      <c r="H920" s="18"/>
      <c r="I920" s="18"/>
      <c r="J920" s="13" t="str">
        <f aca="false">IF(OR(D920="",E920=""),"",E920-D920)</f>
        <v/>
      </c>
      <c r="K920" s="13" t="str">
        <f aca="false">IF(OR(C920="",D920=""),"",D920-C920)</f>
        <v/>
      </c>
      <c r="L920" s="13" t="str">
        <f aca="false">IF(A920="","",IF(OR(I920="Devolvida",N(H920)&gt;0),"Sim","Não"))</f>
        <v/>
      </c>
    </row>
    <row r="921" customFormat="false" ht="15" hidden="false" customHeight="false" outlineLevel="0" collapsed="false">
      <c r="A921" s="18"/>
      <c r="B921" s="18"/>
      <c r="C921" s="25"/>
      <c r="D921" s="25"/>
      <c r="E921" s="25"/>
      <c r="F921" s="18"/>
      <c r="G921" s="18"/>
      <c r="H921" s="18"/>
      <c r="I921" s="18"/>
      <c r="J921" s="13" t="str">
        <f aca="false">IF(OR(D921="",E921=""),"",E921-D921)</f>
        <v/>
      </c>
      <c r="K921" s="13" t="str">
        <f aca="false">IF(OR(C921="",D921=""),"",D921-C921)</f>
        <v/>
      </c>
      <c r="L921" s="13" t="str">
        <f aca="false">IF(A921="","",IF(OR(I921="Devolvida",N(H921)&gt;0),"Sim","Não"))</f>
        <v/>
      </c>
    </row>
    <row r="922" customFormat="false" ht="15" hidden="false" customHeight="false" outlineLevel="0" collapsed="false">
      <c r="A922" s="18"/>
      <c r="B922" s="18"/>
      <c r="C922" s="25"/>
      <c r="D922" s="25"/>
      <c r="E922" s="25"/>
      <c r="F922" s="18"/>
      <c r="G922" s="18"/>
      <c r="H922" s="18"/>
      <c r="I922" s="18"/>
      <c r="J922" s="13" t="str">
        <f aca="false">IF(OR(D922="",E922=""),"",E922-D922)</f>
        <v/>
      </c>
      <c r="K922" s="13" t="str">
        <f aca="false">IF(OR(C922="",D922=""),"",D922-C922)</f>
        <v/>
      </c>
      <c r="L922" s="13" t="str">
        <f aca="false">IF(A922="","",IF(OR(I922="Devolvida",N(H922)&gt;0),"Sim","Não"))</f>
        <v/>
      </c>
    </row>
    <row r="923" customFormat="false" ht="15" hidden="false" customHeight="false" outlineLevel="0" collapsed="false">
      <c r="A923" s="18"/>
      <c r="B923" s="18"/>
      <c r="C923" s="25"/>
      <c r="D923" s="25"/>
      <c r="E923" s="25"/>
      <c r="F923" s="18"/>
      <c r="G923" s="18"/>
      <c r="H923" s="18"/>
      <c r="I923" s="18"/>
      <c r="J923" s="13" t="str">
        <f aca="false">IF(OR(D923="",E923=""),"",E923-D923)</f>
        <v/>
      </c>
      <c r="K923" s="13" t="str">
        <f aca="false">IF(OR(C923="",D923=""),"",D923-C923)</f>
        <v/>
      </c>
      <c r="L923" s="13" t="str">
        <f aca="false">IF(A923="","",IF(OR(I923="Devolvida",N(H923)&gt;0),"Sim","Não"))</f>
        <v/>
      </c>
    </row>
    <row r="924" customFormat="false" ht="15" hidden="false" customHeight="false" outlineLevel="0" collapsed="false">
      <c r="A924" s="18"/>
      <c r="B924" s="18"/>
      <c r="C924" s="25"/>
      <c r="D924" s="25"/>
      <c r="E924" s="25"/>
      <c r="F924" s="18"/>
      <c r="G924" s="18"/>
      <c r="H924" s="18"/>
      <c r="I924" s="18"/>
      <c r="J924" s="13" t="str">
        <f aca="false">IF(OR(D924="",E924=""),"",E924-D924)</f>
        <v/>
      </c>
      <c r="K924" s="13" t="str">
        <f aca="false">IF(OR(C924="",D924=""),"",D924-C924)</f>
        <v/>
      </c>
      <c r="L924" s="13" t="str">
        <f aca="false">IF(A924="","",IF(OR(I924="Devolvida",N(H924)&gt;0),"Sim","Não"))</f>
        <v/>
      </c>
    </row>
    <row r="925" customFormat="false" ht="15" hidden="false" customHeight="false" outlineLevel="0" collapsed="false">
      <c r="A925" s="18"/>
      <c r="B925" s="18"/>
      <c r="C925" s="25"/>
      <c r="D925" s="25"/>
      <c r="E925" s="25"/>
      <c r="F925" s="18"/>
      <c r="G925" s="18"/>
      <c r="H925" s="18"/>
      <c r="I925" s="18"/>
      <c r="J925" s="13" t="str">
        <f aca="false">IF(OR(D925="",E925=""),"",E925-D925)</f>
        <v/>
      </c>
      <c r="K925" s="13" t="str">
        <f aca="false">IF(OR(C925="",D925=""),"",D925-C925)</f>
        <v/>
      </c>
      <c r="L925" s="13" t="str">
        <f aca="false">IF(A925="","",IF(OR(I925="Devolvida",N(H925)&gt;0),"Sim","Não"))</f>
        <v/>
      </c>
    </row>
    <row r="926" customFormat="false" ht="15" hidden="false" customHeight="false" outlineLevel="0" collapsed="false">
      <c r="A926" s="18"/>
      <c r="B926" s="18"/>
      <c r="C926" s="25"/>
      <c r="D926" s="25"/>
      <c r="E926" s="25"/>
      <c r="F926" s="18"/>
      <c r="G926" s="18"/>
      <c r="H926" s="18"/>
      <c r="I926" s="18"/>
      <c r="J926" s="13" t="str">
        <f aca="false">IF(OR(D926="",E926=""),"",E926-D926)</f>
        <v/>
      </c>
      <c r="K926" s="13" t="str">
        <f aca="false">IF(OR(C926="",D926=""),"",D926-C926)</f>
        <v/>
      </c>
      <c r="L926" s="13" t="str">
        <f aca="false">IF(A926="","",IF(OR(I926="Devolvida",N(H926)&gt;0),"Sim","Não"))</f>
        <v/>
      </c>
    </row>
    <row r="927" customFormat="false" ht="15" hidden="false" customHeight="false" outlineLevel="0" collapsed="false">
      <c r="A927" s="18"/>
      <c r="B927" s="18"/>
      <c r="C927" s="25"/>
      <c r="D927" s="25"/>
      <c r="E927" s="25"/>
      <c r="F927" s="18"/>
      <c r="G927" s="18"/>
      <c r="H927" s="18"/>
      <c r="I927" s="18"/>
      <c r="J927" s="13" t="str">
        <f aca="false">IF(OR(D927="",E927=""),"",E927-D927)</f>
        <v/>
      </c>
      <c r="K927" s="13" t="str">
        <f aca="false">IF(OR(C927="",D927=""),"",D927-C927)</f>
        <v/>
      </c>
      <c r="L927" s="13" t="str">
        <f aca="false">IF(A927="","",IF(OR(I927="Devolvida",N(H927)&gt;0),"Sim","Não"))</f>
        <v/>
      </c>
    </row>
    <row r="928" customFormat="false" ht="15" hidden="false" customHeight="false" outlineLevel="0" collapsed="false">
      <c r="A928" s="18"/>
      <c r="B928" s="18"/>
      <c r="C928" s="25"/>
      <c r="D928" s="25"/>
      <c r="E928" s="25"/>
      <c r="F928" s="18"/>
      <c r="G928" s="18"/>
      <c r="H928" s="18"/>
      <c r="I928" s="18"/>
      <c r="J928" s="13" t="str">
        <f aca="false">IF(OR(D928="",E928=""),"",E928-D928)</f>
        <v/>
      </c>
      <c r="K928" s="13" t="str">
        <f aca="false">IF(OR(C928="",D928=""),"",D928-C928)</f>
        <v/>
      </c>
      <c r="L928" s="13" t="str">
        <f aca="false">IF(A928="","",IF(OR(I928="Devolvida",N(H928)&gt;0),"Sim","Não"))</f>
        <v/>
      </c>
    </row>
    <row r="929" customFormat="false" ht="15" hidden="false" customHeight="false" outlineLevel="0" collapsed="false">
      <c r="A929" s="18"/>
      <c r="B929" s="18"/>
      <c r="C929" s="25"/>
      <c r="D929" s="25"/>
      <c r="E929" s="25"/>
      <c r="F929" s="18"/>
      <c r="G929" s="18"/>
      <c r="H929" s="18"/>
      <c r="I929" s="18"/>
      <c r="J929" s="13" t="str">
        <f aca="false">IF(OR(D929="",E929=""),"",E929-D929)</f>
        <v/>
      </c>
      <c r="K929" s="13" t="str">
        <f aca="false">IF(OR(C929="",D929=""),"",D929-C929)</f>
        <v/>
      </c>
      <c r="L929" s="13" t="str">
        <f aca="false">IF(A929="","",IF(OR(I929="Devolvida",N(H929)&gt;0),"Sim","Não"))</f>
        <v/>
      </c>
    </row>
    <row r="930" customFormat="false" ht="15" hidden="false" customHeight="false" outlineLevel="0" collapsed="false">
      <c r="A930" s="18"/>
      <c r="B930" s="18"/>
      <c r="C930" s="25"/>
      <c r="D930" s="25"/>
      <c r="E930" s="25"/>
      <c r="F930" s="18"/>
      <c r="G930" s="18"/>
      <c r="H930" s="18"/>
      <c r="I930" s="18"/>
      <c r="J930" s="13" t="str">
        <f aca="false">IF(OR(D930="",E930=""),"",E930-D930)</f>
        <v/>
      </c>
      <c r="K930" s="13" t="str">
        <f aca="false">IF(OR(C930="",D930=""),"",D930-C930)</f>
        <v/>
      </c>
      <c r="L930" s="13" t="str">
        <f aca="false">IF(A930="","",IF(OR(I930="Devolvida",N(H930)&gt;0),"Sim","Não"))</f>
        <v/>
      </c>
    </row>
    <row r="931" customFormat="false" ht="15" hidden="false" customHeight="false" outlineLevel="0" collapsed="false">
      <c r="A931" s="18"/>
      <c r="B931" s="18"/>
      <c r="C931" s="25"/>
      <c r="D931" s="25"/>
      <c r="E931" s="25"/>
      <c r="F931" s="18"/>
      <c r="G931" s="18"/>
      <c r="H931" s="18"/>
      <c r="I931" s="18"/>
      <c r="J931" s="13" t="str">
        <f aca="false">IF(OR(D931="",E931=""),"",E931-D931)</f>
        <v/>
      </c>
      <c r="K931" s="13" t="str">
        <f aca="false">IF(OR(C931="",D931=""),"",D931-C931)</f>
        <v/>
      </c>
      <c r="L931" s="13" t="str">
        <f aca="false">IF(A931="","",IF(OR(I931="Devolvida",N(H931)&gt;0),"Sim","Não"))</f>
        <v/>
      </c>
    </row>
    <row r="932" customFormat="false" ht="15" hidden="false" customHeight="false" outlineLevel="0" collapsed="false">
      <c r="A932" s="18"/>
      <c r="B932" s="18"/>
      <c r="C932" s="25"/>
      <c r="D932" s="25"/>
      <c r="E932" s="25"/>
      <c r="F932" s="18"/>
      <c r="G932" s="18"/>
      <c r="H932" s="18"/>
      <c r="I932" s="18"/>
      <c r="J932" s="13" t="str">
        <f aca="false">IF(OR(D932="",E932=""),"",E932-D932)</f>
        <v/>
      </c>
      <c r="K932" s="13" t="str">
        <f aca="false">IF(OR(C932="",D932=""),"",D932-C932)</f>
        <v/>
      </c>
      <c r="L932" s="13" t="str">
        <f aca="false">IF(A932="","",IF(OR(I932="Devolvida",N(H932)&gt;0),"Sim","Não"))</f>
        <v/>
      </c>
    </row>
    <row r="933" customFormat="false" ht="15" hidden="false" customHeight="false" outlineLevel="0" collapsed="false">
      <c r="A933" s="18"/>
      <c r="B933" s="18"/>
      <c r="C933" s="25"/>
      <c r="D933" s="25"/>
      <c r="E933" s="25"/>
      <c r="F933" s="18"/>
      <c r="G933" s="18"/>
      <c r="H933" s="18"/>
      <c r="I933" s="18"/>
      <c r="J933" s="13" t="str">
        <f aca="false">IF(OR(D933="",E933=""),"",E933-D933)</f>
        <v/>
      </c>
      <c r="K933" s="13" t="str">
        <f aca="false">IF(OR(C933="",D933=""),"",D933-C933)</f>
        <v/>
      </c>
      <c r="L933" s="13" t="str">
        <f aca="false">IF(A933="","",IF(OR(I933="Devolvida",N(H933)&gt;0),"Sim","Não"))</f>
        <v/>
      </c>
    </row>
    <row r="934" customFormat="false" ht="15" hidden="false" customHeight="false" outlineLevel="0" collapsed="false">
      <c r="A934" s="18"/>
      <c r="B934" s="18"/>
      <c r="C934" s="25"/>
      <c r="D934" s="25"/>
      <c r="E934" s="25"/>
      <c r="F934" s="18"/>
      <c r="G934" s="18"/>
      <c r="H934" s="18"/>
      <c r="I934" s="18"/>
      <c r="J934" s="13" t="str">
        <f aca="false">IF(OR(D934="",E934=""),"",E934-D934)</f>
        <v/>
      </c>
      <c r="K934" s="13" t="str">
        <f aca="false">IF(OR(C934="",D934=""),"",D934-C934)</f>
        <v/>
      </c>
      <c r="L934" s="13" t="str">
        <f aca="false">IF(A934="","",IF(OR(I934="Devolvida",N(H934)&gt;0),"Sim","Não"))</f>
        <v/>
      </c>
    </row>
    <row r="935" customFormat="false" ht="15" hidden="false" customHeight="false" outlineLevel="0" collapsed="false">
      <c r="A935" s="18"/>
      <c r="B935" s="18"/>
      <c r="C935" s="25"/>
      <c r="D935" s="25"/>
      <c r="E935" s="25"/>
      <c r="F935" s="18"/>
      <c r="G935" s="18"/>
      <c r="H935" s="18"/>
      <c r="I935" s="18"/>
      <c r="J935" s="13" t="str">
        <f aca="false">IF(OR(D935="",E935=""),"",E935-D935)</f>
        <v/>
      </c>
      <c r="K935" s="13" t="str">
        <f aca="false">IF(OR(C935="",D935=""),"",D935-C935)</f>
        <v/>
      </c>
      <c r="L935" s="13" t="str">
        <f aca="false">IF(A935="","",IF(OR(I935="Devolvida",N(H935)&gt;0),"Sim","Não"))</f>
        <v/>
      </c>
    </row>
    <row r="936" customFormat="false" ht="15" hidden="false" customHeight="false" outlineLevel="0" collapsed="false">
      <c r="A936" s="18"/>
      <c r="B936" s="18"/>
      <c r="C936" s="25"/>
      <c r="D936" s="25"/>
      <c r="E936" s="25"/>
      <c r="F936" s="18"/>
      <c r="G936" s="18"/>
      <c r="H936" s="18"/>
      <c r="I936" s="18"/>
      <c r="J936" s="13" t="str">
        <f aca="false">IF(OR(D936="",E936=""),"",E936-D936)</f>
        <v/>
      </c>
      <c r="K936" s="13" t="str">
        <f aca="false">IF(OR(C936="",D936=""),"",D936-C936)</f>
        <v/>
      </c>
      <c r="L936" s="13" t="str">
        <f aca="false">IF(A936="","",IF(OR(I936="Devolvida",N(H936)&gt;0),"Sim","Não"))</f>
        <v/>
      </c>
    </row>
    <row r="937" customFormat="false" ht="15" hidden="false" customHeight="false" outlineLevel="0" collapsed="false">
      <c r="A937" s="18"/>
      <c r="B937" s="18"/>
      <c r="C937" s="25"/>
      <c r="D937" s="25"/>
      <c r="E937" s="25"/>
      <c r="F937" s="18"/>
      <c r="G937" s="18"/>
      <c r="H937" s="18"/>
      <c r="I937" s="18"/>
      <c r="J937" s="13" t="str">
        <f aca="false">IF(OR(D937="",E937=""),"",E937-D937)</f>
        <v/>
      </c>
      <c r="K937" s="13" t="str">
        <f aca="false">IF(OR(C937="",D937=""),"",D937-C937)</f>
        <v/>
      </c>
      <c r="L937" s="13" t="str">
        <f aca="false">IF(A937="","",IF(OR(I937="Devolvida",N(H937)&gt;0),"Sim","Não"))</f>
        <v/>
      </c>
    </row>
    <row r="938" customFormat="false" ht="15" hidden="false" customHeight="false" outlineLevel="0" collapsed="false">
      <c r="A938" s="18"/>
      <c r="B938" s="18"/>
      <c r="C938" s="25"/>
      <c r="D938" s="25"/>
      <c r="E938" s="25"/>
      <c r="F938" s="18"/>
      <c r="G938" s="18"/>
      <c r="H938" s="18"/>
      <c r="I938" s="18"/>
      <c r="J938" s="13" t="str">
        <f aca="false">IF(OR(D938="",E938=""),"",E938-D938)</f>
        <v/>
      </c>
      <c r="K938" s="13" t="str">
        <f aca="false">IF(OR(C938="",D938=""),"",D938-C938)</f>
        <v/>
      </c>
      <c r="L938" s="13" t="str">
        <f aca="false">IF(A938="","",IF(OR(I938="Devolvida",N(H938)&gt;0),"Sim","Não"))</f>
        <v/>
      </c>
    </row>
    <row r="939" customFormat="false" ht="15" hidden="false" customHeight="false" outlineLevel="0" collapsed="false">
      <c r="A939" s="18"/>
      <c r="B939" s="18"/>
      <c r="C939" s="25"/>
      <c r="D939" s="25"/>
      <c r="E939" s="25"/>
      <c r="F939" s="18"/>
      <c r="G939" s="18"/>
      <c r="H939" s="18"/>
      <c r="I939" s="18"/>
      <c r="J939" s="13" t="str">
        <f aca="false">IF(OR(D939="",E939=""),"",E939-D939)</f>
        <v/>
      </c>
      <c r="K939" s="13" t="str">
        <f aca="false">IF(OR(C939="",D939=""),"",D939-C939)</f>
        <v/>
      </c>
      <c r="L939" s="13" t="str">
        <f aca="false">IF(A939="","",IF(OR(I939="Devolvida",N(H939)&gt;0),"Sim","Não"))</f>
        <v/>
      </c>
    </row>
    <row r="940" customFormat="false" ht="15" hidden="false" customHeight="false" outlineLevel="0" collapsed="false">
      <c r="A940" s="18"/>
      <c r="B940" s="18"/>
      <c r="C940" s="25"/>
      <c r="D940" s="25"/>
      <c r="E940" s="25"/>
      <c r="F940" s="18"/>
      <c r="G940" s="18"/>
      <c r="H940" s="18"/>
      <c r="I940" s="18"/>
      <c r="J940" s="13" t="str">
        <f aca="false">IF(OR(D940="",E940=""),"",E940-D940)</f>
        <v/>
      </c>
      <c r="K940" s="13" t="str">
        <f aca="false">IF(OR(C940="",D940=""),"",D940-C940)</f>
        <v/>
      </c>
      <c r="L940" s="13" t="str">
        <f aca="false">IF(A940="","",IF(OR(I940="Devolvida",N(H940)&gt;0),"Sim","Não"))</f>
        <v/>
      </c>
    </row>
    <row r="941" customFormat="false" ht="15" hidden="false" customHeight="false" outlineLevel="0" collapsed="false">
      <c r="A941" s="18"/>
      <c r="B941" s="18"/>
      <c r="C941" s="25"/>
      <c r="D941" s="25"/>
      <c r="E941" s="25"/>
      <c r="F941" s="18"/>
      <c r="G941" s="18"/>
      <c r="H941" s="18"/>
      <c r="I941" s="18"/>
      <c r="J941" s="13" t="str">
        <f aca="false">IF(OR(D941="",E941=""),"",E941-D941)</f>
        <v/>
      </c>
      <c r="K941" s="13" t="str">
        <f aca="false">IF(OR(C941="",D941=""),"",D941-C941)</f>
        <v/>
      </c>
      <c r="L941" s="13" t="str">
        <f aca="false">IF(A941="","",IF(OR(I941="Devolvida",N(H941)&gt;0),"Sim","Não"))</f>
        <v/>
      </c>
    </row>
    <row r="942" customFormat="false" ht="15" hidden="false" customHeight="false" outlineLevel="0" collapsed="false">
      <c r="A942" s="18"/>
      <c r="B942" s="18"/>
      <c r="C942" s="25"/>
      <c r="D942" s="25"/>
      <c r="E942" s="25"/>
      <c r="F942" s="18"/>
      <c r="G942" s="18"/>
      <c r="H942" s="18"/>
      <c r="I942" s="18"/>
      <c r="J942" s="13" t="str">
        <f aca="false">IF(OR(D942="",E942=""),"",E942-D942)</f>
        <v/>
      </c>
      <c r="K942" s="13" t="str">
        <f aca="false">IF(OR(C942="",D942=""),"",D942-C942)</f>
        <v/>
      </c>
      <c r="L942" s="13" t="str">
        <f aca="false">IF(A942="","",IF(OR(I942="Devolvida",N(H942)&gt;0),"Sim","Não"))</f>
        <v/>
      </c>
    </row>
    <row r="943" customFormat="false" ht="15" hidden="false" customHeight="false" outlineLevel="0" collapsed="false">
      <c r="A943" s="18"/>
      <c r="B943" s="18"/>
      <c r="C943" s="25"/>
      <c r="D943" s="25"/>
      <c r="E943" s="25"/>
      <c r="F943" s="18"/>
      <c r="G943" s="18"/>
      <c r="H943" s="18"/>
      <c r="I943" s="18"/>
      <c r="J943" s="13" t="str">
        <f aca="false">IF(OR(D943="",E943=""),"",E943-D943)</f>
        <v/>
      </c>
      <c r="K943" s="13" t="str">
        <f aca="false">IF(OR(C943="",D943=""),"",D943-C943)</f>
        <v/>
      </c>
      <c r="L943" s="13" t="str">
        <f aca="false">IF(A943="","",IF(OR(I943="Devolvida",N(H943)&gt;0),"Sim","Não"))</f>
        <v/>
      </c>
    </row>
    <row r="944" customFormat="false" ht="15" hidden="false" customHeight="false" outlineLevel="0" collapsed="false">
      <c r="A944" s="18"/>
      <c r="B944" s="18"/>
      <c r="C944" s="25"/>
      <c r="D944" s="25"/>
      <c r="E944" s="25"/>
      <c r="F944" s="18"/>
      <c r="G944" s="18"/>
      <c r="H944" s="18"/>
      <c r="I944" s="18"/>
      <c r="J944" s="13" t="str">
        <f aca="false">IF(OR(D944="",E944=""),"",E944-D944)</f>
        <v/>
      </c>
      <c r="K944" s="13" t="str">
        <f aca="false">IF(OR(C944="",D944=""),"",D944-C944)</f>
        <v/>
      </c>
      <c r="L944" s="13" t="str">
        <f aca="false">IF(A944="","",IF(OR(I944="Devolvida",N(H944)&gt;0),"Sim","Não"))</f>
        <v/>
      </c>
    </row>
    <row r="945" customFormat="false" ht="15" hidden="false" customHeight="false" outlineLevel="0" collapsed="false">
      <c r="A945" s="18"/>
      <c r="B945" s="18"/>
      <c r="C945" s="25"/>
      <c r="D945" s="25"/>
      <c r="E945" s="25"/>
      <c r="F945" s="18"/>
      <c r="G945" s="18"/>
      <c r="H945" s="18"/>
      <c r="I945" s="18"/>
      <c r="J945" s="13" t="str">
        <f aca="false">IF(OR(D945="",E945=""),"",E945-D945)</f>
        <v/>
      </c>
      <c r="K945" s="13" t="str">
        <f aca="false">IF(OR(C945="",D945=""),"",D945-C945)</f>
        <v/>
      </c>
      <c r="L945" s="13" t="str">
        <f aca="false">IF(A945="","",IF(OR(I945="Devolvida",N(H945)&gt;0),"Sim","Não"))</f>
        <v/>
      </c>
    </row>
    <row r="946" customFormat="false" ht="15" hidden="false" customHeight="false" outlineLevel="0" collapsed="false">
      <c r="A946" s="18"/>
      <c r="B946" s="18"/>
      <c r="C946" s="25"/>
      <c r="D946" s="25"/>
      <c r="E946" s="25"/>
      <c r="F946" s="18"/>
      <c r="G946" s="18"/>
      <c r="H946" s="18"/>
      <c r="I946" s="18"/>
      <c r="J946" s="13" t="str">
        <f aca="false">IF(OR(D946="",E946=""),"",E946-D946)</f>
        <v/>
      </c>
      <c r="K946" s="13" t="str">
        <f aca="false">IF(OR(C946="",D946=""),"",D946-C946)</f>
        <v/>
      </c>
      <c r="L946" s="13" t="str">
        <f aca="false">IF(A946="","",IF(OR(I946="Devolvida",N(H946)&gt;0),"Sim","Não"))</f>
        <v/>
      </c>
    </row>
    <row r="947" customFormat="false" ht="15" hidden="false" customHeight="false" outlineLevel="0" collapsed="false">
      <c r="A947" s="18"/>
      <c r="B947" s="18"/>
      <c r="C947" s="25"/>
      <c r="D947" s="25"/>
      <c r="E947" s="25"/>
      <c r="F947" s="18"/>
      <c r="G947" s="18"/>
      <c r="H947" s="18"/>
      <c r="I947" s="18"/>
      <c r="J947" s="13" t="str">
        <f aca="false">IF(OR(D947="",E947=""),"",E947-D947)</f>
        <v/>
      </c>
      <c r="K947" s="13" t="str">
        <f aca="false">IF(OR(C947="",D947=""),"",D947-C947)</f>
        <v/>
      </c>
      <c r="L947" s="13" t="str">
        <f aca="false">IF(A947="","",IF(OR(I947="Devolvida",N(H947)&gt;0),"Sim","Não"))</f>
        <v/>
      </c>
    </row>
    <row r="948" customFormat="false" ht="15" hidden="false" customHeight="false" outlineLevel="0" collapsed="false">
      <c r="A948" s="18"/>
      <c r="B948" s="18"/>
      <c r="C948" s="25"/>
      <c r="D948" s="25"/>
      <c r="E948" s="25"/>
      <c r="F948" s="18"/>
      <c r="G948" s="18"/>
      <c r="H948" s="18"/>
      <c r="I948" s="18"/>
      <c r="J948" s="13" t="str">
        <f aca="false">IF(OR(D948="",E948=""),"",E948-D948)</f>
        <v/>
      </c>
      <c r="K948" s="13" t="str">
        <f aca="false">IF(OR(C948="",D948=""),"",D948-C948)</f>
        <v/>
      </c>
      <c r="L948" s="13" t="str">
        <f aca="false">IF(A948="","",IF(OR(I948="Devolvida",N(H948)&gt;0),"Sim","Não"))</f>
        <v/>
      </c>
    </row>
    <row r="949" customFormat="false" ht="15" hidden="false" customHeight="false" outlineLevel="0" collapsed="false">
      <c r="A949" s="18"/>
      <c r="B949" s="18"/>
      <c r="C949" s="25"/>
      <c r="D949" s="25"/>
      <c r="E949" s="25"/>
      <c r="F949" s="18"/>
      <c r="G949" s="18"/>
      <c r="H949" s="18"/>
      <c r="I949" s="18"/>
      <c r="J949" s="13" t="str">
        <f aca="false">IF(OR(D949="",E949=""),"",E949-D949)</f>
        <v/>
      </c>
      <c r="K949" s="13" t="str">
        <f aca="false">IF(OR(C949="",D949=""),"",D949-C949)</f>
        <v/>
      </c>
      <c r="L949" s="13" t="str">
        <f aca="false">IF(A949="","",IF(OR(I949="Devolvida",N(H949)&gt;0),"Sim","Não"))</f>
        <v/>
      </c>
    </row>
    <row r="950" customFormat="false" ht="15" hidden="false" customHeight="false" outlineLevel="0" collapsed="false">
      <c r="A950" s="18"/>
      <c r="B950" s="18"/>
      <c r="C950" s="25"/>
      <c r="D950" s="25"/>
      <c r="E950" s="25"/>
      <c r="F950" s="18"/>
      <c r="G950" s="18"/>
      <c r="H950" s="18"/>
      <c r="I950" s="18"/>
      <c r="J950" s="13" t="str">
        <f aca="false">IF(OR(D950="",E950=""),"",E950-D950)</f>
        <v/>
      </c>
      <c r="K950" s="13" t="str">
        <f aca="false">IF(OR(C950="",D950=""),"",D950-C950)</f>
        <v/>
      </c>
      <c r="L950" s="13" t="str">
        <f aca="false">IF(A950="","",IF(OR(I950="Devolvida",N(H950)&gt;0),"Sim","Não"))</f>
        <v/>
      </c>
    </row>
    <row r="951" customFormat="false" ht="15" hidden="false" customHeight="false" outlineLevel="0" collapsed="false">
      <c r="A951" s="18"/>
      <c r="B951" s="18"/>
      <c r="C951" s="25"/>
      <c r="D951" s="25"/>
      <c r="E951" s="25"/>
      <c r="F951" s="18"/>
      <c r="G951" s="18"/>
      <c r="H951" s="18"/>
      <c r="I951" s="18"/>
      <c r="J951" s="13" t="str">
        <f aca="false">IF(OR(D951="",E951=""),"",E951-D951)</f>
        <v/>
      </c>
      <c r="K951" s="13" t="str">
        <f aca="false">IF(OR(C951="",D951=""),"",D951-C951)</f>
        <v/>
      </c>
      <c r="L951" s="13" t="str">
        <f aca="false">IF(A951="","",IF(OR(I951="Devolvida",N(H951)&gt;0),"Sim","Não"))</f>
        <v/>
      </c>
    </row>
    <row r="952" customFormat="false" ht="15" hidden="false" customHeight="false" outlineLevel="0" collapsed="false">
      <c r="A952" s="18"/>
      <c r="B952" s="18"/>
      <c r="C952" s="25"/>
      <c r="D952" s="25"/>
      <c r="E952" s="25"/>
      <c r="F952" s="18"/>
      <c r="G952" s="18"/>
      <c r="H952" s="18"/>
      <c r="I952" s="18"/>
      <c r="J952" s="13" t="str">
        <f aca="false">IF(OR(D952="",E952=""),"",E952-D952)</f>
        <v/>
      </c>
      <c r="K952" s="13" t="str">
        <f aca="false">IF(OR(C952="",D952=""),"",D952-C952)</f>
        <v/>
      </c>
      <c r="L952" s="13" t="str">
        <f aca="false">IF(A952="","",IF(OR(I952="Devolvida",N(H952)&gt;0),"Sim","Não"))</f>
        <v/>
      </c>
    </row>
    <row r="953" customFormat="false" ht="15" hidden="false" customHeight="false" outlineLevel="0" collapsed="false">
      <c r="A953" s="18"/>
      <c r="B953" s="18"/>
      <c r="C953" s="25"/>
      <c r="D953" s="25"/>
      <c r="E953" s="25"/>
      <c r="F953" s="18"/>
      <c r="G953" s="18"/>
      <c r="H953" s="18"/>
      <c r="I953" s="18"/>
      <c r="J953" s="13" t="str">
        <f aca="false">IF(OR(D953="",E953=""),"",E953-D953)</f>
        <v/>
      </c>
      <c r="K953" s="13" t="str">
        <f aca="false">IF(OR(C953="",D953=""),"",D953-C953)</f>
        <v/>
      </c>
      <c r="L953" s="13" t="str">
        <f aca="false">IF(A953="","",IF(OR(I953="Devolvida",N(H953)&gt;0),"Sim","Não"))</f>
        <v/>
      </c>
    </row>
    <row r="954" customFormat="false" ht="15" hidden="false" customHeight="false" outlineLevel="0" collapsed="false">
      <c r="A954" s="18"/>
      <c r="B954" s="18"/>
      <c r="C954" s="25"/>
      <c r="D954" s="25"/>
      <c r="E954" s="25"/>
      <c r="F954" s="18"/>
      <c r="G954" s="18"/>
      <c r="H954" s="18"/>
      <c r="I954" s="18"/>
      <c r="J954" s="13" t="str">
        <f aca="false">IF(OR(D954="",E954=""),"",E954-D954)</f>
        <v/>
      </c>
      <c r="K954" s="13" t="str">
        <f aca="false">IF(OR(C954="",D954=""),"",D954-C954)</f>
        <v/>
      </c>
      <c r="L954" s="13" t="str">
        <f aca="false">IF(A954="","",IF(OR(I954="Devolvida",N(H954)&gt;0),"Sim","Não"))</f>
        <v/>
      </c>
    </row>
    <row r="955" customFormat="false" ht="15" hidden="false" customHeight="false" outlineLevel="0" collapsed="false">
      <c r="A955" s="18"/>
      <c r="B955" s="18"/>
      <c r="C955" s="25"/>
      <c r="D955" s="25"/>
      <c r="E955" s="25"/>
      <c r="F955" s="18"/>
      <c r="G955" s="18"/>
      <c r="H955" s="18"/>
      <c r="I955" s="18"/>
      <c r="J955" s="13" t="str">
        <f aca="false">IF(OR(D955="",E955=""),"",E955-D955)</f>
        <v/>
      </c>
      <c r="K955" s="13" t="str">
        <f aca="false">IF(OR(C955="",D955=""),"",D955-C955)</f>
        <v/>
      </c>
      <c r="L955" s="13" t="str">
        <f aca="false">IF(A955="","",IF(OR(I955="Devolvida",N(H955)&gt;0),"Sim","Não"))</f>
        <v/>
      </c>
    </row>
    <row r="956" customFormat="false" ht="15" hidden="false" customHeight="false" outlineLevel="0" collapsed="false">
      <c r="A956" s="18"/>
      <c r="B956" s="18"/>
      <c r="C956" s="25"/>
      <c r="D956" s="25"/>
      <c r="E956" s="25"/>
      <c r="F956" s="18"/>
      <c r="G956" s="18"/>
      <c r="H956" s="18"/>
      <c r="I956" s="18"/>
      <c r="J956" s="13" t="str">
        <f aca="false">IF(OR(D956="",E956=""),"",E956-D956)</f>
        <v/>
      </c>
      <c r="K956" s="13" t="str">
        <f aca="false">IF(OR(C956="",D956=""),"",D956-C956)</f>
        <v/>
      </c>
      <c r="L956" s="13" t="str">
        <f aca="false">IF(A956="","",IF(OR(I956="Devolvida",N(H956)&gt;0),"Sim","Não"))</f>
        <v/>
      </c>
    </row>
    <row r="957" customFormat="false" ht="15" hidden="false" customHeight="false" outlineLevel="0" collapsed="false">
      <c r="A957" s="18"/>
      <c r="B957" s="18"/>
      <c r="C957" s="25"/>
      <c r="D957" s="25"/>
      <c r="E957" s="25"/>
      <c r="F957" s="18"/>
      <c r="G957" s="18"/>
      <c r="H957" s="18"/>
      <c r="I957" s="18"/>
      <c r="J957" s="13" t="str">
        <f aca="false">IF(OR(D957="",E957=""),"",E957-D957)</f>
        <v/>
      </c>
      <c r="K957" s="13" t="str">
        <f aca="false">IF(OR(C957="",D957=""),"",D957-C957)</f>
        <v/>
      </c>
      <c r="L957" s="13" t="str">
        <f aca="false">IF(A957="","",IF(OR(I957="Devolvida",N(H957)&gt;0),"Sim","Não"))</f>
        <v/>
      </c>
    </row>
    <row r="958" customFormat="false" ht="15" hidden="false" customHeight="false" outlineLevel="0" collapsed="false">
      <c r="A958" s="18"/>
      <c r="B958" s="18"/>
      <c r="C958" s="25"/>
      <c r="D958" s="25"/>
      <c r="E958" s="25"/>
      <c r="F958" s="18"/>
      <c r="G958" s="18"/>
      <c r="H958" s="18"/>
      <c r="I958" s="18"/>
      <c r="J958" s="13" t="str">
        <f aca="false">IF(OR(D958="",E958=""),"",E958-D958)</f>
        <v/>
      </c>
      <c r="K958" s="13" t="str">
        <f aca="false">IF(OR(C958="",D958=""),"",D958-C958)</f>
        <v/>
      </c>
      <c r="L958" s="13" t="str">
        <f aca="false">IF(A958="","",IF(OR(I958="Devolvida",N(H958)&gt;0),"Sim","Não"))</f>
        <v/>
      </c>
    </row>
    <row r="959" customFormat="false" ht="15" hidden="false" customHeight="false" outlineLevel="0" collapsed="false">
      <c r="A959" s="18"/>
      <c r="B959" s="18"/>
      <c r="C959" s="25"/>
      <c r="D959" s="25"/>
      <c r="E959" s="25"/>
      <c r="F959" s="18"/>
      <c r="G959" s="18"/>
      <c r="H959" s="18"/>
      <c r="I959" s="18"/>
      <c r="J959" s="13" t="str">
        <f aca="false">IF(OR(D959="",E959=""),"",E959-D959)</f>
        <v/>
      </c>
      <c r="K959" s="13" t="str">
        <f aca="false">IF(OR(C959="",D959=""),"",D959-C959)</f>
        <v/>
      </c>
      <c r="L959" s="13" t="str">
        <f aca="false">IF(A959="","",IF(OR(I959="Devolvida",N(H959)&gt;0),"Sim","Não"))</f>
        <v/>
      </c>
    </row>
    <row r="960" customFormat="false" ht="15" hidden="false" customHeight="false" outlineLevel="0" collapsed="false">
      <c r="A960" s="18"/>
      <c r="B960" s="18"/>
      <c r="C960" s="25"/>
      <c r="D960" s="25"/>
      <c r="E960" s="25"/>
      <c r="F960" s="18"/>
      <c r="G960" s="18"/>
      <c r="H960" s="18"/>
      <c r="I960" s="18"/>
      <c r="J960" s="13" t="str">
        <f aca="false">IF(OR(D960="",E960=""),"",E960-D960)</f>
        <v/>
      </c>
      <c r="K960" s="13" t="str">
        <f aca="false">IF(OR(C960="",D960=""),"",D960-C960)</f>
        <v/>
      </c>
      <c r="L960" s="13" t="str">
        <f aca="false">IF(A960="","",IF(OR(I960="Devolvida",N(H960)&gt;0),"Sim","Não"))</f>
        <v/>
      </c>
    </row>
    <row r="961" customFormat="false" ht="15" hidden="false" customHeight="false" outlineLevel="0" collapsed="false">
      <c r="A961" s="18"/>
      <c r="B961" s="18"/>
      <c r="C961" s="25"/>
      <c r="D961" s="25"/>
      <c r="E961" s="25"/>
      <c r="F961" s="18"/>
      <c r="G961" s="18"/>
      <c r="H961" s="18"/>
      <c r="I961" s="18"/>
      <c r="J961" s="13" t="str">
        <f aca="false">IF(OR(D961="",E961=""),"",E961-D961)</f>
        <v/>
      </c>
      <c r="K961" s="13" t="str">
        <f aca="false">IF(OR(C961="",D961=""),"",D961-C961)</f>
        <v/>
      </c>
      <c r="L961" s="13" t="str">
        <f aca="false">IF(A961="","",IF(OR(I961="Devolvida",N(H961)&gt;0),"Sim","Não"))</f>
        <v/>
      </c>
    </row>
    <row r="962" customFormat="false" ht="15" hidden="false" customHeight="false" outlineLevel="0" collapsed="false">
      <c r="A962" s="18"/>
      <c r="B962" s="18"/>
      <c r="C962" s="25"/>
      <c r="D962" s="25"/>
      <c r="E962" s="25"/>
      <c r="F962" s="18"/>
      <c r="G962" s="18"/>
      <c r="H962" s="18"/>
      <c r="I962" s="18"/>
      <c r="J962" s="13" t="str">
        <f aca="false">IF(OR(D962="",E962=""),"",E962-D962)</f>
        <v/>
      </c>
      <c r="K962" s="13" t="str">
        <f aca="false">IF(OR(C962="",D962=""),"",D962-C962)</f>
        <v/>
      </c>
      <c r="L962" s="13" t="str">
        <f aca="false">IF(A962="","",IF(OR(I962="Devolvida",N(H962)&gt;0),"Sim","Não"))</f>
        <v/>
      </c>
    </row>
    <row r="963" customFormat="false" ht="15" hidden="false" customHeight="false" outlineLevel="0" collapsed="false">
      <c r="A963" s="18"/>
      <c r="B963" s="18"/>
      <c r="C963" s="25"/>
      <c r="D963" s="25"/>
      <c r="E963" s="25"/>
      <c r="F963" s="18"/>
      <c r="G963" s="18"/>
      <c r="H963" s="18"/>
      <c r="I963" s="18"/>
      <c r="J963" s="13" t="str">
        <f aca="false">IF(OR(D963="",E963=""),"",E963-D963)</f>
        <v/>
      </c>
      <c r="K963" s="13" t="str">
        <f aca="false">IF(OR(C963="",D963=""),"",D963-C963)</f>
        <v/>
      </c>
      <c r="L963" s="13" t="str">
        <f aca="false">IF(A963="","",IF(OR(I963="Devolvida",N(H963)&gt;0),"Sim","Não"))</f>
        <v/>
      </c>
    </row>
    <row r="964" customFormat="false" ht="15" hidden="false" customHeight="false" outlineLevel="0" collapsed="false">
      <c r="A964" s="18"/>
      <c r="B964" s="18"/>
      <c r="C964" s="25"/>
      <c r="D964" s="25"/>
      <c r="E964" s="25"/>
      <c r="F964" s="18"/>
      <c r="G964" s="18"/>
      <c r="H964" s="18"/>
      <c r="I964" s="18"/>
      <c r="J964" s="13" t="str">
        <f aca="false">IF(OR(D964="",E964=""),"",E964-D964)</f>
        <v/>
      </c>
      <c r="K964" s="13" t="str">
        <f aca="false">IF(OR(C964="",D964=""),"",D964-C964)</f>
        <v/>
      </c>
      <c r="L964" s="13" t="str">
        <f aca="false">IF(A964="","",IF(OR(I964="Devolvida",N(H964)&gt;0),"Sim","Não"))</f>
        <v/>
      </c>
    </row>
    <row r="965" customFormat="false" ht="15" hidden="false" customHeight="false" outlineLevel="0" collapsed="false">
      <c r="A965" s="18"/>
      <c r="B965" s="18"/>
      <c r="C965" s="25"/>
      <c r="D965" s="25"/>
      <c r="E965" s="25"/>
      <c r="F965" s="18"/>
      <c r="G965" s="18"/>
      <c r="H965" s="18"/>
      <c r="I965" s="18"/>
      <c r="J965" s="13" t="str">
        <f aca="false">IF(OR(D965="",E965=""),"",E965-D965)</f>
        <v/>
      </c>
      <c r="K965" s="13" t="str">
        <f aca="false">IF(OR(C965="",D965=""),"",D965-C965)</f>
        <v/>
      </c>
      <c r="L965" s="13" t="str">
        <f aca="false">IF(A965="","",IF(OR(I965="Devolvida",N(H965)&gt;0),"Sim","Não"))</f>
        <v/>
      </c>
    </row>
    <row r="966" customFormat="false" ht="15" hidden="false" customHeight="false" outlineLevel="0" collapsed="false">
      <c r="A966" s="18"/>
      <c r="B966" s="18"/>
      <c r="C966" s="25"/>
      <c r="D966" s="25"/>
      <c r="E966" s="25"/>
      <c r="F966" s="18"/>
      <c r="G966" s="18"/>
      <c r="H966" s="18"/>
      <c r="I966" s="18"/>
      <c r="J966" s="13" t="str">
        <f aca="false">IF(OR(D966="",E966=""),"",E966-D966)</f>
        <v/>
      </c>
      <c r="K966" s="13" t="str">
        <f aca="false">IF(OR(C966="",D966=""),"",D966-C966)</f>
        <v/>
      </c>
      <c r="L966" s="13" t="str">
        <f aca="false">IF(A966="","",IF(OR(I966="Devolvida",N(H966)&gt;0),"Sim","Não"))</f>
        <v/>
      </c>
    </row>
    <row r="967" customFormat="false" ht="15" hidden="false" customHeight="false" outlineLevel="0" collapsed="false">
      <c r="A967" s="18"/>
      <c r="B967" s="18"/>
      <c r="C967" s="25"/>
      <c r="D967" s="25"/>
      <c r="E967" s="25"/>
      <c r="F967" s="18"/>
      <c r="G967" s="18"/>
      <c r="H967" s="18"/>
      <c r="I967" s="18"/>
      <c r="J967" s="13" t="str">
        <f aca="false">IF(OR(D967="",E967=""),"",E967-D967)</f>
        <v/>
      </c>
      <c r="K967" s="13" t="str">
        <f aca="false">IF(OR(C967="",D967=""),"",D967-C967)</f>
        <v/>
      </c>
      <c r="L967" s="13" t="str">
        <f aca="false">IF(A967="","",IF(OR(I967="Devolvida",N(H967)&gt;0),"Sim","Não"))</f>
        <v/>
      </c>
    </row>
    <row r="968" customFormat="false" ht="15" hidden="false" customHeight="false" outlineLevel="0" collapsed="false">
      <c r="A968" s="18"/>
      <c r="B968" s="18"/>
      <c r="C968" s="25"/>
      <c r="D968" s="25"/>
      <c r="E968" s="25"/>
      <c r="F968" s="18"/>
      <c r="G968" s="18"/>
      <c r="H968" s="18"/>
      <c r="I968" s="18"/>
      <c r="J968" s="13" t="str">
        <f aca="false">IF(OR(D968="",E968=""),"",E968-D968)</f>
        <v/>
      </c>
      <c r="K968" s="13" t="str">
        <f aca="false">IF(OR(C968="",D968=""),"",D968-C968)</f>
        <v/>
      </c>
      <c r="L968" s="13" t="str">
        <f aca="false">IF(A968="","",IF(OR(I968="Devolvida",N(H968)&gt;0),"Sim","Não"))</f>
        <v/>
      </c>
    </row>
    <row r="969" customFormat="false" ht="15" hidden="false" customHeight="false" outlineLevel="0" collapsed="false">
      <c r="A969" s="18"/>
      <c r="B969" s="18"/>
      <c r="C969" s="25"/>
      <c r="D969" s="25"/>
      <c r="E969" s="25"/>
      <c r="F969" s="18"/>
      <c r="G969" s="18"/>
      <c r="H969" s="18"/>
      <c r="I969" s="18"/>
      <c r="J969" s="13" t="str">
        <f aca="false">IF(OR(D969="",E969=""),"",E969-D969)</f>
        <v/>
      </c>
      <c r="K969" s="13" t="str">
        <f aca="false">IF(OR(C969="",D969=""),"",D969-C969)</f>
        <v/>
      </c>
      <c r="L969" s="13" t="str">
        <f aca="false">IF(A969="","",IF(OR(I969="Devolvida",N(H969)&gt;0),"Sim","Não"))</f>
        <v/>
      </c>
    </row>
    <row r="970" customFormat="false" ht="15" hidden="false" customHeight="false" outlineLevel="0" collapsed="false">
      <c r="A970" s="18"/>
      <c r="B970" s="18"/>
      <c r="C970" s="25"/>
      <c r="D970" s="25"/>
      <c r="E970" s="25"/>
      <c r="F970" s="18"/>
      <c r="G970" s="18"/>
      <c r="H970" s="18"/>
      <c r="I970" s="18"/>
      <c r="J970" s="13" t="str">
        <f aca="false">IF(OR(D970="",E970=""),"",E970-D970)</f>
        <v/>
      </c>
      <c r="K970" s="13" t="str">
        <f aca="false">IF(OR(C970="",D970=""),"",D970-C970)</f>
        <v/>
      </c>
      <c r="L970" s="13" t="str">
        <f aca="false">IF(A970="","",IF(OR(I970="Devolvida",N(H970)&gt;0),"Sim","Não"))</f>
        <v/>
      </c>
    </row>
    <row r="971" customFormat="false" ht="15" hidden="false" customHeight="false" outlineLevel="0" collapsed="false">
      <c r="A971" s="18"/>
      <c r="B971" s="18"/>
      <c r="C971" s="25"/>
      <c r="D971" s="25"/>
      <c r="E971" s="25"/>
      <c r="F971" s="18"/>
      <c r="G971" s="18"/>
      <c r="H971" s="18"/>
      <c r="I971" s="18"/>
      <c r="J971" s="13" t="str">
        <f aca="false">IF(OR(D971="",E971=""),"",E971-D971)</f>
        <v/>
      </c>
      <c r="K971" s="13" t="str">
        <f aca="false">IF(OR(C971="",D971=""),"",D971-C971)</f>
        <v/>
      </c>
      <c r="L971" s="13" t="str">
        <f aca="false">IF(A971="","",IF(OR(I971="Devolvida",N(H971)&gt;0),"Sim","Não"))</f>
        <v/>
      </c>
    </row>
    <row r="972" customFormat="false" ht="15" hidden="false" customHeight="false" outlineLevel="0" collapsed="false">
      <c r="A972" s="18"/>
      <c r="B972" s="18"/>
      <c r="C972" s="25"/>
      <c r="D972" s="25"/>
      <c r="E972" s="25"/>
      <c r="F972" s="18"/>
      <c r="G972" s="18"/>
      <c r="H972" s="18"/>
      <c r="I972" s="18"/>
      <c r="J972" s="13" t="str">
        <f aca="false">IF(OR(D972="",E972=""),"",E972-D972)</f>
        <v/>
      </c>
      <c r="K972" s="13" t="str">
        <f aca="false">IF(OR(C972="",D972=""),"",D972-C972)</f>
        <v/>
      </c>
      <c r="L972" s="13" t="str">
        <f aca="false">IF(A972="","",IF(OR(I972="Devolvida",N(H972)&gt;0),"Sim","Não"))</f>
        <v/>
      </c>
    </row>
    <row r="973" customFormat="false" ht="15" hidden="false" customHeight="false" outlineLevel="0" collapsed="false">
      <c r="A973" s="18"/>
      <c r="B973" s="18"/>
      <c r="C973" s="25"/>
      <c r="D973" s="25"/>
      <c r="E973" s="25"/>
      <c r="F973" s="18"/>
      <c r="G973" s="18"/>
      <c r="H973" s="18"/>
      <c r="I973" s="18"/>
      <c r="J973" s="13" t="str">
        <f aca="false">IF(OR(D973="",E973=""),"",E973-D973)</f>
        <v/>
      </c>
      <c r="K973" s="13" t="str">
        <f aca="false">IF(OR(C973="",D973=""),"",D973-C973)</f>
        <v/>
      </c>
      <c r="L973" s="13" t="str">
        <f aca="false">IF(A973="","",IF(OR(I973="Devolvida",N(H973)&gt;0),"Sim","Não"))</f>
        <v/>
      </c>
    </row>
    <row r="974" customFormat="false" ht="15" hidden="false" customHeight="false" outlineLevel="0" collapsed="false">
      <c r="A974" s="18"/>
      <c r="B974" s="18"/>
      <c r="C974" s="25"/>
      <c r="D974" s="25"/>
      <c r="E974" s="25"/>
      <c r="F974" s="18"/>
      <c r="G974" s="18"/>
      <c r="H974" s="18"/>
      <c r="I974" s="18"/>
      <c r="J974" s="13" t="str">
        <f aca="false">IF(OR(D974="",E974=""),"",E974-D974)</f>
        <v/>
      </c>
      <c r="K974" s="13" t="str">
        <f aca="false">IF(OR(C974="",D974=""),"",D974-C974)</f>
        <v/>
      </c>
      <c r="L974" s="13" t="str">
        <f aca="false">IF(A974="","",IF(OR(I974="Devolvida",N(H974)&gt;0),"Sim","Não"))</f>
        <v/>
      </c>
    </row>
    <row r="975" customFormat="false" ht="15" hidden="false" customHeight="false" outlineLevel="0" collapsed="false">
      <c r="A975" s="18"/>
      <c r="B975" s="18"/>
      <c r="C975" s="25"/>
      <c r="D975" s="25"/>
      <c r="E975" s="25"/>
      <c r="F975" s="18"/>
      <c r="G975" s="18"/>
      <c r="H975" s="18"/>
      <c r="I975" s="18"/>
      <c r="J975" s="13" t="str">
        <f aca="false">IF(OR(D975="",E975=""),"",E975-D975)</f>
        <v/>
      </c>
      <c r="K975" s="13" t="str">
        <f aca="false">IF(OR(C975="",D975=""),"",D975-C975)</f>
        <v/>
      </c>
      <c r="L975" s="13" t="str">
        <f aca="false">IF(A975="","",IF(OR(I975="Devolvida",N(H975)&gt;0),"Sim","Não"))</f>
        <v/>
      </c>
    </row>
    <row r="976" customFormat="false" ht="15" hidden="false" customHeight="false" outlineLevel="0" collapsed="false">
      <c r="A976" s="18"/>
      <c r="B976" s="18"/>
      <c r="C976" s="25"/>
      <c r="D976" s="25"/>
      <c r="E976" s="25"/>
      <c r="F976" s="18"/>
      <c r="G976" s="18"/>
      <c r="H976" s="18"/>
      <c r="I976" s="18"/>
      <c r="J976" s="13" t="str">
        <f aca="false">IF(OR(D976="",E976=""),"",E976-D976)</f>
        <v/>
      </c>
      <c r="K976" s="13" t="str">
        <f aca="false">IF(OR(C976="",D976=""),"",D976-C976)</f>
        <v/>
      </c>
      <c r="L976" s="13" t="str">
        <f aca="false">IF(A976="","",IF(OR(I976="Devolvida",N(H976)&gt;0),"Sim","Não"))</f>
        <v/>
      </c>
    </row>
    <row r="977" customFormat="false" ht="15" hidden="false" customHeight="false" outlineLevel="0" collapsed="false">
      <c r="A977" s="18"/>
      <c r="B977" s="18"/>
      <c r="C977" s="25"/>
      <c r="D977" s="25"/>
      <c r="E977" s="25"/>
      <c r="F977" s="18"/>
      <c r="G977" s="18"/>
      <c r="H977" s="18"/>
      <c r="I977" s="18"/>
      <c r="J977" s="13" t="str">
        <f aca="false">IF(OR(D977="",E977=""),"",E977-D977)</f>
        <v/>
      </c>
      <c r="K977" s="13" t="str">
        <f aca="false">IF(OR(C977="",D977=""),"",D977-C977)</f>
        <v/>
      </c>
      <c r="L977" s="13" t="str">
        <f aca="false">IF(A977="","",IF(OR(I977="Devolvida",N(H977)&gt;0),"Sim","Não"))</f>
        <v/>
      </c>
    </row>
    <row r="978" customFormat="false" ht="15" hidden="false" customHeight="false" outlineLevel="0" collapsed="false">
      <c r="A978" s="18"/>
      <c r="B978" s="18"/>
      <c r="C978" s="25"/>
      <c r="D978" s="25"/>
      <c r="E978" s="25"/>
      <c r="F978" s="18"/>
      <c r="G978" s="18"/>
      <c r="H978" s="18"/>
      <c r="I978" s="18"/>
      <c r="J978" s="13" t="str">
        <f aca="false">IF(OR(D978="",E978=""),"",E978-D978)</f>
        <v/>
      </c>
      <c r="K978" s="13" t="str">
        <f aca="false">IF(OR(C978="",D978=""),"",D978-C978)</f>
        <v/>
      </c>
      <c r="L978" s="13" t="str">
        <f aca="false">IF(A978="","",IF(OR(I978="Devolvida",N(H978)&gt;0),"Sim","Não"))</f>
        <v/>
      </c>
    </row>
    <row r="979" customFormat="false" ht="15" hidden="false" customHeight="false" outlineLevel="0" collapsed="false">
      <c r="A979" s="18"/>
      <c r="B979" s="18"/>
      <c r="C979" s="25"/>
      <c r="D979" s="25"/>
      <c r="E979" s="25"/>
      <c r="F979" s="18"/>
      <c r="G979" s="18"/>
      <c r="H979" s="18"/>
      <c r="I979" s="18"/>
      <c r="J979" s="13" t="str">
        <f aca="false">IF(OR(D979="",E979=""),"",E979-D979)</f>
        <v/>
      </c>
      <c r="K979" s="13" t="str">
        <f aca="false">IF(OR(C979="",D979=""),"",D979-C979)</f>
        <v/>
      </c>
      <c r="L979" s="13" t="str">
        <f aca="false">IF(A979="","",IF(OR(I979="Devolvida",N(H979)&gt;0),"Sim","Não"))</f>
        <v/>
      </c>
    </row>
    <row r="980" customFormat="false" ht="15" hidden="false" customHeight="false" outlineLevel="0" collapsed="false">
      <c r="A980" s="18"/>
      <c r="B980" s="18"/>
      <c r="C980" s="25"/>
      <c r="D980" s="25"/>
      <c r="E980" s="25"/>
      <c r="F980" s="18"/>
      <c r="G980" s="18"/>
      <c r="H980" s="18"/>
      <c r="I980" s="18"/>
      <c r="J980" s="13" t="str">
        <f aca="false">IF(OR(D980="",E980=""),"",E980-D980)</f>
        <v/>
      </c>
      <c r="K980" s="13" t="str">
        <f aca="false">IF(OR(C980="",D980=""),"",D980-C980)</f>
        <v/>
      </c>
      <c r="L980" s="13" t="str">
        <f aca="false">IF(A980="","",IF(OR(I980="Devolvida",N(H980)&gt;0),"Sim","Não"))</f>
        <v/>
      </c>
    </row>
    <row r="981" customFormat="false" ht="15" hidden="false" customHeight="false" outlineLevel="0" collapsed="false">
      <c r="A981" s="18"/>
      <c r="B981" s="18"/>
      <c r="C981" s="25"/>
      <c r="D981" s="25"/>
      <c r="E981" s="25"/>
      <c r="F981" s="18"/>
      <c r="G981" s="18"/>
      <c r="H981" s="18"/>
      <c r="I981" s="18"/>
      <c r="J981" s="13" t="str">
        <f aca="false">IF(OR(D981="",E981=""),"",E981-D981)</f>
        <v/>
      </c>
      <c r="K981" s="13" t="str">
        <f aca="false">IF(OR(C981="",D981=""),"",D981-C981)</f>
        <v/>
      </c>
      <c r="L981" s="13" t="str">
        <f aca="false">IF(A981="","",IF(OR(I981="Devolvida",N(H981)&gt;0),"Sim","Não"))</f>
        <v/>
      </c>
    </row>
    <row r="982" customFormat="false" ht="15" hidden="false" customHeight="false" outlineLevel="0" collapsed="false">
      <c r="A982" s="18"/>
      <c r="B982" s="18"/>
      <c r="C982" s="25"/>
      <c r="D982" s="25"/>
      <c r="E982" s="25"/>
      <c r="F982" s="18"/>
      <c r="G982" s="18"/>
      <c r="H982" s="18"/>
      <c r="I982" s="18"/>
      <c r="J982" s="13" t="str">
        <f aca="false">IF(OR(D982="",E982=""),"",E982-D982)</f>
        <v/>
      </c>
      <c r="K982" s="13" t="str">
        <f aca="false">IF(OR(C982="",D982=""),"",D982-C982)</f>
        <v/>
      </c>
      <c r="L982" s="13" t="str">
        <f aca="false">IF(A982="","",IF(OR(I982="Devolvida",N(H982)&gt;0),"Sim","Não"))</f>
        <v/>
      </c>
    </row>
    <row r="983" customFormat="false" ht="15" hidden="false" customHeight="false" outlineLevel="0" collapsed="false">
      <c r="A983" s="18"/>
      <c r="B983" s="18"/>
      <c r="C983" s="25"/>
      <c r="D983" s="25"/>
      <c r="E983" s="25"/>
      <c r="F983" s="18"/>
      <c r="G983" s="18"/>
      <c r="H983" s="18"/>
      <c r="I983" s="18"/>
      <c r="J983" s="13" t="str">
        <f aca="false">IF(OR(D983="",E983=""),"",E983-D983)</f>
        <v/>
      </c>
      <c r="K983" s="13" t="str">
        <f aca="false">IF(OR(C983="",D983=""),"",D983-C983)</f>
        <v/>
      </c>
      <c r="L983" s="13" t="str">
        <f aca="false">IF(A983="","",IF(OR(I983="Devolvida",N(H983)&gt;0),"Sim","Não"))</f>
        <v/>
      </c>
    </row>
    <row r="984" customFormat="false" ht="15" hidden="false" customHeight="false" outlineLevel="0" collapsed="false">
      <c r="A984" s="18"/>
      <c r="B984" s="18"/>
      <c r="C984" s="25"/>
      <c r="D984" s="25"/>
      <c r="E984" s="25"/>
      <c r="F984" s="18"/>
      <c r="G984" s="18"/>
      <c r="H984" s="18"/>
      <c r="I984" s="18"/>
      <c r="J984" s="13" t="str">
        <f aca="false">IF(OR(D984="",E984=""),"",E984-D984)</f>
        <v/>
      </c>
      <c r="K984" s="13" t="str">
        <f aca="false">IF(OR(C984="",D984=""),"",D984-C984)</f>
        <v/>
      </c>
      <c r="L984" s="13" t="str">
        <f aca="false">IF(A984="","",IF(OR(I984="Devolvida",N(H984)&gt;0),"Sim","Não"))</f>
        <v/>
      </c>
    </row>
    <row r="985" customFormat="false" ht="15" hidden="false" customHeight="false" outlineLevel="0" collapsed="false">
      <c r="A985" s="18"/>
      <c r="B985" s="18"/>
      <c r="C985" s="25"/>
      <c r="D985" s="25"/>
      <c r="E985" s="25"/>
      <c r="F985" s="18"/>
      <c r="G985" s="18"/>
      <c r="H985" s="18"/>
      <c r="I985" s="18"/>
      <c r="J985" s="13" t="str">
        <f aca="false">IF(OR(D985="",E985=""),"",E985-D985)</f>
        <v/>
      </c>
      <c r="K985" s="13" t="str">
        <f aca="false">IF(OR(C985="",D985=""),"",D985-C985)</f>
        <v/>
      </c>
      <c r="L985" s="13" t="str">
        <f aca="false">IF(A985="","",IF(OR(I985="Devolvida",N(H985)&gt;0),"Sim","Não"))</f>
        <v/>
      </c>
    </row>
    <row r="986" customFormat="false" ht="15" hidden="false" customHeight="false" outlineLevel="0" collapsed="false">
      <c r="A986" s="18"/>
      <c r="B986" s="18"/>
      <c r="C986" s="25"/>
      <c r="D986" s="25"/>
      <c r="E986" s="25"/>
      <c r="F986" s="18"/>
      <c r="G986" s="18"/>
      <c r="H986" s="18"/>
      <c r="I986" s="18"/>
      <c r="J986" s="13" t="str">
        <f aca="false">IF(OR(D986="",E986=""),"",E986-D986)</f>
        <v/>
      </c>
      <c r="K986" s="13" t="str">
        <f aca="false">IF(OR(C986="",D986=""),"",D986-C986)</f>
        <v/>
      </c>
      <c r="L986" s="13" t="str">
        <f aca="false">IF(A986="","",IF(OR(I986="Devolvida",N(H986)&gt;0),"Sim","Não"))</f>
        <v/>
      </c>
    </row>
    <row r="987" customFormat="false" ht="15" hidden="false" customHeight="false" outlineLevel="0" collapsed="false">
      <c r="A987" s="18"/>
      <c r="B987" s="18"/>
      <c r="C987" s="25"/>
      <c r="D987" s="25"/>
      <c r="E987" s="25"/>
      <c r="F987" s="18"/>
      <c r="G987" s="18"/>
      <c r="H987" s="18"/>
      <c r="I987" s="18"/>
      <c r="J987" s="13" t="str">
        <f aca="false">IF(OR(D987="",E987=""),"",E987-D987)</f>
        <v/>
      </c>
      <c r="K987" s="13" t="str">
        <f aca="false">IF(OR(C987="",D987=""),"",D987-C987)</f>
        <v/>
      </c>
      <c r="L987" s="13" t="str">
        <f aca="false">IF(A987="","",IF(OR(I987="Devolvida",N(H987)&gt;0),"Sim","Não"))</f>
        <v/>
      </c>
    </row>
    <row r="988" customFormat="false" ht="15" hidden="false" customHeight="false" outlineLevel="0" collapsed="false">
      <c r="A988" s="18"/>
      <c r="B988" s="18"/>
      <c r="C988" s="25"/>
      <c r="D988" s="25"/>
      <c r="E988" s="25"/>
      <c r="F988" s="18"/>
      <c r="G988" s="18"/>
      <c r="H988" s="18"/>
      <c r="I988" s="18"/>
      <c r="J988" s="13" t="str">
        <f aca="false">IF(OR(D988="",E988=""),"",E988-D988)</f>
        <v/>
      </c>
      <c r="K988" s="13" t="str">
        <f aca="false">IF(OR(C988="",D988=""),"",D988-C988)</f>
        <v/>
      </c>
      <c r="L988" s="13" t="str">
        <f aca="false">IF(A988="","",IF(OR(I988="Devolvida",N(H988)&gt;0),"Sim","Não"))</f>
        <v/>
      </c>
    </row>
    <row r="989" customFormat="false" ht="15" hidden="false" customHeight="false" outlineLevel="0" collapsed="false">
      <c r="A989" s="18"/>
      <c r="B989" s="18"/>
      <c r="C989" s="25"/>
      <c r="D989" s="25"/>
      <c r="E989" s="25"/>
      <c r="F989" s="18"/>
      <c r="G989" s="18"/>
      <c r="H989" s="18"/>
      <c r="I989" s="18"/>
      <c r="J989" s="13" t="str">
        <f aca="false">IF(OR(D989="",E989=""),"",E989-D989)</f>
        <v/>
      </c>
      <c r="K989" s="13" t="str">
        <f aca="false">IF(OR(C989="",D989=""),"",D989-C989)</f>
        <v/>
      </c>
      <c r="L989" s="13" t="str">
        <f aca="false">IF(A989="","",IF(OR(I989="Devolvida",N(H989)&gt;0),"Sim","Não"))</f>
        <v/>
      </c>
    </row>
    <row r="990" customFormat="false" ht="15" hidden="false" customHeight="false" outlineLevel="0" collapsed="false">
      <c r="A990" s="18"/>
      <c r="B990" s="18"/>
      <c r="C990" s="25"/>
      <c r="D990" s="25"/>
      <c r="E990" s="25"/>
      <c r="F990" s="18"/>
      <c r="G990" s="18"/>
      <c r="H990" s="18"/>
      <c r="I990" s="18"/>
      <c r="J990" s="13" t="str">
        <f aca="false">IF(OR(D990="",E990=""),"",E990-D990)</f>
        <v/>
      </c>
      <c r="K990" s="13" t="str">
        <f aca="false">IF(OR(C990="",D990=""),"",D990-C990)</f>
        <v/>
      </c>
      <c r="L990" s="13" t="str">
        <f aca="false">IF(A990="","",IF(OR(I990="Devolvida",N(H990)&gt;0),"Sim","Não"))</f>
        <v/>
      </c>
    </row>
    <row r="991" customFormat="false" ht="15" hidden="false" customHeight="false" outlineLevel="0" collapsed="false">
      <c r="A991" s="18"/>
      <c r="B991" s="18"/>
      <c r="C991" s="25"/>
      <c r="D991" s="25"/>
      <c r="E991" s="25"/>
      <c r="F991" s="18"/>
      <c r="G991" s="18"/>
      <c r="H991" s="18"/>
      <c r="I991" s="18"/>
      <c r="J991" s="13" t="str">
        <f aca="false">IF(OR(D991="",E991=""),"",E991-D991)</f>
        <v/>
      </c>
      <c r="K991" s="13" t="str">
        <f aca="false">IF(OR(C991="",D991=""),"",D991-C991)</f>
        <v/>
      </c>
      <c r="L991" s="13" t="str">
        <f aca="false">IF(A991="","",IF(OR(I991="Devolvida",N(H991)&gt;0),"Sim","Não"))</f>
        <v/>
      </c>
    </row>
    <row r="992" customFormat="false" ht="15" hidden="false" customHeight="false" outlineLevel="0" collapsed="false">
      <c r="A992" s="18"/>
      <c r="B992" s="18"/>
      <c r="C992" s="25"/>
      <c r="D992" s="25"/>
      <c r="E992" s="25"/>
      <c r="F992" s="18"/>
      <c r="G992" s="18"/>
      <c r="H992" s="18"/>
      <c r="I992" s="18"/>
      <c r="J992" s="13" t="str">
        <f aca="false">IF(OR(D992="",E992=""),"",E992-D992)</f>
        <v/>
      </c>
      <c r="K992" s="13" t="str">
        <f aca="false">IF(OR(C992="",D992=""),"",D992-C992)</f>
        <v/>
      </c>
      <c r="L992" s="13" t="str">
        <f aca="false">IF(A992="","",IF(OR(I992="Devolvida",N(H992)&gt;0),"Sim","Não"))</f>
        <v/>
      </c>
    </row>
    <row r="993" customFormat="false" ht="15" hidden="false" customHeight="false" outlineLevel="0" collapsed="false">
      <c r="A993" s="18"/>
      <c r="B993" s="18"/>
      <c r="C993" s="25"/>
      <c r="D993" s="25"/>
      <c r="E993" s="25"/>
      <c r="F993" s="18"/>
      <c r="G993" s="18"/>
      <c r="H993" s="18"/>
      <c r="I993" s="18"/>
      <c r="J993" s="13" t="str">
        <f aca="false">IF(OR(D993="",E993=""),"",E993-D993)</f>
        <v/>
      </c>
      <c r="K993" s="13" t="str">
        <f aca="false">IF(OR(C993="",D993=""),"",D993-C993)</f>
        <v/>
      </c>
      <c r="L993" s="13" t="str">
        <f aca="false">IF(A993="","",IF(OR(I993="Devolvida",N(H993)&gt;0),"Sim","Não"))</f>
        <v/>
      </c>
    </row>
    <row r="994" customFormat="false" ht="15" hidden="false" customHeight="false" outlineLevel="0" collapsed="false">
      <c r="A994" s="18"/>
      <c r="B994" s="18"/>
      <c r="C994" s="25"/>
      <c r="D994" s="25"/>
      <c r="E994" s="25"/>
      <c r="F994" s="18"/>
      <c r="G994" s="18"/>
      <c r="H994" s="18"/>
      <c r="I994" s="18"/>
      <c r="J994" s="13" t="str">
        <f aca="false">IF(OR(D994="",E994=""),"",E994-D994)</f>
        <v/>
      </c>
      <c r="K994" s="13" t="str">
        <f aca="false">IF(OR(C994="",D994=""),"",D994-C994)</f>
        <v/>
      </c>
      <c r="L994" s="13" t="str">
        <f aca="false">IF(A994="","",IF(OR(I994="Devolvida",N(H994)&gt;0),"Sim","Não"))</f>
        <v/>
      </c>
    </row>
    <row r="995" customFormat="false" ht="15" hidden="false" customHeight="false" outlineLevel="0" collapsed="false">
      <c r="A995" s="18"/>
      <c r="B995" s="18"/>
      <c r="C995" s="25"/>
      <c r="D995" s="25"/>
      <c r="E995" s="25"/>
      <c r="F995" s="18"/>
      <c r="G995" s="18"/>
      <c r="H995" s="18"/>
      <c r="I995" s="18"/>
      <c r="J995" s="13" t="str">
        <f aca="false">IF(OR(D995="",E995=""),"",E995-D995)</f>
        <v/>
      </c>
      <c r="K995" s="13" t="str">
        <f aca="false">IF(OR(C995="",D995=""),"",D995-C995)</f>
        <v/>
      </c>
      <c r="L995" s="13" t="str">
        <f aca="false">IF(A995="","",IF(OR(I995="Devolvida",N(H995)&gt;0),"Sim","Não"))</f>
        <v/>
      </c>
    </row>
    <row r="996" customFormat="false" ht="15" hidden="false" customHeight="false" outlineLevel="0" collapsed="false">
      <c r="A996" s="18"/>
      <c r="B996" s="18"/>
      <c r="C996" s="25"/>
      <c r="D996" s="25"/>
      <c r="E996" s="25"/>
      <c r="F996" s="18"/>
      <c r="G996" s="18"/>
      <c r="H996" s="18"/>
      <c r="I996" s="18"/>
      <c r="J996" s="13" t="str">
        <f aca="false">IF(OR(D996="",E996=""),"",E996-D996)</f>
        <v/>
      </c>
      <c r="K996" s="13" t="str">
        <f aca="false">IF(OR(C996="",D996=""),"",D996-C996)</f>
        <v/>
      </c>
      <c r="L996" s="13" t="str">
        <f aca="false">IF(A996="","",IF(OR(I996="Devolvida",N(H996)&gt;0),"Sim","Não"))</f>
        <v/>
      </c>
    </row>
    <row r="997" customFormat="false" ht="15" hidden="false" customHeight="false" outlineLevel="0" collapsed="false">
      <c r="A997" s="18"/>
      <c r="B997" s="18"/>
      <c r="C997" s="25"/>
      <c r="D997" s="25"/>
      <c r="E997" s="25"/>
      <c r="F997" s="18"/>
      <c r="G997" s="18"/>
      <c r="H997" s="18"/>
      <c r="I997" s="18"/>
      <c r="J997" s="13" t="str">
        <f aca="false">IF(OR(D997="",E997=""),"",E997-D997)</f>
        <v/>
      </c>
      <c r="K997" s="13" t="str">
        <f aca="false">IF(OR(C997="",D997=""),"",D997-C997)</f>
        <v/>
      </c>
      <c r="L997" s="13" t="str">
        <f aca="false">IF(A997="","",IF(OR(I997="Devolvida",N(H997)&gt;0),"Sim","Não"))</f>
        <v/>
      </c>
    </row>
    <row r="998" customFormat="false" ht="15" hidden="false" customHeight="false" outlineLevel="0" collapsed="false">
      <c r="A998" s="18"/>
      <c r="B998" s="18"/>
      <c r="C998" s="25"/>
      <c r="D998" s="25"/>
      <c r="E998" s="25"/>
      <c r="F998" s="18"/>
      <c r="G998" s="18"/>
      <c r="H998" s="18"/>
      <c r="I998" s="18"/>
      <c r="J998" s="13" t="str">
        <f aca="false">IF(OR(D998="",E998=""),"",E998-D998)</f>
        <v/>
      </c>
      <c r="K998" s="13" t="str">
        <f aca="false">IF(OR(C998="",D998=""),"",D998-C998)</f>
        <v/>
      </c>
      <c r="L998" s="13" t="str">
        <f aca="false">IF(A998="","",IF(OR(I998="Devolvida",N(H998)&gt;0),"Sim","Não"))</f>
        <v/>
      </c>
    </row>
    <row r="999" customFormat="false" ht="15" hidden="false" customHeight="false" outlineLevel="0" collapsed="false">
      <c r="A999" s="18"/>
      <c r="B999" s="18"/>
      <c r="C999" s="25"/>
      <c r="D999" s="25"/>
      <c r="E999" s="25"/>
      <c r="F999" s="18"/>
      <c r="G999" s="18"/>
      <c r="H999" s="18"/>
      <c r="I999" s="18"/>
      <c r="J999" s="13" t="str">
        <f aca="false">IF(OR(D999="",E999=""),"",E999-D999)</f>
        <v/>
      </c>
      <c r="K999" s="13" t="str">
        <f aca="false">IF(OR(C999="",D999=""),"",D999-C999)</f>
        <v/>
      </c>
      <c r="L999" s="13" t="str">
        <f aca="false">IF(A999="","",IF(OR(I999="Devolvida",N(H999)&gt;0),"Sim","Não"))</f>
        <v/>
      </c>
    </row>
    <row r="1000" customFormat="false" ht="15" hidden="false" customHeight="false" outlineLevel="0" collapsed="false">
      <c r="A1000" s="18"/>
      <c r="B1000" s="18"/>
      <c r="C1000" s="25"/>
      <c r="D1000" s="25"/>
      <c r="E1000" s="25"/>
      <c r="F1000" s="18"/>
      <c r="G1000" s="18"/>
      <c r="H1000" s="18"/>
      <c r="I1000" s="18"/>
      <c r="J1000" s="13" t="str">
        <f aca="false">IF(OR(D1000="",E1000=""),"",E1000-D1000)</f>
        <v/>
      </c>
      <c r="K1000" s="13" t="str">
        <f aca="false">IF(OR(C1000="",D1000=""),"",D1000-C1000)</f>
        <v/>
      </c>
      <c r="L1000" s="13" t="str">
        <f aca="false">IF(A1000="","",IF(OR(I1000="Devolvida",N(H1000)&gt;0),"Sim","Não"))</f>
        <v/>
      </c>
    </row>
  </sheetData>
  <dataValidations count="1">
    <dataValidation allowBlank="true" errorStyle="stop" operator="between" showDropDown="false" showErrorMessage="false" showInputMessage="false" sqref="I3:I1000" type="list">
      <formula1>"Pendente,Aprovada,Devolvida"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7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38"/>
    <col collapsed="false" customWidth="true" hidden="false" outlineLevel="0" max="14" min="14" style="0" width="17"/>
  </cols>
  <sheetData>
    <row r="1" customFormat="false" ht="31.5" hidden="false" customHeight="true" outlineLevel="0" collapsed="false">
      <c r="A1" s="14" t="s">
        <v>140</v>
      </c>
      <c r="B1" s="14" t="s">
        <v>52</v>
      </c>
      <c r="C1" s="14" t="s">
        <v>141</v>
      </c>
      <c r="D1" s="14" t="s">
        <v>40</v>
      </c>
      <c r="E1" s="14" t="s">
        <v>142</v>
      </c>
      <c r="F1" s="14" t="s">
        <v>143</v>
      </c>
      <c r="G1" s="14" t="s">
        <v>144</v>
      </c>
      <c r="H1" s="14" t="s">
        <v>86</v>
      </c>
      <c r="I1" s="14" t="s">
        <v>145</v>
      </c>
      <c r="J1" s="14" t="s">
        <v>146</v>
      </c>
      <c r="K1" s="14" t="s">
        <v>147</v>
      </c>
      <c r="L1" s="14" t="s">
        <v>32</v>
      </c>
      <c r="M1" s="14" t="s">
        <v>148</v>
      </c>
      <c r="N1" s="14" t="s">
        <v>149</v>
      </c>
    </row>
    <row r="2" customFormat="false" ht="15" hidden="false" customHeight="false" outlineLevel="0" collapsed="false">
      <c r="A2" s="13" t="s">
        <v>150</v>
      </c>
      <c r="B2" s="13" t="s">
        <v>57</v>
      </c>
      <c r="C2" s="13" t="s">
        <v>151</v>
      </c>
      <c r="D2" s="13" t="s">
        <v>152</v>
      </c>
      <c r="E2" s="13" t="s">
        <v>95</v>
      </c>
      <c r="F2" s="13"/>
      <c r="G2" s="13"/>
      <c r="H2" s="31"/>
      <c r="I2" s="33" t="n">
        <v>46308.6932027662</v>
      </c>
      <c r="J2" s="33"/>
      <c r="K2" s="13" t="s">
        <v>153</v>
      </c>
      <c r="L2" s="13"/>
      <c r="M2" s="13" t="s">
        <v>154</v>
      </c>
      <c r="N2" s="33" t="n">
        <v>46308.7264460648</v>
      </c>
    </row>
    <row r="3" customFormat="false" ht="15" hidden="false" customHeight="false" outlineLevel="0" collapsed="false">
      <c r="A3" s="13" t="s">
        <v>155</v>
      </c>
      <c r="B3" s="13" t="s">
        <v>57</v>
      </c>
      <c r="C3" s="13" t="s">
        <v>156</v>
      </c>
      <c r="D3" s="13" t="s">
        <v>152</v>
      </c>
      <c r="E3" s="13" t="s">
        <v>157</v>
      </c>
      <c r="F3" s="13" t="s">
        <v>158</v>
      </c>
      <c r="G3" s="13" t="s">
        <v>159</v>
      </c>
      <c r="H3" s="31"/>
      <c r="I3" s="33" t="n">
        <v>46308.6684372917</v>
      </c>
      <c r="J3" s="33"/>
      <c r="K3" s="13" t="s">
        <v>153</v>
      </c>
      <c r="L3" s="13"/>
      <c r="M3" s="13" t="s">
        <v>160</v>
      </c>
      <c r="N3" s="33" t="n">
        <v>46308.7264460648</v>
      </c>
    </row>
    <row r="4" customFormat="false" ht="15" hidden="false" customHeight="false" outlineLevel="0" collapsed="false">
      <c r="A4" s="13" t="s">
        <v>161</v>
      </c>
      <c r="B4" s="13" t="s">
        <v>57</v>
      </c>
      <c r="C4" s="13" t="s">
        <v>156</v>
      </c>
      <c r="D4" s="13" t="s">
        <v>152</v>
      </c>
      <c r="E4" s="13" t="s">
        <v>162</v>
      </c>
      <c r="F4" s="13"/>
      <c r="G4" s="13"/>
      <c r="H4" s="31"/>
      <c r="I4" s="33" t="n">
        <v>46308.6460481019</v>
      </c>
      <c r="J4" s="33"/>
      <c r="K4" s="13" t="s">
        <v>153</v>
      </c>
      <c r="L4" s="13"/>
      <c r="M4" s="13" t="s">
        <v>163</v>
      </c>
      <c r="N4" s="33" t="n">
        <v>46308.7264460648</v>
      </c>
    </row>
    <row r="5" customFormat="false" ht="15" hidden="false" customHeight="false" outlineLevel="0" collapsed="false">
      <c r="A5" s="13" t="s">
        <v>164</v>
      </c>
      <c r="B5" s="13" t="s">
        <v>57</v>
      </c>
      <c r="C5" s="13" t="s">
        <v>165</v>
      </c>
      <c r="D5" s="13" t="s">
        <v>166</v>
      </c>
      <c r="E5" s="13" t="s">
        <v>167</v>
      </c>
      <c r="F5" s="13"/>
      <c r="G5" s="13"/>
      <c r="H5" s="31"/>
      <c r="I5" s="33" t="n">
        <v>46308.6263091435</v>
      </c>
      <c r="J5" s="33" t="n">
        <v>46308.6262444213</v>
      </c>
      <c r="K5" s="13" t="s">
        <v>153</v>
      </c>
      <c r="L5" s="13"/>
      <c r="M5" s="13" t="s">
        <v>168</v>
      </c>
      <c r="N5" s="33" t="n">
        <v>46308.7264460648</v>
      </c>
    </row>
    <row r="6" customFormat="false" ht="15" hidden="false" customHeight="false" outlineLevel="0" collapsed="false">
      <c r="A6" s="13" t="s">
        <v>169</v>
      </c>
      <c r="B6" s="13" t="s">
        <v>57</v>
      </c>
      <c r="C6" s="13" t="s">
        <v>170</v>
      </c>
      <c r="D6" s="13" t="s">
        <v>171</v>
      </c>
      <c r="E6" s="13" t="s">
        <v>172</v>
      </c>
      <c r="F6" s="13"/>
      <c r="G6" s="13"/>
      <c r="H6" s="31"/>
      <c r="I6" s="33" t="n">
        <v>46308.3698265509</v>
      </c>
      <c r="J6" s="33"/>
      <c r="K6" s="13" t="s">
        <v>153</v>
      </c>
      <c r="L6" s="13"/>
      <c r="M6" s="13" t="s">
        <v>173</v>
      </c>
      <c r="N6" s="33" t="n">
        <v>46308.7264460648</v>
      </c>
    </row>
    <row r="7" customFormat="false" ht="15" hidden="false" customHeight="false" outlineLevel="0" collapsed="false">
      <c r="A7" s="13" t="s">
        <v>174</v>
      </c>
      <c r="B7" s="13" t="s">
        <v>57</v>
      </c>
      <c r="C7" s="13" t="s">
        <v>175</v>
      </c>
      <c r="D7" s="13" t="s">
        <v>171</v>
      </c>
      <c r="E7" s="13" t="s">
        <v>95</v>
      </c>
      <c r="F7" s="13"/>
      <c r="G7" s="13"/>
      <c r="H7" s="31" t="n">
        <v>46300</v>
      </c>
      <c r="I7" s="33" t="n">
        <v>46304.7150928935</v>
      </c>
      <c r="J7" s="33"/>
      <c r="K7" s="13" t="s">
        <v>153</v>
      </c>
      <c r="L7" s="13"/>
      <c r="M7" s="13" t="s">
        <v>176</v>
      </c>
      <c r="N7" s="33" t="n">
        <v>46308.7264460648</v>
      </c>
    </row>
    <row r="8" customFormat="false" ht="15" hidden="false" customHeight="false" outlineLevel="0" collapsed="false">
      <c r="A8" s="13" t="s">
        <v>177</v>
      </c>
      <c r="B8" s="13" t="s">
        <v>57</v>
      </c>
      <c r="C8" s="13" t="s">
        <v>178</v>
      </c>
      <c r="D8" s="13" t="s">
        <v>166</v>
      </c>
      <c r="E8" s="13" t="s">
        <v>95</v>
      </c>
      <c r="F8" s="13"/>
      <c r="G8" s="13"/>
      <c r="H8" s="31"/>
      <c r="I8" s="33" t="n">
        <v>46304.7127955556</v>
      </c>
      <c r="J8" s="33" t="n">
        <v>46304.7127955556</v>
      </c>
      <c r="K8" s="13" t="s">
        <v>153</v>
      </c>
      <c r="L8" s="13"/>
      <c r="M8" s="13" t="s">
        <v>179</v>
      </c>
      <c r="N8" s="33" t="n">
        <v>46308.7264460648</v>
      </c>
    </row>
    <row r="9" customFormat="false" ht="15" hidden="false" customHeight="false" outlineLevel="0" collapsed="false">
      <c r="A9" s="13" t="s">
        <v>180</v>
      </c>
      <c r="B9" s="13" t="s">
        <v>57</v>
      </c>
      <c r="C9" s="13" t="s">
        <v>181</v>
      </c>
      <c r="D9" s="13" t="s">
        <v>166</v>
      </c>
      <c r="E9" s="13" t="s">
        <v>95</v>
      </c>
      <c r="F9" s="13"/>
      <c r="G9" s="13"/>
      <c r="H9" s="31"/>
      <c r="I9" s="33" t="n">
        <v>46304.5917756134</v>
      </c>
      <c r="J9" s="33" t="n">
        <v>46304.5917756134</v>
      </c>
      <c r="K9" s="13" t="s">
        <v>153</v>
      </c>
      <c r="L9" s="13"/>
      <c r="M9" s="13" t="s">
        <v>182</v>
      </c>
      <c r="N9" s="33" t="n">
        <v>46308.7264460648</v>
      </c>
    </row>
    <row r="10" customFormat="false" ht="15" hidden="false" customHeight="false" outlineLevel="0" collapsed="false">
      <c r="A10" s="13" t="s">
        <v>183</v>
      </c>
      <c r="B10" s="13" t="s">
        <v>57</v>
      </c>
      <c r="C10" s="13" t="s">
        <v>184</v>
      </c>
      <c r="D10" s="13" t="s">
        <v>185</v>
      </c>
      <c r="E10" s="13" t="s">
        <v>95</v>
      </c>
      <c r="F10" s="13"/>
      <c r="G10" s="13"/>
      <c r="H10" s="31"/>
      <c r="I10" s="33" t="n">
        <v>46304.5178432986</v>
      </c>
      <c r="J10" s="33"/>
      <c r="K10" s="13" t="s">
        <v>153</v>
      </c>
      <c r="L10" s="13"/>
      <c r="M10" s="13" t="s">
        <v>186</v>
      </c>
      <c r="N10" s="33" t="n">
        <v>46308.7264460648</v>
      </c>
    </row>
    <row r="11" customFormat="false" ht="15" hidden="false" customHeight="false" outlineLevel="0" collapsed="false">
      <c r="A11" s="13" t="s">
        <v>187</v>
      </c>
      <c r="B11" s="13" t="s">
        <v>57</v>
      </c>
      <c r="C11" s="13" t="s">
        <v>188</v>
      </c>
      <c r="D11" s="13" t="s">
        <v>166</v>
      </c>
      <c r="E11" s="13" t="s">
        <v>95</v>
      </c>
      <c r="F11" s="13"/>
      <c r="G11" s="13" t="s">
        <v>189</v>
      </c>
      <c r="H11" s="31"/>
      <c r="I11" s="33" t="n">
        <v>46304.5154433333</v>
      </c>
      <c r="J11" s="33" t="n">
        <v>46304.5154433333</v>
      </c>
      <c r="K11" s="13" t="s">
        <v>153</v>
      </c>
      <c r="L11" s="13"/>
      <c r="M11" s="13" t="s">
        <v>190</v>
      </c>
      <c r="N11" s="33" t="n">
        <v>46308.7264460648</v>
      </c>
    </row>
    <row r="12" customFormat="false" ht="15" hidden="false" customHeight="false" outlineLevel="0" collapsed="false">
      <c r="A12" s="13" t="s">
        <v>191</v>
      </c>
      <c r="B12" s="13" t="s">
        <v>57</v>
      </c>
      <c r="C12" s="13" t="s">
        <v>192</v>
      </c>
      <c r="D12" s="13" t="s">
        <v>166</v>
      </c>
      <c r="E12" s="13" t="s">
        <v>193</v>
      </c>
      <c r="F12" s="13"/>
      <c r="G12" s="13" t="s">
        <v>189</v>
      </c>
      <c r="H12" s="31"/>
      <c r="I12" s="33" t="n">
        <v>46304.5149930787</v>
      </c>
      <c r="J12" s="33" t="n">
        <v>46304.5149930787</v>
      </c>
      <c r="K12" s="13" t="s">
        <v>153</v>
      </c>
      <c r="L12" s="13"/>
      <c r="M12" s="13" t="s">
        <v>194</v>
      </c>
      <c r="N12" s="33" t="n">
        <v>46308.7264460648</v>
      </c>
    </row>
    <row r="13" customFormat="false" ht="15" hidden="false" customHeight="false" outlineLevel="0" collapsed="false">
      <c r="A13" s="13" t="s">
        <v>195</v>
      </c>
      <c r="B13" s="13" t="s">
        <v>57</v>
      </c>
      <c r="C13" s="13" t="s">
        <v>196</v>
      </c>
      <c r="D13" s="13" t="s">
        <v>166</v>
      </c>
      <c r="E13" s="13" t="s">
        <v>197</v>
      </c>
      <c r="F13" s="13"/>
      <c r="G13" s="13"/>
      <c r="H13" s="31"/>
      <c r="I13" s="33" t="n">
        <v>46303.8073273264</v>
      </c>
      <c r="J13" s="33" t="n">
        <v>46303.8073273264</v>
      </c>
      <c r="K13" s="13" t="s">
        <v>153</v>
      </c>
      <c r="L13" s="13"/>
      <c r="M13" s="13" t="s">
        <v>198</v>
      </c>
      <c r="N13" s="33" t="n">
        <v>46308.7264460648</v>
      </c>
    </row>
    <row r="14" customFormat="false" ht="15" hidden="false" customHeight="false" outlineLevel="0" collapsed="false">
      <c r="A14" s="13" t="s">
        <v>199</v>
      </c>
      <c r="B14" s="13" t="s">
        <v>57</v>
      </c>
      <c r="C14" s="13" t="s">
        <v>200</v>
      </c>
      <c r="D14" s="13" t="s">
        <v>166</v>
      </c>
      <c r="E14" s="13" t="s">
        <v>201</v>
      </c>
      <c r="F14" s="13" t="s">
        <v>202</v>
      </c>
      <c r="G14" s="13"/>
      <c r="H14" s="31"/>
      <c r="I14" s="33" t="n">
        <v>46303.8004675463</v>
      </c>
      <c r="J14" s="33" t="n">
        <v>46303.8004675463</v>
      </c>
      <c r="K14" s="13" t="s">
        <v>153</v>
      </c>
      <c r="L14" s="13"/>
      <c r="M14" s="13" t="s">
        <v>203</v>
      </c>
      <c r="N14" s="33" t="n">
        <v>46308.7264460648</v>
      </c>
    </row>
    <row r="15" customFormat="false" ht="15" hidden="false" customHeight="false" outlineLevel="0" collapsed="false">
      <c r="A15" s="13" t="s">
        <v>204</v>
      </c>
      <c r="B15" s="13" t="s">
        <v>57</v>
      </c>
      <c r="C15" s="13" t="s">
        <v>205</v>
      </c>
      <c r="D15" s="13" t="s">
        <v>166</v>
      </c>
      <c r="E15" s="13" t="s">
        <v>206</v>
      </c>
      <c r="F15" s="13" t="s">
        <v>202</v>
      </c>
      <c r="G15" s="13" t="s">
        <v>207</v>
      </c>
      <c r="H15" s="31"/>
      <c r="I15" s="33" t="n">
        <v>46303.8002616667</v>
      </c>
      <c r="J15" s="33" t="n">
        <v>46303.8002616667</v>
      </c>
      <c r="K15" s="13" t="s">
        <v>153</v>
      </c>
      <c r="L15" s="13"/>
      <c r="M15" s="13" t="s">
        <v>208</v>
      </c>
      <c r="N15" s="33" t="n">
        <v>46308.7264460648</v>
      </c>
    </row>
    <row r="16" customFormat="false" ht="15" hidden="false" customHeight="false" outlineLevel="0" collapsed="false">
      <c r="A16" s="13" t="s">
        <v>209</v>
      </c>
      <c r="B16" s="13" t="s">
        <v>57</v>
      </c>
      <c r="C16" s="13" t="s">
        <v>210</v>
      </c>
      <c r="D16" s="13" t="s">
        <v>166</v>
      </c>
      <c r="E16" s="13" t="s">
        <v>211</v>
      </c>
      <c r="F16" s="13" t="s">
        <v>202</v>
      </c>
      <c r="G16" s="13"/>
      <c r="H16" s="31"/>
      <c r="I16" s="33" t="n">
        <v>46303.7998321528</v>
      </c>
      <c r="J16" s="33" t="n">
        <v>46303.7998321528</v>
      </c>
      <c r="K16" s="13" t="s">
        <v>153</v>
      </c>
      <c r="L16" s="13"/>
      <c r="M16" s="13" t="s">
        <v>212</v>
      </c>
      <c r="N16" s="33" t="n">
        <v>46308.7264460648</v>
      </c>
    </row>
    <row r="17" customFormat="false" ht="15" hidden="false" customHeight="false" outlineLevel="0" collapsed="false">
      <c r="A17" s="13" t="s">
        <v>213</v>
      </c>
      <c r="B17" s="13" t="s">
        <v>57</v>
      </c>
      <c r="C17" s="13" t="s">
        <v>214</v>
      </c>
      <c r="D17" s="13" t="s">
        <v>166</v>
      </c>
      <c r="E17" s="13" t="s">
        <v>215</v>
      </c>
      <c r="F17" s="13" t="s">
        <v>202</v>
      </c>
      <c r="G17" s="13"/>
      <c r="H17" s="31"/>
      <c r="I17" s="33" t="n">
        <v>46303.7990386574</v>
      </c>
      <c r="J17" s="33" t="n">
        <v>46303.7990386574</v>
      </c>
      <c r="K17" s="13" t="s">
        <v>153</v>
      </c>
      <c r="L17" s="13"/>
      <c r="M17" s="13" t="s">
        <v>216</v>
      </c>
      <c r="N17" s="33" t="n">
        <v>46308.7264460648</v>
      </c>
    </row>
    <row r="18" customFormat="false" ht="15" hidden="false" customHeight="false" outlineLevel="0" collapsed="false">
      <c r="A18" s="13" t="s">
        <v>217</v>
      </c>
      <c r="B18" s="13" t="s">
        <v>57</v>
      </c>
      <c r="C18" s="13" t="s">
        <v>218</v>
      </c>
      <c r="D18" s="13" t="s">
        <v>166</v>
      </c>
      <c r="E18" s="13" t="s">
        <v>219</v>
      </c>
      <c r="F18" s="13"/>
      <c r="G18" s="13"/>
      <c r="H18" s="31"/>
      <c r="I18" s="33" t="n">
        <v>46303.798460787</v>
      </c>
      <c r="J18" s="33" t="n">
        <v>46303.7984124884</v>
      </c>
      <c r="K18" s="13" t="s">
        <v>153</v>
      </c>
      <c r="L18" s="13"/>
      <c r="M18" s="13" t="s">
        <v>220</v>
      </c>
      <c r="N18" s="33" t="n">
        <v>46308.7264460648</v>
      </c>
    </row>
    <row r="19" customFormat="false" ht="15" hidden="false" customHeight="false" outlineLevel="0" collapsed="false">
      <c r="A19" s="13" t="s">
        <v>221</v>
      </c>
      <c r="B19" s="13" t="s">
        <v>57</v>
      </c>
      <c r="C19" s="13" t="s">
        <v>222</v>
      </c>
      <c r="D19" s="13" t="s">
        <v>152</v>
      </c>
      <c r="E19" s="13" t="s">
        <v>193</v>
      </c>
      <c r="F19" s="13"/>
      <c r="G19" s="13"/>
      <c r="H19" s="31"/>
      <c r="I19" s="33" t="n">
        <v>46303.7980663079</v>
      </c>
      <c r="J19" s="33"/>
      <c r="K19" s="13" t="s">
        <v>153</v>
      </c>
      <c r="L19" s="13"/>
      <c r="M19" s="13" t="s">
        <v>223</v>
      </c>
      <c r="N19" s="33" t="n">
        <v>46308.7264460648</v>
      </c>
    </row>
    <row r="20" customFormat="false" ht="15" hidden="false" customHeight="false" outlineLevel="0" collapsed="false">
      <c r="A20" s="13" t="s">
        <v>224</v>
      </c>
      <c r="B20" s="13" t="s">
        <v>57</v>
      </c>
      <c r="C20" s="13" t="s">
        <v>225</v>
      </c>
      <c r="D20" s="13" t="s">
        <v>166</v>
      </c>
      <c r="E20" s="13" t="s">
        <v>226</v>
      </c>
      <c r="F20" s="13"/>
      <c r="G20" s="13"/>
      <c r="H20" s="31"/>
      <c r="I20" s="33" t="n">
        <v>46303.7898984607</v>
      </c>
      <c r="J20" s="33" t="n">
        <v>46303.7898984607</v>
      </c>
      <c r="K20" s="13" t="s">
        <v>153</v>
      </c>
      <c r="L20" s="13"/>
      <c r="M20" s="13" t="s">
        <v>227</v>
      </c>
      <c r="N20" s="33" t="n">
        <v>46308.7264460648</v>
      </c>
    </row>
    <row r="21" customFormat="false" ht="15" hidden="false" customHeight="false" outlineLevel="0" collapsed="false">
      <c r="A21" s="13" t="s">
        <v>228</v>
      </c>
      <c r="B21" s="13" t="s">
        <v>57</v>
      </c>
      <c r="C21" s="13" t="s">
        <v>229</v>
      </c>
      <c r="D21" s="13" t="s">
        <v>166</v>
      </c>
      <c r="E21" s="13" t="s">
        <v>95</v>
      </c>
      <c r="F21" s="13"/>
      <c r="G21" s="13"/>
      <c r="H21" s="31"/>
      <c r="I21" s="33" t="n">
        <v>46303.7855541435</v>
      </c>
      <c r="J21" s="33" t="n">
        <v>46303.7855541435</v>
      </c>
      <c r="K21" s="13" t="s">
        <v>153</v>
      </c>
      <c r="L21" s="13"/>
      <c r="M21" s="13" t="s">
        <v>230</v>
      </c>
      <c r="N21" s="33" t="n">
        <v>46308.7264460648</v>
      </c>
    </row>
    <row r="22" customFormat="false" ht="15" hidden="false" customHeight="false" outlineLevel="0" collapsed="false">
      <c r="A22" s="13" t="s">
        <v>231</v>
      </c>
      <c r="B22" s="13" t="s">
        <v>57</v>
      </c>
      <c r="C22" s="13" t="s">
        <v>232</v>
      </c>
      <c r="D22" s="13" t="s">
        <v>152</v>
      </c>
      <c r="E22" s="13" t="s">
        <v>233</v>
      </c>
      <c r="F22" s="13"/>
      <c r="G22" s="13"/>
      <c r="H22" s="31"/>
      <c r="I22" s="33" t="n">
        <v>46303.7641780324</v>
      </c>
      <c r="J22" s="33"/>
      <c r="K22" s="13" t="s">
        <v>153</v>
      </c>
      <c r="L22" s="13"/>
      <c r="M22" s="13" t="s">
        <v>234</v>
      </c>
      <c r="N22" s="33" t="n">
        <v>46308.7264460648</v>
      </c>
    </row>
    <row r="23" customFormat="false" ht="15" hidden="false" customHeight="false" outlineLevel="0" collapsed="false">
      <c r="A23" s="13" t="s">
        <v>235</v>
      </c>
      <c r="B23" s="13" t="s">
        <v>57</v>
      </c>
      <c r="C23" s="13" t="s">
        <v>236</v>
      </c>
      <c r="D23" s="13" t="s">
        <v>171</v>
      </c>
      <c r="E23" s="13" t="s">
        <v>237</v>
      </c>
      <c r="F23" s="13"/>
      <c r="G23" s="13" t="s">
        <v>159</v>
      </c>
      <c r="H23" s="31"/>
      <c r="I23" s="33" t="n">
        <v>46303.7508830093</v>
      </c>
      <c r="J23" s="33"/>
      <c r="K23" s="13" t="s">
        <v>153</v>
      </c>
      <c r="L23" s="13"/>
      <c r="M23" s="13" t="s">
        <v>238</v>
      </c>
      <c r="N23" s="33" t="n">
        <v>46308.7264460648</v>
      </c>
    </row>
    <row r="24" customFormat="false" ht="15" hidden="false" customHeight="false" outlineLevel="0" collapsed="false">
      <c r="A24" s="13" t="s">
        <v>239</v>
      </c>
      <c r="B24" s="13" t="s">
        <v>57</v>
      </c>
      <c r="C24" s="13" t="s">
        <v>240</v>
      </c>
      <c r="D24" s="13" t="s">
        <v>166</v>
      </c>
      <c r="E24" s="13" t="s">
        <v>241</v>
      </c>
      <c r="F24" s="13" t="s">
        <v>158</v>
      </c>
      <c r="G24" s="13" t="s">
        <v>207</v>
      </c>
      <c r="H24" s="31"/>
      <c r="I24" s="33" t="n">
        <v>46303.4333396528</v>
      </c>
      <c r="J24" s="33" t="n">
        <v>46303.4333396528</v>
      </c>
      <c r="K24" s="13" t="s">
        <v>153</v>
      </c>
      <c r="L24" s="13"/>
      <c r="M24" s="13" t="s">
        <v>242</v>
      </c>
      <c r="N24" s="33" t="n">
        <v>46308.7264460648</v>
      </c>
    </row>
    <row r="25" customFormat="false" ht="15" hidden="false" customHeight="false" outlineLevel="0" collapsed="false">
      <c r="A25" s="13" t="s">
        <v>243</v>
      </c>
      <c r="B25" s="13" t="s">
        <v>57</v>
      </c>
      <c r="C25" s="13" t="s">
        <v>244</v>
      </c>
      <c r="D25" s="13" t="s">
        <v>166</v>
      </c>
      <c r="E25" s="13" t="s">
        <v>245</v>
      </c>
      <c r="F25" s="13" t="s">
        <v>158</v>
      </c>
      <c r="G25" s="13"/>
      <c r="H25" s="31"/>
      <c r="I25" s="33" t="n">
        <v>46303.4019064468</v>
      </c>
      <c r="J25" s="33" t="n">
        <v>46303.4018611458</v>
      </c>
      <c r="K25" s="13" t="s">
        <v>153</v>
      </c>
      <c r="L25" s="13"/>
      <c r="M25" s="13" t="s">
        <v>246</v>
      </c>
      <c r="N25" s="33" t="n">
        <v>46308.7264460648</v>
      </c>
    </row>
    <row r="26" customFormat="false" ht="15" hidden="false" customHeight="false" outlineLevel="0" collapsed="false">
      <c r="A26" s="13" t="s">
        <v>247</v>
      </c>
      <c r="B26" s="13" t="s">
        <v>57</v>
      </c>
      <c r="C26" s="13" t="s">
        <v>248</v>
      </c>
      <c r="D26" s="13" t="s">
        <v>166</v>
      </c>
      <c r="E26" s="13" t="s">
        <v>249</v>
      </c>
      <c r="F26" s="13"/>
      <c r="G26" s="13"/>
      <c r="H26" s="31"/>
      <c r="I26" s="33" t="n">
        <v>46303.3636936343</v>
      </c>
      <c r="J26" s="33" t="n">
        <v>46303.3633875694</v>
      </c>
      <c r="K26" s="13" t="s">
        <v>153</v>
      </c>
      <c r="L26" s="13"/>
      <c r="M26" s="13" t="s">
        <v>250</v>
      </c>
      <c r="N26" s="33" t="n">
        <v>46308.7264460648</v>
      </c>
    </row>
    <row r="27" customFormat="false" ht="15" hidden="false" customHeight="false" outlineLevel="0" collapsed="false">
      <c r="A27" s="13" t="s">
        <v>251</v>
      </c>
      <c r="B27" s="13" t="s">
        <v>57</v>
      </c>
      <c r="C27" s="13" t="s">
        <v>252</v>
      </c>
      <c r="D27" s="13" t="s">
        <v>166</v>
      </c>
      <c r="E27" s="13" t="s">
        <v>95</v>
      </c>
      <c r="F27" s="13"/>
      <c r="G27" s="13"/>
      <c r="H27" s="31"/>
      <c r="I27" s="33" t="n">
        <v>46302.616024919</v>
      </c>
      <c r="J27" s="33" t="n">
        <v>46302.616024919</v>
      </c>
      <c r="K27" s="13" t="s">
        <v>153</v>
      </c>
      <c r="L27" s="13"/>
      <c r="M27" s="13" t="s">
        <v>253</v>
      </c>
      <c r="N27" s="33" t="n">
        <v>46308.7264460648</v>
      </c>
    </row>
    <row r="28" customFormat="false" ht="15" hidden="false" customHeight="false" outlineLevel="0" collapsed="false">
      <c r="A28" s="13" t="s">
        <v>254</v>
      </c>
      <c r="B28" s="13" t="s">
        <v>57</v>
      </c>
      <c r="C28" s="13" t="s">
        <v>255</v>
      </c>
      <c r="D28" s="13" t="s">
        <v>166</v>
      </c>
      <c r="E28" s="13" t="s">
        <v>95</v>
      </c>
      <c r="F28" s="13"/>
      <c r="G28" s="13"/>
      <c r="H28" s="31"/>
      <c r="I28" s="33" t="n">
        <v>46302.475653206</v>
      </c>
      <c r="J28" s="33" t="n">
        <v>46302.475653206</v>
      </c>
      <c r="K28" s="13" t="s">
        <v>153</v>
      </c>
      <c r="L28" s="13"/>
      <c r="M28" s="13" t="s">
        <v>256</v>
      </c>
      <c r="N28" s="33" t="n">
        <v>46308.7264460648</v>
      </c>
    </row>
    <row r="29" customFormat="false" ht="15" hidden="false" customHeight="false" outlineLevel="0" collapsed="false">
      <c r="A29" s="13" t="s">
        <v>257</v>
      </c>
      <c r="B29" s="13" t="s">
        <v>57</v>
      </c>
      <c r="C29" s="13" t="s">
        <v>258</v>
      </c>
      <c r="D29" s="13" t="s">
        <v>166</v>
      </c>
      <c r="E29" s="13" t="s">
        <v>259</v>
      </c>
      <c r="F29" s="13"/>
      <c r="G29" s="13"/>
      <c r="H29" s="31"/>
      <c r="I29" s="33" t="n">
        <v>46301.6643432986</v>
      </c>
      <c r="J29" s="33" t="n">
        <v>45896.6191286806</v>
      </c>
      <c r="K29" s="13" t="s">
        <v>153</v>
      </c>
      <c r="L29" s="13"/>
      <c r="M29" s="13" t="s">
        <v>260</v>
      </c>
      <c r="N29" s="33" t="n">
        <v>46308.7264460648</v>
      </c>
    </row>
    <row r="30" customFormat="false" ht="15" hidden="false" customHeight="false" outlineLevel="0" collapsed="false">
      <c r="A30" s="13" t="s">
        <v>261</v>
      </c>
      <c r="B30" s="13" t="s">
        <v>57</v>
      </c>
      <c r="C30" s="13" t="s">
        <v>262</v>
      </c>
      <c r="D30" s="13" t="s">
        <v>152</v>
      </c>
      <c r="E30" s="13" t="s">
        <v>263</v>
      </c>
      <c r="F30" s="13"/>
      <c r="G30" s="13" t="s">
        <v>189</v>
      </c>
      <c r="H30" s="31"/>
      <c r="I30" s="33" t="n">
        <v>46301.50216875</v>
      </c>
      <c r="J30" s="33"/>
      <c r="K30" s="13" t="s">
        <v>153</v>
      </c>
      <c r="L30" s="13"/>
      <c r="M30" s="13" t="s">
        <v>264</v>
      </c>
      <c r="N30" s="33" t="n">
        <v>46308.7264460648</v>
      </c>
    </row>
    <row r="31" customFormat="false" ht="15" hidden="false" customHeight="false" outlineLevel="0" collapsed="false">
      <c r="A31" s="13" t="s">
        <v>265</v>
      </c>
      <c r="B31" s="13" t="s">
        <v>57</v>
      </c>
      <c r="C31" s="13" t="s">
        <v>266</v>
      </c>
      <c r="D31" s="13" t="s">
        <v>166</v>
      </c>
      <c r="E31" s="13" t="s">
        <v>267</v>
      </c>
      <c r="F31" s="13" t="s">
        <v>202</v>
      </c>
      <c r="G31" s="13"/>
      <c r="H31" s="31"/>
      <c r="I31" s="33" t="n">
        <v>46301.4834929514</v>
      </c>
      <c r="J31" s="33" t="n">
        <v>46301.4834929514</v>
      </c>
      <c r="K31" s="13" t="s">
        <v>153</v>
      </c>
      <c r="L31" s="13"/>
      <c r="M31" s="13" t="s">
        <v>268</v>
      </c>
      <c r="N31" s="33" t="n">
        <v>46308.7264460648</v>
      </c>
    </row>
    <row r="32" customFormat="false" ht="15" hidden="false" customHeight="false" outlineLevel="0" collapsed="false">
      <c r="A32" s="13" t="s">
        <v>269</v>
      </c>
      <c r="B32" s="13" t="s">
        <v>57</v>
      </c>
      <c r="C32" s="13" t="s">
        <v>270</v>
      </c>
      <c r="D32" s="13" t="s">
        <v>152</v>
      </c>
      <c r="E32" s="13" t="s">
        <v>271</v>
      </c>
      <c r="F32" s="13"/>
      <c r="G32" s="13"/>
      <c r="H32" s="31"/>
      <c r="I32" s="33" t="n">
        <v>46301.4082678241</v>
      </c>
      <c r="J32" s="33"/>
      <c r="K32" s="13" t="s">
        <v>153</v>
      </c>
      <c r="L32" s="13"/>
      <c r="M32" s="13" t="s">
        <v>272</v>
      </c>
      <c r="N32" s="33" t="n">
        <v>46308.7264460648</v>
      </c>
    </row>
    <row r="33" customFormat="false" ht="15" hidden="false" customHeight="false" outlineLevel="0" collapsed="false">
      <c r="A33" s="13" t="s">
        <v>273</v>
      </c>
      <c r="B33" s="13" t="s">
        <v>57</v>
      </c>
      <c r="C33" s="13" t="s">
        <v>274</v>
      </c>
      <c r="D33" s="13" t="s">
        <v>166</v>
      </c>
      <c r="E33" s="13" t="s">
        <v>226</v>
      </c>
      <c r="F33" s="13"/>
      <c r="G33" s="13" t="s">
        <v>159</v>
      </c>
      <c r="H33" s="31"/>
      <c r="I33" s="33" t="n">
        <v>46301.3885720023</v>
      </c>
      <c r="J33" s="33" t="n">
        <v>46301.3884641204</v>
      </c>
      <c r="K33" s="13" t="s">
        <v>153</v>
      </c>
      <c r="L33" s="13"/>
      <c r="M33" s="13" t="s">
        <v>275</v>
      </c>
      <c r="N33" s="33" t="n">
        <v>46308.7264460648</v>
      </c>
    </row>
    <row r="34" customFormat="false" ht="15" hidden="false" customHeight="false" outlineLevel="0" collapsed="false">
      <c r="A34" s="13" t="s">
        <v>276</v>
      </c>
      <c r="B34" s="13" t="s">
        <v>57</v>
      </c>
      <c r="C34" s="13" t="s">
        <v>277</v>
      </c>
      <c r="D34" s="13" t="s">
        <v>278</v>
      </c>
      <c r="E34" s="13" t="s">
        <v>279</v>
      </c>
      <c r="F34" s="13" t="s">
        <v>60</v>
      </c>
      <c r="G34" s="13"/>
      <c r="H34" s="31"/>
      <c r="I34" s="33" t="n">
        <v>46300.7788792477</v>
      </c>
      <c r="J34" s="33"/>
      <c r="K34" s="13" t="s">
        <v>153</v>
      </c>
      <c r="L34" s="13" t="s">
        <v>280</v>
      </c>
      <c r="M34" s="13" t="s">
        <v>281</v>
      </c>
      <c r="N34" s="33" t="n">
        <v>46308.7264460648</v>
      </c>
    </row>
    <row r="35" customFormat="false" ht="15" hidden="false" customHeight="false" outlineLevel="0" collapsed="false">
      <c r="A35" s="13" t="s">
        <v>282</v>
      </c>
      <c r="B35" s="13" t="s">
        <v>57</v>
      </c>
      <c r="C35" s="13" t="s">
        <v>283</v>
      </c>
      <c r="D35" s="13" t="s">
        <v>166</v>
      </c>
      <c r="E35" s="13" t="s">
        <v>284</v>
      </c>
      <c r="F35" s="13" t="s">
        <v>60</v>
      </c>
      <c r="G35" s="13"/>
      <c r="H35" s="31"/>
      <c r="I35" s="33" t="n">
        <v>46300.7158295255</v>
      </c>
      <c r="J35" s="33" t="n">
        <v>46300.7156477199</v>
      </c>
      <c r="K35" s="13" t="s">
        <v>153</v>
      </c>
      <c r="L35" s="13" t="s">
        <v>280</v>
      </c>
      <c r="M35" s="13" t="s">
        <v>285</v>
      </c>
      <c r="N35" s="33" t="n">
        <v>46308.7264460648</v>
      </c>
    </row>
    <row r="36" customFormat="false" ht="15" hidden="false" customHeight="false" outlineLevel="0" collapsed="false">
      <c r="A36" s="13" t="s">
        <v>286</v>
      </c>
      <c r="B36" s="13" t="s">
        <v>57</v>
      </c>
      <c r="C36" s="13" t="s">
        <v>287</v>
      </c>
      <c r="D36" s="13" t="s">
        <v>166</v>
      </c>
      <c r="E36" s="13" t="s">
        <v>279</v>
      </c>
      <c r="F36" s="13" t="s">
        <v>60</v>
      </c>
      <c r="G36" s="13"/>
      <c r="H36" s="31"/>
      <c r="I36" s="33" t="n">
        <v>46300.6709335648</v>
      </c>
      <c r="J36" s="33" t="n">
        <v>46300.6708834375</v>
      </c>
      <c r="K36" s="13" t="s">
        <v>153</v>
      </c>
      <c r="L36" s="13" t="s">
        <v>280</v>
      </c>
      <c r="M36" s="13" t="s">
        <v>288</v>
      </c>
      <c r="N36" s="33" t="n">
        <v>46308.7264460648</v>
      </c>
    </row>
    <row r="37" customFormat="false" ht="15" hidden="false" customHeight="false" outlineLevel="0" collapsed="false">
      <c r="A37" s="13" t="s">
        <v>289</v>
      </c>
      <c r="B37" s="13" t="s">
        <v>57</v>
      </c>
      <c r="C37" s="13" t="s">
        <v>290</v>
      </c>
      <c r="D37" s="13" t="s">
        <v>166</v>
      </c>
      <c r="E37" s="13" t="s">
        <v>291</v>
      </c>
      <c r="F37" s="13" t="s">
        <v>292</v>
      </c>
      <c r="G37" s="13" t="s">
        <v>207</v>
      </c>
      <c r="H37" s="31"/>
      <c r="I37" s="33" t="n">
        <v>46297.6423226852</v>
      </c>
      <c r="J37" s="33" t="n">
        <v>46297.6361683218</v>
      </c>
      <c r="K37" s="13" t="s">
        <v>153</v>
      </c>
      <c r="L37" s="13" t="s">
        <v>117</v>
      </c>
      <c r="M37" s="13" t="s">
        <v>293</v>
      </c>
      <c r="N37" s="33" t="n">
        <v>46308.7264460648</v>
      </c>
    </row>
    <row r="38" customFormat="false" ht="15" hidden="false" customHeight="false" outlineLevel="0" collapsed="false">
      <c r="A38" s="13" t="s">
        <v>294</v>
      </c>
      <c r="B38" s="13" t="s">
        <v>57</v>
      </c>
      <c r="C38" s="13" t="s">
        <v>295</v>
      </c>
      <c r="D38" s="13" t="s">
        <v>166</v>
      </c>
      <c r="E38" s="13" t="s">
        <v>296</v>
      </c>
      <c r="F38" s="13"/>
      <c r="G38" s="13" t="s">
        <v>189</v>
      </c>
      <c r="H38" s="31"/>
      <c r="I38" s="33" t="n">
        <v>46297.5468191898</v>
      </c>
      <c r="J38" s="33" t="n">
        <v>46297.4924213426</v>
      </c>
      <c r="K38" s="13" t="s">
        <v>153</v>
      </c>
      <c r="L38" s="13"/>
      <c r="M38" s="13" t="s">
        <v>297</v>
      </c>
      <c r="N38" s="33" t="n">
        <v>46308.7264460648</v>
      </c>
    </row>
    <row r="39" customFormat="false" ht="15" hidden="false" customHeight="false" outlineLevel="0" collapsed="false">
      <c r="A39" s="13" t="s">
        <v>298</v>
      </c>
      <c r="B39" s="13" t="s">
        <v>57</v>
      </c>
      <c r="C39" s="13" t="s">
        <v>299</v>
      </c>
      <c r="D39" s="13" t="s">
        <v>171</v>
      </c>
      <c r="E39" s="13" t="s">
        <v>300</v>
      </c>
      <c r="F39" s="13" t="s">
        <v>301</v>
      </c>
      <c r="G39" s="13" t="s">
        <v>207</v>
      </c>
      <c r="H39" s="31"/>
      <c r="I39" s="33" t="n">
        <v>46297.4931247338</v>
      </c>
      <c r="J39" s="33"/>
      <c r="K39" s="13" t="s">
        <v>153</v>
      </c>
      <c r="L39" s="13" t="s">
        <v>280</v>
      </c>
      <c r="M39" s="13" t="s">
        <v>302</v>
      </c>
      <c r="N39" s="33" t="n">
        <v>46308.7264460648</v>
      </c>
    </row>
    <row r="40" customFormat="false" ht="15" hidden="false" customHeight="false" outlineLevel="0" collapsed="false">
      <c r="A40" s="13" t="s">
        <v>303</v>
      </c>
      <c r="B40" s="13" t="s">
        <v>57</v>
      </c>
      <c r="C40" s="13" t="s">
        <v>304</v>
      </c>
      <c r="D40" s="13" t="s">
        <v>166</v>
      </c>
      <c r="E40" s="13" t="s">
        <v>305</v>
      </c>
      <c r="F40" s="13" t="s">
        <v>60</v>
      </c>
      <c r="G40" s="13"/>
      <c r="H40" s="31"/>
      <c r="I40" s="33" t="n">
        <v>46297.3836815278</v>
      </c>
      <c r="J40" s="33" t="n">
        <v>46297.3836153935</v>
      </c>
      <c r="K40" s="13" t="s">
        <v>153</v>
      </c>
      <c r="L40" s="13" t="s">
        <v>280</v>
      </c>
      <c r="M40" s="13" t="s">
        <v>306</v>
      </c>
      <c r="N40" s="33" t="n">
        <v>46308.7264460648</v>
      </c>
    </row>
    <row r="41" customFormat="false" ht="15" hidden="false" customHeight="false" outlineLevel="0" collapsed="false">
      <c r="A41" s="13" t="s">
        <v>307</v>
      </c>
      <c r="B41" s="13" t="s">
        <v>57</v>
      </c>
      <c r="C41" s="13" t="s">
        <v>308</v>
      </c>
      <c r="D41" s="13" t="s">
        <v>309</v>
      </c>
      <c r="E41" s="13" t="s">
        <v>95</v>
      </c>
      <c r="F41" s="13"/>
      <c r="G41" s="13"/>
      <c r="H41" s="31"/>
      <c r="I41" s="33" t="n">
        <v>46296.616946875</v>
      </c>
      <c r="J41" s="33"/>
      <c r="K41" s="13" t="s">
        <v>153</v>
      </c>
      <c r="L41" s="13"/>
      <c r="M41" s="13" t="s">
        <v>310</v>
      </c>
      <c r="N41" s="33" t="n">
        <v>46308.7264460648</v>
      </c>
    </row>
    <row r="42" customFormat="false" ht="15" hidden="false" customHeight="false" outlineLevel="0" collapsed="false">
      <c r="A42" s="13" t="s">
        <v>311</v>
      </c>
      <c r="B42" s="13" t="s">
        <v>57</v>
      </c>
      <c r="C42" s="13" t="s">
        <v>312</v>
      </c>
      <c r="D42" s="13" t="s">
        <v>171</v>
      </c>
      <c r="E42" s="13" t="s">
        <v>300</v>
      </c>
      <c r="F42" s="13" t="s">
        <v>313</v>
      </c>
      <c r="G42" s="13"/>
      <c r="H42" s="31"/>
      <c r="I42" s="33" t="n">
        <v>46296.4529697801</v>
      </c>
      <c r="J42" s="33"/>
      <c r="K42" s="13" t="s">
        <v>153</v>
      </c>
      <c r="L42" s="13" t="s">
        <v>117</v>
      </c>
      <c r="M42" s="13" t="s">
        <v>314</v>
      </c>
      <c r="N42" s="33" t="n">
        <v>46308.7264460648</v>
      </c>
    </row>
    <row r="43" customFormat="false" ht="15" hidden="false" customHeight="false" outlineLevel="0" collapsed="false">
      <c r="A43" s="13" t="s">
        <v>315</v>
      </c>
      <c r="B43" s="13" t="s">
        <v>57</v>
      </c>
      <c r="C43" s="13" t="s">
        <v>316</v>
      </c>
      <c r="D43" s="13" t="s">
        <v>166</v>
      </c>
      <c r="E43" s="13" t="s">
        <v>317</v>
      </c>
      <c r="F43" s="13"/>
      <c r="G43" s="13"/>
      <c r="H43" s="31"/>
      <c r="I43" s="33" t="n">
        <v>46296.4523674421</v>
      </c>
      <c r="J43" s="33" t="n">
        <v>46296.4523225694</v>
      </c>
      <c r="K43" s="13" t="s">
        <v>153</v>
      </c>
      <c r="L43" s="13"/>
      <c r="M43" s="13" t="s">
        <v>318</v>
      </c>
      <c r="N43" s="33" t="n">
        <v>46308.7264460648</v>
      </c>
    </row>
    <row r="44" customFormat="false" ht="15" hidden="false" customHeight="false" outlineLevel="0" collapsed="false">
      <c r="A44" s="13" t="s">
        <v>319</v>
      </c>
      <c r="B44" s="13" t="s">
        <v>57</v>
      </c>
      <c r="C44" s="13" t="s">
        <v>320</v>
      </c>
      <c r="D44" s="13" t="s">
        <v>171</v>
      </c>
      <c r="E44" s="13" t="s">
        <v>95</v>
      </c>
      <c r="F44" s="13"/>
      <c r="G44" s="13"/>
      <c r="H44" s="31"/>
      <c r="I44" s="33" t="n">
        <v>46296.4327822917</v>
      </c>
      <c r="J44" s="33"/>
      <c r="K44" s="13" t="s">
        <v>153</v>
      </c>
      <c r="L44" s="13"/>
      <c r="M44" s="13" t="s">
        <v>321</v>
      </c>
      <c r="N44" s="33" t="n">
        <v>46308.7264460648</v>
      </c>
    </row>
    <row r="45" customFormat="false" ht="15" hidden="false" customHeight="false" outlineLevel="0" collapsed="false">
      <c r="A45" s="13" t="s">
        <v>322</v>
      </c>
      <c r="B45" s="13" t="s">
        <v>57</v>
      </c>
      <c r="C45" s="13" t="s">
        <v>323</v>
      </c>
      <c r="D45" s="13" t="s">
        <v>166</v>
      </c>
      <c r="E45" s="13" t="s">
        <v>324</v>
      </c>
      <c r="F45" s="13"/>
      <c r="G45" s="13"/>
      <c r="H45" s="31"/>
      <c r="I45" s="33" t="n">
        <v>46296.425265463</v>
      </c>
      <c r="J45" s="33" t="n">
        <v>46296.425214294</v>
      </c>
      <c r="K45" s="13" t="s">
        <v>153</v>
      </c>
      <c r="L45" s="13"/>
      <c r="M45" s="13" t="s">
        <v>325</v>
      </c>
      <c r="N45" s="33" t="n">
        <v>46308.7264460648</v>
      </c>
    </row>
    <row r="46" customFormat="false" ht="15" hidden="false" customHeight="false" outlineLevel="0" collapsed="false">
      <c r="A46" s="13" t="s">
        <v>326</v>
      </c>
      <c r="B46" s="13" t="s">
        <v>57</v>
      </c>
      <c r="C46" s="13" t="s">
        <v>327</v>
      </c>
      <c r="D46" s="13" t="s">
        <v>166</v>
      </c>
      <c r="E46" s="13" t="s">
        <v>167</v>
      </c>
      <c r="F46" s="13" t="s">
        <v>60</v>
      </c>
      <c r="G46" s="13"/>
      <c r="H46" s="31"/>
      <c r="I46" s="33" t="n">
        <v>46295.6282833218</v>
      </c>
      <c r="J46" s="33" t="n">
        <v>46295.6282123958</v>
      </c>
      <c r="K46" s="13" t="s">
        <v>153</v>
      </c>
      <c r="L46" s="13" t="s">
        <v>280</v>
      </c>
      <c r="M46" s="13" t="s">
        <v>328</v>
      </c>
      <c r="N46" s="33" t="n">
        <v>46308.7264460648</v>
      </c>
    </row>
    <row r="47" customFormat="false" ht="15" hidden="false" customHeight="false" outlineLevel="0" collapsed="false">
      <c r="A47" s="13" t="s">
        <v>329</v>
      </c>
      <c r="B47" s="13" t="s">
        <v>57</v>
      </c>
      <c r="C47" s="13" t="s">
        <v>330</v>
      </c>
      <c r="D47" s="13" t="s">
        <v>166</v>
      </c>
      <c r="E47" s="13" t="s">
        <v>331</v>
      </c>
      <c r="F47" s="13"/>
      <c r="G47" s="13"/>
      <c r="H47" s="31"/>
      <c r="I47" s="33" t="n">
        <v>46294.4736890394</v>
      </c>
      <c r="J47" s="33" t="n">
        <v>46294.4736890394</v>
      </c>
      <c r="K47" s="13" t="s">
        <v>153</v>
      </c>
      <c r="L47" s="13"/>
      <c r="M47" s="13" t="s">
        <v>332</v>
      </c>
      <c r="N47" s="33" t="n">
        <v>46308.7264460648</v>
      </c>
    </row>
    <row r="48" customFormat="false" ht="15" hidden="false" customHeight="false" outlineLevel="0" collapsed="false">
      <c r="A48" s="13" t="s">
        <v>333</v>
      </c>
      <c r="B48" s="13" t="s">
        <v>57</v>
      </c>
      <c r="C48" s="13" t="s">
        <v>334</v>
      </c>
      <c r="D48" s="13" t="s">
        <v>171</v>
      </c>
      <c r="E48" s="13" t="s">
        <v>335</v>
      </c>
      <c r="F48" s="13" t="s">
        <v>313</v>
      </c>
      <c r="G48" s="13" t="s">
        <v>189</v>
      </c>
      <c r="H48" s="31"/>
      <c r="I48" s="33" t="n">
        <v>46294.4705453009</v>
      </c>
      <c r="J48" s="33"/>
      <c r="K48" s="13" t="s">
        <v>153</v>
      </c>
      <c r="L48" s="13" t="s">
        <v>117</v>
      </c>
      <c r="M48" s="13" t="s">
        <v>336</v>
      </c>
      <c r="N48" s="33" t="n">
        <v>46308.7264460648</v>
      </c>
    </row>
    <row r="49" customFormat="false" ht="15" hidden="false" customHeight="false" outlineLevel="0" collapsed="false">
      <c r="A49" s="13" t="s">
        <v>337</v>
      </c>
      <c r="B49" s="13" t="s">
        <v>57</v>
      </c>
      <c r="C49" s="13" t="s">
        <v>338</v>
      </c>
      <c r="D49" s="13" t="s">
        <v>171</v>
      </c>
      <c r="E49" s="13" t="s">
        <v>339</v>
      </c>
      <c r="F49" s="13" t="s">
        <v>340</v>
      </c>
      <c r="G49" s="13"/>
      <c r="H49" s="31"/>
      <c r="I49" s="33" t="n">
        <v>46294.450999919</v>
      </c>
      <c r="J49" s="33"/>
      <c r="K49" s="13" t="s">
        <v>153</v>
      </c>
      <c r="L49" s="13" t="s">
        <v>280</v>
      </c>
      <c r="M49" s="13" t="s">
        <v>341</v>
      </c>
      <c r="N49" s="33" t="n">
        <v>46308.7264460648</v>
      </c>
    </row>
    <row r="50" customFormat="false" ht="15" hidden="false" customHeight="false" outlineLevel="0" collapsed="false">
      <c r="A50" s="13" t="s">
        <v>342</v>
      </c>
      <c r="B50" s="13" t="s">
        <v>57</v>
      </c>
      <c r="C50" s="13" t="s">
        <v>343</v>
      </c>
      <c r="D50" s="13" t="s">
        <v>166</v>
      </c>
      <c r="E50" s="13" t="s">
        <v>344</v>
      </c>
      <c r="F50" s="13"/>
      <c r="G50" s="13"/>
      <c r="H50" s="31"/>
      <c r="I50" s="33" t="n">
        <v>46294.4443332639</v>
      </c>
      <c r="J50" s="33" t="n">
        <v>46294.4443332639</v>
      </c>
      <c r="K50" s="13" t="s">
        <v>153</v>
      </c>
      <c r="L50" s="13"/>
      <c r="M50" s="13" t="s">
        <v>345</v>
      </c>
      <c r="N50" s="33" t="n">
        <v>46308.7264460648</v>
      </c>
    </row>
    <row r="51" customFormat="false" ht="15" hidden="false" customHeight="false" outlineLevel="0" collapsed="false">
      <c r="A51" s="13" t="s">
        <v>346</v>
      </c>
      <c r="B51" s="13" t="s">
        <v>57</v>
      </c>
      <c r="C51" s="13" t="s">
        <v>347</v>
      </c>
      <c r="D51" s="13" t="s">
        <v>166</v>
      </c>
      <c r="E51" s="13" t="s">
        <v>348</v>
      </c>
      <c r="F51" s="13" t="s">
        <v>158</v>
      </c>
      <c r="G51" s="13"/>
      <c r="H51" s="31"/>
      <c r="I51" s="33" t="n">
        <v>46294.4429804282</v>
      </c>
      <c r="J51" s="33" t="n">
        <v>46294.4429804282</v>
      </c>
      <c r="K51" s="13" t="s">
        <v>153</v>
      </c>
      <c r="L51" s="13"/>
      <c r="M51" s="13" t="s">
        <v>349</v>
      </c>
      <c r="N51" s="33" t="n">
        <v>46308.7264460648</v>
      </c>
    </row>
    <row r="52" customFormat="false" ht="15" hidden="false" customHeight="false" outlineLevel="0" collapsed="false">
      <c r="A52" s="13" t="s">
        <v>350</v>
      </c>
      <c r="B52" s="13" t="s">
        <v>57</v>
      </c>
      <c r="C52" s="13" t="s">
        <v>351</v>
      </c>
      <c r="D52" s="13" t="s">
        <v>166</v>
      </c>
      <c r="E52" s="13" t="s">
        <v>352</v>
      </c>
      <c r="F52" s="13"/>
      <c r="G52" s="13"/>
      <c r="H52" s="31"/>
      <c r="I52" s="33" t="n">
        <v>46289.7563982407</v>
      </c>
      <c r="J52" s="33" t="n">
        <v>46289.7563371644</v>
      </c>
      <c r="K52" s="13" t="s">
        <v>153</v>
      </c>
      <c r="L52" s="13"/>
      <c r="M52" s="13" t="s">
        <v>353</v>
      </c>
      <c r="N52" s="33" t="n">
        <v>46308.7264460648</v>
      </c>
    </row>
    <row r="53" customFormat="false" ht="15" hidden="false" customHeight="false" outlineLevel="0" collapsed="false">
      <c r="A53" s="13" t="s">
        <v>354</v>
      </c>
      <c r="B53" s="13" t="s">
        <v>57</v>
      </c>
      <c r="C53" s="13" t="s">
        <v>355</v>
      </c>
      <c r="D53" s="13" t="s">
        <v>166</v>
      </c>
      <c r="E53" s="13" t="s">
        <v>356</v>
      </c>
      <c r="F53" s="13"/>
      <c r="G53" s="13"/>
      <c r="H53" s="31"/>
      <c r="I53" s="33" t="n">
        <v>46287.4513409954</v>
      </c>
      <c r="J53" s="33" t="n">
        <v>46287.4513409954</v>
      </c>
      <c r="K53" s="13" t="s">
        <v>153</v>
      </c>
      <c r="L53" s="13"/>
      <c r="M53" s="13" t="s">
        <v>357</v>
      </c>
      <c r="N53" s="33" t="n">
        <v>46308.7264460648</v>
      </c>
    </row>
    <row r="54" customFormat="false" ht="15" hidden="false" customHeight="false" outlineLevel="0" collapsed="false">
      <c r="A54" s="13" t="s">
        <v>358</v>
      </c>
      <c r="B54" s="13" t="s">
        <v>57</v>
      </c>
      <c r="C54" s="13" t="s">
        <v>359</v>
      </c>
      <c r="D54" s="13" t="s">
        <v>166</v>
      </c>
      <c r="E54" s="13" t="s">
        <v>360</v>
      </c>
      <c r="F54" s="13"/>
      <c r="G54" s="13" t="s">
        <v>189</v>
      </c>
      <c r="H54" s="31"/>
      <c r="I54" s="33" t="n">
        <v>46287.384585</v>
      </c>
      <c r="J54" s="33" t="n">
        <v>46287.384585</v>
      </c>
      <c r="K54" s="13" t="s">
        <v>153</v>
      </c>
      <c r="L54" s="13"/>
      <c r="M54" s="13" t="s">
        <v>361</v>
      </c>
      <c r="N54" s="33" t="n">
        <v>46308.7264460648</v>
      </c>
    </row>
    <row r="55" customFormat="false" ht="15" hidden="false" customHeight="false" outlineLevel="0" collapsed="false">
      <c r="A55" s="13" t="s">
        <v>362</v>
      </c>
      <c r="B55" s="13" t="s">
        <v>57</v>
      </c>
      <c r="C55" s="13" t="s">
        <v>363</v>
      </c>
      <c r="D55" s="13" t="s">
        <v>166</v>
      </c>
      <c r="E55" s="13" t="s">
        <v>271</v>
      </c>
      <c r="F55" s="13"/>
      <c r="G55" s="13" t="s">
        <v>189</v>
      </c>
      <c r="H55" s="31"/>
      <c r="I55" s="33" t="n">
        <v>46282.4892843634</v>
      </c>
      <c r="J55" s="33" t="n">
        <v>46282.4892120139</v>
      </c>
      <c r="K55" s="13" t="s">
        <v>153</v>
      </c>
      <c r="L55" s="13"/>
      <c r="M55" s="13" t="s">
        <v>364</v>
      </c>
      <c r="N55" s="33" t="n">
        <v>46308.7264460648</v>
      </c>
    </row>
    <row r="56" customFormat="false" ht="15" hidden="false" customHeight="false" outlineLevel="0" collapsed="false">
      <c r="A56" s="13" t="s">
        <v>365</v>
      </c>
      <c r="B56" s="13" t="s">
        <v>57</v>
      </c>
      <c r="C56" s="13" t="s">
        <v>366</v>
      </c>
      <c r="D56" s="13" t="s">
        <v>166</v>
      </c>
      <c r="E56" s="13" t="s">
        <v>226</v>
      </c>
      <c r="F56" s="13" t="s">
        <v>59</v>
      </c>
      <c r="G56" s="13" t="s">
        <v>207</v>
      </c>
      <c r="H56" s="31"/>
      <c r="I56" s="33" t="n">
        <v>46276.4939137384</v>
      </c>
      <c r="J56" s="33" t="n">
        <v>46276.3696319329</v>
      </c>
      <c r="K56" s="13" t="s">
        <v>153</v>
      </c>
      <c r="L56" s="13" t="s">
        <v>117</v>
      </c>
      <c r="M56" s="13" t="s">
        <v>367</v>
      </c>
      <c r="N56" s="33" t="n">
        <v>46308.7264460648</v>
      </c>
    </row>
    <row r="57" customFormat="false" ht="15" hidden="false" customHeight="false" outlineLevel="0" collapsed="false">
      <c r="A57" s="13" t="s">
        <v>368</v>
      </c>
      <c r="B57" s="13" t="s">
        <v>57</v>
      </c>
      <c r="C57" s="13" t="s">
        <v>369</v>
      </c>
      <c r="D57" s="13" t="s">
        <v>166</v>
      </c>
      <c r="E57" s="13" t="s">
        <v>237</v>
      </c>
      <c r="F57" s="13"/>
      <c r="G57" s="13" t="s">
        <v>207</v>
      </c>
      <c r="H57" s="31"/>
      <c r="I57" s="33" t="n">
        <v>46275.6171388079</v>
      </c>
      <c r="J57" s="33" t="n">
        <v>46275.6169978472</v>
      </c>
      <c r="K57" s="13" t="s">
        <v>153</v>
      </c>
      <c r="L57" s="13"/>
      <c r="M57" s="13" t="s">
        <v>370</v>
      </c>
      <c r="N57" s="33" t="n">
        <v>46308.7264460648</v>
      </c>
    </row>
    <row r="58" customFormat="false" ht="15" hidden="false" customHeight="false" outlineLevel="0" collapsed="false">
      <c r="A58" s="13" t="s">
        <v>371</v>
      </c>
      <c r="B58" s="13" t="s">
        <v>57</v>
      </c>
      <c r="C58" s="13" t="s">
        <v>372</v>
      </c>
      <c r="D58" s="13" t="s">
        <v>166</v>
      </c>
      <c r="E58" s="13" t="s">
        <v>237</v>
      </c>
      <c r="F58" s="13"/>
      <c r="G58" s="13" t="s">
        <v>207</v>
      </c>
      <c r="H58" s="31"/>
      <c r="I58" s="33" t="n">
        <v>46275.4068930903</v>
      </c>
      <c r="J58" s="33" t="n">
        <v>46275.4068930903</v>
      </c>
      <c r="K58" s="13" t="s">
        <v>153</v>
      </c>
      <c r="L58" s="13"/>
      <c r="M58" s="13" t="s">
        <v>373</v>
      </c>
      <c r="N58" s="33" t="n">
        <v>46308.7264460648</v>
      </c>
    </row>
    <row r="59" customFormat="false" ht="15" hidden="false" customHeight="false" outlineLevel="0" collapsed="false">
      <c r="A59" s="13" t="s">
        <v>374</v>
      </c>
      <c r="B59" s="13" t="s">
        <v>57</v>
      </c>
      <c r="C59" s="13" t="s">
        <v>375</v>
      </c>
      <c r="D59" s="13" t="s">
        <v>278</v>
      </c>
      <c r="E59" s="13" t="s">
        <v>226</v>
      </c>
      <c r="F59" s="13" t="s">
        <v>158</v>
      </c>
      <c r="G59" s="13" t="s">
        <v>159</v>
      </c>
      <c r="H59" s="31"/>
      <c r="I59" s="33" t="n">
        <v>46275.3883547801</v>
      </c>
      <c r="J59" s="33"/>
      <c r="K59" s="13" t="s">
        <v>153</v>
      </c>
      <c r="L59" s="13"/>
      <c r="M59" s="13" t="s">
        <v>376</v>
      </c>
      <c r="N59" s="33" t="n">
        <v>46308.7264460648</v>
      </c>
    </row>
    <row r="60" customFormat="false" ht="15" hidden="false" customHeight="false" outlineLevel="0" collapsed="false">
      <c r="A60" s="13" t="s">
        <v>377</v>
      </c>
      <c r="B60" s="13" t="s">
        <v>57</v>
      </c>
      <c r="C60" s="13" t="s">
        <v>378</v>
      </c>
      <c r="D60" s="13" t="s">
        <v>166</v>
      </c>
      <c r="E60" s="13" t="s">
        <v>305</v>
      </c>
      <c r="F60" s="13"/>
      <c r="G60" s="13"/>
      <c r="H60" s="31"/>
      <c r="I60" s="33" t="n">
        <v>46275.3851393403</v>
      </c>
      <c r="J60" s="33" t="n">
        <v>46275.3850437037</v>
      </c>
      <c r="K60" s="13" t="s">
        <v>153</v>
      </c>
      <c r="L60" s="13"/>
      <c r="M60" s="13" t="s">
        <v>379</v>
      </c>
      <c r="N60" s="33" t="n">
        <v>46308.7264460648</v>
      </c>
    </row>
    <row r="61" customFormat="false" ht="15" hidden="false" customHeight="false" outlineLevel="0" collapsed="false">
      <c r="A61" s="13" t="s">
        <v>380</v>
      </c>
      <c r="B61" s="13" t="s">
        <v>57</v>
      </c>
      <c r="C61" s="13" t="s">
        <v>381</v>
      </c>
      <c r="D61" s="13" t="s">
        <v>166</v>
      </c>
      <c r="E61" s="13" t="s">
        <v>237</v>
      </c>
      <c r="F61" s="13"/>
      <c r="G61" s="13" t="s">
        <v>189</v>
      </c>
      <c r="H61" s="31"/>
      <c r="I61" s="33" t="n">
        <v>46274.4974793056</v>
      </c>
      <c r="J61" s="33" t="n">
        <v>46274.4974392477</v>
      </c>
      <c r="K61" s="13" t="s">
        <v>153</v>
      </c>
      <c r="L61" s="13"/>
      <c r="M61" s="13" t="s">
        <v>382</v>
      </c>
      <c r="N61" s="33" t="n">
        <v>46308.7264460648</v>
      </c>
    </row>
    <row r="62" customFormat="false" ht="15" hidden="false" customHeight="false" outlineLevel="0" collapsed="false">
      <c r="A62" s="13" t="s">
        <v>383</v>
      </c>
      <c r="B62" s="13" t="s">
        <v>57</v>
      </c>
      <c r="C62" s="13" t="s">
        <v>384</v>
      </c>
      <c r="D62" s="13" t="s">
        <v>166</v>
      </c>
      <c r="E62" s="13" t="s">
        <v>284</v>
      </c>
      <c r="F62" s="13" t="s">
        <v>158</v>
      </c>
      <c r="G62" s="13" t="s">
        <v>207</v>
      </c>
      <c r="H62" s="31"/>
      <c r="I62" s="33" t="n">
        <v>46274.4940050116</v>
      </c>
      <c r="J62" s="33" t="n">
        <v>46274.4940050116</v>
      </c>
      <c r="K62" s="13" t="s">
        <v>153</v>
      </c>
      <c r="L62" s="13"/>
      <c r="M62" s="13" t="s">
        <v>385</v>
      </c>
      <c r="N62" s="33" t="n">
        <v>46308.7264460648</v>
      </c>
    </row>
    <row r="63" customFormat="false" ht="15" hidden="false" customHeight="false" outlineLevel="0" collapsed="false">
      <c r="A63" s="13" t="s">
        <v>386</v>
      </c>
      <c r="B63" s="13" t="s">
        <v>57</v>
      </c>
      <c r="C63" s="13" t="s">
        <v>387</v>
      </c>
      <c r="D63" s="13" t="s">
        <v>166</v>
      </c>
      <c r="E63" s="13" t="s">
        <v>388</v>
      </c>
      <c r="F63" s="13"/>
      <c r="G63" s="13" t="s">
        <v>189</v>
      </c>
      <c r="H63" s="31"/>
      <c r="I63" s="33" t="n">
        <v>46274.4538554861</v>
      </c>
      <c r="J63" s="33" t="n">
        <v>46274.4188366088</v>
      </c>
      <c r="K63" s="13" t="s">
        <v>153</v>
      </c>
      <c r="L63" s="13"/>
      <c r="M63" s="13" t="s">
        <v>389</v>
      </c>
      <c r="N63" s="33" t="n">
        <v>46308.7264460648</v>
      </c>
    </row>
    <row r="64" customFormat="false" ht="15" hidden="false" customHeight="false" outlineLevel="0" collapsed="false">
      <c r="A64" s="13" t="s">
        <v>390</v>
      </c>
      <c r="B64" s="13" t="s">
        <v>57</v>
      </c>
      <c r="C64" s="13" t="s">
        <v>391</v>
      </c>
      <c r="D64" s="13" t="s">
        <v>152</v>
      </c>
      <c r="E64" s="13" t="s">
        <v>392</v>
      </c>
      <c r="F64" s="13" t="s">
        <v>158</v>
      </c>
      <c r="G64" s="13" t="s">
        <v>393</v>
      </c>
      <c r="H64" s="31"/>
      <c r="I64" s="33" t="n">
        <v>46274.4523721181</v>
      </c>
      <c r="J64" s="33"/>
      <c r="K64" s="13" t="s">
        <v>153</v>
      </c>
      <c r="L64" s="13"/>
      <c r="M64" s="13" t="s">
        <v>394</v>
      </c>
      <c r="N64" s="33" t="n">
        <v>46308.7264460648</v>
      </c>
    </row>
    <row r="65" customFormat="false" ht="15" hidden="false" customHeight="false" outlineLevel="0" collapsed="false">
      <c r="A65" s="13" t="s">
        <v>395</v>
      </c>
      <c r="B65" s="13" t="s">
        <v>57</v>
      </c>
      <c r="C65" s="13" t="s">
        <v>396</v>
      </c>
      <c r="D65" s="13" t="s">
        <v>166</v>
      </c>
      <c r="E65" s="13" t="s">
        <v>397</v>
      </c>
      <c r="F65" s="13"/>
      <c r="G65" s="13"/>
      <c r="H65" s="31"/>
      <c r="I65" s="33" t="n">
        <v>46274.4522448495</v>
      </c>
      <c r="J65" s="33" t="n">
        <v>46274.4522448495</v>
      </c>
      <c r="K65" s="13" t="s">
        <v>153</v>
      </c>
      <c r="L65" s="13"/>
      <c r="M65" s="13" t="s">
        <v>398</v>
      </c>
      <c r="N65" s="33" t="n">
        <v>46308.7264460648</v>
      </c>
    </row>
    <row r="66" customFormat="false" ht="15" hidden="false" customHeight="false" outlineLevel="0" collapsed="false">
      <c r="A66" s="13" t="s">
        <v>399</v>
      </c>
      <c r="B66" s="13" t="s">
        <v>57</v>
      </c>
      <c r="C66" s="13" t="s">
        <v>400</v>
      </c>
      <c r="D66" s="13" t="s">
        <v>166</v>
      </c>
      <c r="E66" s="13" t="s">
        <v>237</v>
      </c>
      <c r="F66" s="13" t="s">
        <v>401</v>
      </c>
      <c r="G66" s="13" t="s">
        <v>189</v>
      </c>
      <c r="H66" s="31" t="n">
        <v>46269</v>
      </c>
      <c r="I66" s="33" t="n">
        <v>46273.648488125</v>
      </c>
      <c r="J66" s="33" t="n">
        <v>46273.648488125</v>
      </c>
      <c r="K66" s="13" t="s">
        <v>153</v>
      </c>
      <c r="L66" s="13"/>
      <c r="M66" s="13" t="s">
        <v>402</v>
      </c>
      <c r="N66" s="33" t="n">
        <v>46308.7264460648</v>
      </c>
    </row>
    <row r="67" customFormat="false" ht="15" hidden="false" customHeight="false" outlineLevel="0" collapsed="false">
      <c r="A67" s="13" t="s">
        <v>403</v>
      </c>
      <c r="B67" s="13" t="s">
        <v>57</v>
      </c>
      <c r="C67" s="13" t="s">
        <v>404</v>
      </c>
      <c r="D67" s="13" t="s">
        <v>166</v>
      </c>
      <c r="E67" s="13" t="s">
        <v>284</v>
      </c>
      <c r="F67" s="13"/>
      <c r="G67" s="13" t="s">
        <v>189</v>
      </c>
      <c r="H67" s="31"/>
      <c r="I67" s="33" t="n">
        <v>46268.6174184144</v>
      </c>
      <c r="J67" s="33" t="n">
        <v>46268.6174184144</v>
      </c>
      <c r="K67" s="13" t="s">
        <v>153</v>
      </c>
      <c r="L67" s="13"/>
      <c r="M67" s="13" t="s">
        <v>405</v>
      </c>
      <c r="N67" s="33" t="n">
        <v>46308.7264460648</v>
      </c>
    </row>
    <row r="68" customFormat="false" ht="15" hidden="false" customHeight="false" outlineLevel="0" collapsed="false">
      <c r="A68" s="13" t="s">
        <v>406</v>
      </c>
      <c r="B68" s="13" t="s">
        <v>57</v>
      </c>
      <c r="C68" s="13" t="s">
        <v>407</v>
      </c>
      <c r="D68" s="13" t="s">
        <v>166</v>
      </c>
      <c r="E68" s="13" t="s">
        <v>95</v>
      </c>
      <c r="F68" s="13"/>
      <c r="G68" s="13" t="s">
        <v>207</v>
      </c>
      <c r="H68" s="31"/>
      <c r="I68" s="33" t="n">
        <v>46268.376403044</v>
      </c>
      <c r="J68" s="33" t="n">
        <v>46174.6340759375</v>
      </c>
      <c r="K68" s="13" t="s">
        <v>153</v>
      </c>
      <c r="L68" s="13"/>
      <c r="M68" s="13" t="s">
        <v>408</v>
      </c>
      <c r="N68" s="33" t="n">
        <v>46308.7264460648</v>
      </c>
    </row>
    <row r="69" customFormat="false" ht="15" hidden="false" customHeight="false" outlineLevel="0" collapsed="false">
      <c r="A69" s="13" t="s">
        <v>409</v>
      </c>
      <c r="B69" s="13" t="s">
        <v>57</v>
      </c>
      <c r="C69" s="13" t="s">
        <v>410</v>
      </c>
      <c r="D69" s="13" t="s">
        <v>166</v>
      </c>
      <c r="E69" s="13" t="s">
        <v>206</v>
      </c>
      <c r="F69" s="13"/>
      <c r="G69" s="13" t="s">
        <v>159</v>
      </c>
      <c r="H69" s="31"/>
      <c r="I69" s="33" t="n">
        <v>46262.60834125</v>
      </c>
      <c r="J69" s="33" t="n">
        <v>46262.6082520255</v>
      </c>
      <c r="K69" s="13" t="s">
        <v>153</v>
      </c>
      <c r="L69" s="13"/>
      <c r="M69" s="13" t="s">
        <v>411</v>
      </c>
      <c r="N69" s="33" t="n">
        <v>46308.7264460648</v>
      </c>
    </row>
    <row r="70" customFormat="false" ht="15" hidden="false" customHeight="false" outlineLevel="0" collapsed="false">
      <c r="A70" s="13" t="s">
        <v>412</v>
      </c>
      <c r="B70" s="13" t="s">
        <v>57</v>
      </c>
      <c r="C70" s="13" t="s">
        <v>413</v>
      </c>
      <c r="D70" s="13" t="s">
        <v>166</v>
      </c>
      <c r="E70" s="13" t="s">
        <v>414</v>
      </c>
      <c r="F70" s="13"/>
      <c r="G70" s="13"/>
      <c r="H70" s="31"/>
      <c r="I70" s="33" t="n">
        <v>46258.5935965857</v>
      </c>
      <c r="J70" s="33" t="n">
        <v>46258.5935965857</v>
      </c>
      <c r="K70" s="13" t="s">
        <v>153</v>
      </c>
      <c r="L70" s="13"/>
      <c r="M70" s="13" t="s">
        <v>415</v>
      </c>
      <c r="N70" s="33" t="n">
        <v>46308.7264460648</v>
      </c>
    </row>
    <row r="71" customFormat="false" ht="15" hidden="false" customHeight="false" outlineLevel="0" collapsed="false">
      <c r="A71" s="13" t="s">
        <v>416</v>
      </c>
      <c r="B71" s="13" t="s">
        <v>57</v>
      </c>
      <c r="C71" s="13" t="s">
        <v>417</v>
      </c>
      <c r="D71" s="13" t="s">
        <v>278</v>
      </c>
      <c r="E71" s="13" t="s">
        <v>418</v>
      </c>
      <c r="F71" s="13"/>
      <c r="G71" s="13"/>
      <c r="H71" s="31"/>
      <c r="I71" s="33" t="n">
        <v>46255.4778960417</v>
      </c>
      <c r="J71" s="33"/>
      <c r="K71" s="13" t="s">
        <v>153</v>
      </c>
      <c r="L71" s="13"/>
      <c r="M71" s="13" t="s">
        <v>419</v>
      </c>
      <c r="N71" s="33" t="n">
        <v>46308.7264460648</v>
      </c>
    </row>
    <row r="72" customFormat="false" ht="15" hidden="false" customHeight="false" outlineLevel="0" collapsed="false">
      <c r="A72" s="13" t="s">
        <v>420</v>
      </c>
      <c r="B72" s="13" t="s">
        <v>57</v>
      </c>
      <c r="C72" s="13" t="s">
        <v>421</v>
      </c>
      <c r="D72" s="13" t="s">
        <v>166</v>
      </c>
      <c r="E72" s="13" t="s">
        <v>422</v>
      </c>
      <c r="F72" s="13"/>
      <c r="G72" s="13" t="s">
        <v>189</v>
      </c>
      <c r="H72" s="31" t="n">
        <v>46255</v>
      </c>
      <c r="I72" s="33" t="n">
        <v>46254.6704362963</v>
      </c>
      <c r="J72" s="33" t="n">
        <v>46254.6704362963</v>
      </c>
      <c r="K72" s="13" t="s">
        <v>153</v>
      </c>
      <c r="L72" s="13"/>
      <c r="M72" s="13" t="s">
        <v>423</v>
      </c>
      <c r="N72" s="33" t="n">
        <v>46308.7264460648</v>
      </c>
    </row>
    <row r="73" customFormat="false" ht="15" hidden="false" customHeight="false" outlineLevel="0" collapsed="false">
      <c r="A73" s="13" t="s">
        <v>424</v>
      </c>
      <c r="B73" s="13" t="s">
        <v>57</v>
      </c>
      <c r="C73" s="13" t="s">
        <v>425</v>
      </c>
      <c r="D73" s="13" t="s">
        <v>166</v>
      </c>
      <c r="E73" s="13" t="s">
        <v>426</v>
      </c>
      <c r="F73" s="13"/>
      <c r="G73" s="13"/>
      <c r="H73" s="31"/>
      <c r="I73" s="33" t="n">
        <v>46252.3989639005</v>
      </c>
      <c r="J73" s="33" t="n">
        <v>46252.3989639005</v>
      </c>
      <c r="K73" s="13" t="s">
        <v>153</v>
      </c>
      <c r="L73" s="13"/>
      <c r="M73" s="13" t="s">
        <v>427</v>
      </c>
      <c r="N73" s="33" t="n">
        <v>46308.7264460648</v>
      </c>
    </row>
    <row r="74" customFormat="false" ht="15" hidden="false" customHeight="false" outlineLevel="0" collapsed="false">
      <c r="A74" s="13" t="s">
        <v>428</v>
      </c>
      <c r="B74" s="13" t="s">
        <v>57</v>
      </c>
      <c r="C74" s="13" t="s">
        <v>429</v>
      </c>
      <c r="D74" s="13" t="s">
        <v>166</v>
      </c>
      <c r="E74" s="13" t="s">
        <v>430</v>
      </c>
      <c r="F74" s="13"/>
      <c r="G74" s="13" t="s">
        <v>207</v>
      </c>
      <c r="H74" s="31"/>
      <c r="I74" s="33" t="n">
        <v>46247.6488215972</v>
      </c>
      <c r="J74" s="33" t="n">
        <v>46247.6488215972</v>
      </c>
      <c r="K74" s="13" t="s">
        <v>153</v>
      </c>
      <c r="L74" s="13"/>
      <c r="M74" s="13" t="s">
        <v>431</v>
      </c>
      <c r="N74" s="33" t="n">
        <v>46308.7264460648</v>
      </c>
    </row>
    <row r="75" customFormat="false" ht="15" hidden="false" customHeight="false" outlineLevel="0" collapsed="false">
      <c r="A75" s="13" t="s">
        <v>432</v>
      </c>
      <c r="B75" s="13" t="s">
        <v>57</v>
      </c>
      <c r="C75" s="13" t="s">
        <v>433</v>
      </c>
      <c r="D75" s="13" t="s">
        <v>166</v>
      </c>
      <c r="E75" s="13" t="s">
        <v>360</v>
      </c>
      <c r="F75" s="13"/>
      <c r="G75" s="13" t="s">
        <v>159</v>
      </c>
      <c r="H75" s="31"/>
      <c r="I75" s="33" t="n">
        <v>46246.4095483912</v>
      </c>
      <c r="J75" s="33" t="n">
        <v>46246.4095483912</v>
      </c>
      <c r="K75" s="13" t="s">
        <v>153</v>
      </c>
      <c r="L75" s="13"/>
      <c r="M75" s="13" t="s">
        <v>434</v>
      </c>
      <c r="N75" s="33" t="n">
        <v>46308.7264460648</v>
      </c>
    </row>
    <row r="76" customFormat="false" ht="15" hidden="false" customHeight="false" outlineLevel="0" collapsed="false">
      <c r="A76" s="13" t="s">
        <v>435</v>
      </c>
      <c r="B76" s="13" t="s">
        <v>57</v>
      </c>
      <c r="C76" s="13" t="s">
        <v>436</v>
      </c>
      <c r="D76" s="13" t="s">
        <v>166</v>
      </c>
      <c r="E76" s="13" t="s">
        <v>339</v>
      </c>
      <c r="F76" s="13" t="s">
        <v>437</v>
      </c>
      <c r="G76" s="13"/>
      <c r="H76" s="31"/>
      <c r="I76" s="33" t="n">
        <v>46245.6970218982</v>
      </c>
      <c r="J76" s="33" t="n">
        <v>46245.6970218982</v>
      </c>
      <c r="K76" s="13" t="s">
        <v>153</v>
      </c>
      <c r="L76" s="13"/>
      <c r="M76" s="13" t="s">
        <v>438</v>
      </c>
      <c r="N76" s="33" t="n">
        <v>46308.7264460648</v>
      </c>
    </row>
    <row r="77" customFormat="false" ht="15" hidden="false" customHeight="false" outlineLevel="0" collapsed="false">
      <c r="A77" s="13" t="s">
        <v>439</v>
      </c>
      <c r="B77" s="13" t="s">
        <v>57</v>
      </c>
      <c r="C77" s="13" t="s">
        <v>440</v>
      </c>
      <c r="D77" s="13" t="s">
        <v>166</v>
      </c>
      <c r="E77" s="13" t="s">
        <v>317</v>
      </c>
      <c r="F77" s="13" t="s">
        <v>60</v>
      </c>
      <c r="G77" s="13" t="s">
        <v>207</v>
      </c>
      <c r="H77" s="31"/>
      <c r="I77" s="33" t="n">
        <v>46245.6964571644</v>
      </c>
      <c r="J77" s="33" t="n">
        <v>46245.6964571644</v>
      </c>
      <c r="K77" s="13" t="s">
        <v>153</v>
      </c>
      <c r="L77" s="13" t="s">
        <v>280</v>
      </c>
      <c r="M77" s="13" t="s">
        <v>441</v>
      </c>
      <c r="N77" s="33" t="n">
        <v>46308.7264460648</v>
      </c>
    </row>
    <row r="78" customFormat="false" ht="15" hidden="false" customHeight="false" outlineLevel="0" collapsed="false">
      <c r="A78" s="13" t="s">
        <v>442</v>
      </c>
      <c r="B78" s="13" t="s">
        <v>57</v>
      </c>
      <c r="C78" s="13" t="s">
        <v>443</v>
      </c>
      <c r="D78" s="13" t="s">
        <v>278</v>
      </c>
      <c r="E78" s="13" t="s">
        <v>317</v>
      </c>
      <c r="F78" s="13"/>
      <c r="G78" s="13" t="s">
        <v>189</v>
      </c>
      <c r="H78" s="31"/>
      <c r="I78" s="33" t="n">
        <v>46245.6960768403</v>
      </c>
      <c r="J78" s="33"/>
      <c r="K78" s="13" t="s">
        <v>153</v>
      </c>
      <c r="L78" s="13"/>
      <c r="M78" s="13" t="s">
        <v>444</v>
      </c>
      <c r="N78" s="33" t="n">
        <v>46308.7264460648</v>
      </c>
    </row>
    <row r="79" customFormat="false" ht="15" hidden="false" customHeight="false" outlineLevel="0" collapsed="false">
      <c r="A79" s="13" t="s">
        <v>445</v>
      </c>
      <c r="B79" s="13" t="s">
        <v>57</v>
      </c>
      <c r="C79" s="13" t="s">
        <v>381</v>
      </c>
      <c r="D79" s="13" t="s">
        <v>166</v>
      </c>
      <c r="E79" s="13" t="s">
        <v>339</v>
      </c>
      <c r="F79" s="13"/>
      <c r="G79" s="13" t="s">
        <v>207</v>
      </c>
      <c r="H79" s="31"/>
      <c r="I79" s="33" t="n">
        <v>46245.4084368056</v>
      </c>
      <c r="J79" s="33" t="n">
        <v>46245.4071562847</v>
      </c>
      <c r="K79" s="13" t="s">
        <v>153</v>
      </c>
      <c r="L79" s="13"/>
      <c r="M79" s="13" t="s">
        <v>446</v>
      </c>
      <c r="N79" s="33" t="n">
        <v>46308.7264460648</v>
      </c>
    </row>
    <row r="80" customFormat="false" ht="15" hidden="false" customHeight="false" outlineLevel="0" collapsed="false">
      <c r="A80" s="13" t="s">
        <v>447</v>
      </c>
      <c r="B80" s="13" t="s">
        <v>57</v>
      </c>
      <c r="C80" s="13" t="s">
        <v>448</v>
      </c>
      <c r="D80" s="13" t="s">
        <v>166</v>
      </c>
      <c r="E80" s="13" t="s">
        <v>449</v>
      </c>
      <c r="F80" s="13"/>
      <c r="G80" s="13"/>
      <c r="H80" s="31"/>
      <c r="I80" s="33" t="n">
        <v>46244.6627317477</v>
      </c>
      <c r="J80" s="33" t="n">
        <v>46244.6627317477</v>
      </c>
      <c r="K80" s="13" t="s">
        <v>153</v>
      </c>
      <c r="L80" s="13"/>
      <c r="M80" s="13" t="s">
        <v>450</v>
      </c>
      <c r="N80" s="33" t="n">
        <v>46308.7264460648</v>
      </c>
    </row>
    <row r="81" customFormat="false" ht="15" hidden="false" customHeight="false" outlineLevel="0" collapsed="false">
      <c r="A81" s="13" t="s">
        <v>451</v>
      </c>
      <c r="B81" s="13" t="s">
        <v>57</v>
      </c>
      <c r="C81" s="13" t="s">
        <v>452</v>
      </c>
      <c r="D81" s="13" t="s">
        <v>166</v>
      </c>
      <c r="E81" s="13" t="s">
        <v>453</v>
      </c>
      <c r="F81" s="13" t="s">
        <v>437</v>
      </c>
      <c r="G81" s="13"/>
      <c r="H81" s="31"/>
      <c r="I81" s="33" t="n">
        <v>46244.6596124074</v>
      </c>
      <c r="J81" s="33" t="n">
        <v>46244.6596124074</v>
      </c>
      <c r="K81" s="13" t="s">
        <v>153</v>
      </c>
      <c r="L81" s="13"/>
      <c r="M81" s="13" t="s">
        <v>454</v>
      </c>
      <c r="N81" s="33" t="n">
        <v>46308.7264460648</v>
      </c>
    </row>
    <row r="82" customFormat="false" ht="15" hidden="false" customHeight="false" outlineLevel="0" collapsed="false">
      <c r="A82" s="13" t="s">
        <v>455</v>
      </c>
      <c r="B82" s="13" t="s">
        <v>57</v>
      </c>
      <c r="C82" s="13" t="s">
        <v>456</v>
      </c>
      <c r="D82" s="13" t="s">
        <v>166</v>
      </c>
      <c r="E82" s="13" t="s">
        <v>226</v>
      </c>
      <c r="F82" s="13"/>
      <c r="G82" s="13"/>
      <c r="H82" s="31"/>
      <c r="I82" s="33" t="n">
        <v>46238.6097787269</v>
      </c>
      <c r="J82" s="33" t="n">
        <v>46238.6097787269</v>
      </c>
      <c r="K82" s="13" t="s">
        <v>153</v>
      </c>
      <c r="L82" s="13"/>
      <c r="M82" s="13" t="s">
        <v>457</v>
      </c>
      <c r="N82" s="33" t="n">
        <v>46308.7264460648</v>
      </c>
    </row>
    <row r="83" customFormat="false" ht="15" hidden="false" customHeight="false" outlineLevel="0" collapsed="false">
      <c r="A83" s="13" t="s">
        <v>458</v>
      </c>
      <c r="B83" s="13" t="s">
        <v>57</v>
      </c>
      <c r="C83" s="13" t="s">
        <v>459</v>
      </c>
      <c r="D83" s="13" t="s">
        <v>166</v>
      </c>
      <c r="E83" s="13" t="s">
        <v>317</v>
      </c>
      <c r="F83" s="13"/>
      <c r="G83" s="13" t="s">
        <v>207</v>
      </c>
      <c r="H83" s="31"/>
      <c r="I83" s="33" t="n">
        <v>46238.6043716088</v>
      </c>
      <c r="J83" s="33" t="n">
        <v>46238.6043716088</v>
      </c>
      <c r="K83" s="13" t="s">
        <v>153</v>
      </c>
      <c r="L83" s="13"/>
      <c r="M83" s="13" t="s">
        <v>460</v>
      </c>
      <c r="N83" s="33" t="n">
        <v>46308.7264460648</v>
      </c>
    </row>
    <row r="84" customFormat="false" ht="15" hidden="false" customHeight="false" outlineLevel="0" collapsed="false">
      <c r="A84" s="13" t="s">
        <v>461</v>
      </c>
      <c r="B84" s="13" t="s">
        <v>57</v>
      </c>
      <c r="C84" s="13" t="s">
        <v>462</v>
      </c>
      <c r="D84" s="13" t="s">
        <v>166</v>
      </c>
      <c r="E84" s="13" t="s">
        <v>284</v>
      </c>
      <c r="F84" s="13"/>
      <c r="G84" s="13"/>
      <c r="H84" s="31"/>
      <c r="I84" s="33" t="n">
        <v>46238.3614360185</v>
      </c>
      <c r="J84" s="33" t="n">
        <v>46210.6410237963</v>
      </c>
      <c r="K84" s="13" t="s">
        <v>153</v>
      </c>
      <c r="L84" s="13"/>
      <c r="M84" s="13" t="s">
        <v>463</v>
      </c>
      <c r="N84" s="33" t="n">
        <v>46308.7264460648</v>
      </c>
    </row>
    <row r="85" customFormat="false" ht="15" hidden="false" customHeight="false" outlineLevel="0" collapsed="false">
      <c r="A85" s="13" t="s">
        <v>464</v>
      </c>
      <c r="B85" s="13" t="s">
        <v>57</v>
      </c>
      <c r="C85" s="13" t="s">
        <v>465</v>
      </c>
      <c r="D85" s="13" t="s">
        <v>166</v>
      </c>
      <c r="E85" s="13" t="s">
        <v>466</v>
      </c>
      <c r="F85" s="13"/>
      <c r="G85" s="13"/>
      <c r="H85" s="31"/>
      <c r="I85" s="33" t="n">
        <v>46237.5964392014</v>
      </c>
      <c r="J85" s="33" t="n">
        <v>46237.5964392014</v>
      </c>
      <c r="K85" s="13" t="s">
        <v>153</v>
      </c>
      <c r="L85" s="13"/>
      <c r="M85" s="13" t="s">
        <v>467</v>
      </c>
      <c r="N85" s="33" t="n">
        <v>46308.7264460648</v>
      </c>
    </row>
    <row r="86" customFormat="false" ht="15" hidden="false" customHeight="false" outlineLevel="0" collapsed="false">
      <c r="A86" s="13" t="s">
        <v>468</v>
      </c>
      <c r="B86" s="13" t="s">
        <v>57</v>
      </c>
      <c r="C86" s="13" t="s">
        <v>469</v>
      </c>
      <c r="D86" s="13" t="s">
        <v>166</v>
      </c>
      <c r="E86" s="13" t="s">
        <v>470</v>
      </c>
      <c r="F86" s="13"/>
      <c r="G86" s="13"/>
      <c r="H86" s="31"/>
      <c r="I86" s="33" t="n">
        <v>46233.6908144213</v>
      </c>
      <c r="J86" s="33" t="n">
        <v>46233.6908144213</v>
      </c>
      <c r="K86" s="13" t="s">
        <v>153</v>
      </c>
      <c r="L86" s="13"/>
      <c r="M86" s="13" t="s">
        <v>471</v>
      </c>
      <c r="N86" s="33" t="n">
        <v>46308.7264460648</v>
      </c>
    </row>
    <row r="87" customFormat="false" ht="15" hidden="false" customHeight="false" outlineLevel="0" collapsed="false">
      <c r="A87" s="13" t="s">
        <v>472</v>
      </c>
      <c r="B87" s="13" t="s">
        <v>57</v>
      </c>
      <c r="C87" s="13" t="s">
        <v>473</v>
      </c>
      <c r="D87" s="13" t="s">
        <v>166</v>
      </c>
      <c r="E87" s="13" t="s">
        <v>237</v>
      </c>
      <c r="F87" s="13"/>
      <c r="G87" s="13"/>
      <c r="H87" s="31"/>
      <c r="I87" s="33" t="n">
        <v>46233.541662257</v>
      </c>
      <c r="J87" s="33" t="n">
        <v>46233.541662257</v>
      </c>
      <c r="K87" s="13" t="s">
        <v>153</v>
      </c>
      <c r="L87" s="13"/>
      <c r="M87" s="13" t="s">
        <v>474</v>
      </c>
      <c r="N87" s="33" t="n">
        <v>46308.7264460648</v>
      </c>
    </row>
    <row r="88" customFormat="false" ht="15" hidden="false" customHeight="false" outlineLevel="0" collapsed="false">
      <c r="A88" s="13" t="s">
        <v>475</v>
      </c>
      <c r="B88" s="13" t="s">
        <v>57</v>
      </c>
      <c r="C88" s="13" t="s">
        <v>476</v>
      </c>
      <c r="D88" s="13" t="s">
        <v>166</v>
      </c>
      <c r="E88" s="13" t="s">
        <v>317</v>
      </c>
      <c r="F88" s="13"/>
      <c r="G88" s="13" t="s">
        <v>189</v>
      </c>
      <c r="H88" s="31"/>
      <c r="I88" s="33" t="n">
        <v>46230.4407132986</v>
      </c>
      <c r="J88" s="33" t="n">
        <v>46230.4407132986</v>
      </c>
      <c r="K88" s="13" t="s">
        <v>153</v>
      </c>
      <c r="L88" s="13"/>
      <c r="M88" s="13" t="s">
        <v>477</v>
      </c>
      <c r="N88" s="33" t="n">
        <v>46308.7264460648</v>
      </c>
    </row>
    <row r="89" customFormat="false" ht="15" hidden="false" customHeight="false" outlineLevel="0" collapsed="false">
      <c r="A89" s="13" t="s">
        <v>478</v>
      </c>
      <c r="B89" s="13" t="s">
        <v>57</v>
      </c>
      <c r="C89" s="13" t="s">
        <v>479</v>
      </c>
      <c r="D89" s="13" t="s">
        <v>166</v>
      </c>
      <c r="E89" s="13" t="s">
        <v>480</v>
      </c>
      <c r="F89" s="13"/>
      <c r="G89" s="13" t="s">
        <v>189</v>
      </c>
      <c r="H89" s="31"/>
      <c r="I89" s="33" t="n">
        <v>46230.3786999769</v>
      </c>
      <c r="J89" s="33" t="n">
        <v>46230.3786973611</v>
      </c>
      <c r="K89" s="13" t="s">
        <v>153</v>
      </c>
      <c r="L89" s="13"/>
      <c r="M89" s="13" t="s">
        <v>481</v>
      </c>
      <c r="N89" s="33" t="n">
        <v>46308.7264460648</v>
      </c>
    </row>
    <row r="90" customFormat="false" ht="15" hidden="false" customHeight="false" outlineLevel="0" collapsed="false">
      <c r="A90" s="13" t="s">
        <v>482</v>
      </c>
      <c r="B90" s="13" t="s">
        <v>57</v>
      </c>
      <c r="C90" s="13" t="s">
        <v>483</v>
      </c>
      <c r="D90" s="13" t="s">
        <v>166</v>
      </c>
      <c r="E90" s="13" t="s">
        <v>484</v>
      </c>
      <c r="F90" s="13" t="s">
        <v>485</v>
      </c>
      <c r="G90" s="13" t="s">
        <v>159</v>
      </c>
      <c r="H90" s="31" t="n">
        <v>46217</v>
      </c>
      <c r="I90" s="33" t="n">
        <v>46226.6314431597</v>
      </c>
      <c r="J90" s="33" t="n">
        <v>46226.6314431597</v>
      </c>
      <c r="K90" s="13" t="s">
        <v>153</v>
      </c>
      <c r="L90" s="13"/>
      <c r="M90" s="13" t="s">
        <v>486</v>
      </c>
      <c r="N90" s="33" t="n">
        <v>46308.7264460648</v>
      </c>
    </row>
    <row r="91" customFormat="false" ht="15" hidden="false" customHeight="false" outlineLevel="0" collapsed="false">
      <c r="A91" s="13" t="s">
        <v>487</v>
      </c>
      <c r="B91" s="13" t="s">
        <v>57</v>
      </c>
      <c r="C91" s="13" t="s">
        <v>488</v>
      </c>
      <c r="D91" s="13" t="s">
        <v>166</v>
      </c>
      <c r="E91" s="13" t="s">
        <v>453</v>
      </c>
      <c r="F91" s="13" t="s">
        <v>485</v>
      </c>
      <c r="G91" s="13"/>
      <c r="H91" s="31"/>
      <c r="I91" s="33" t="n">
        <v>46226.4410709144</v>
      </c>
      <c r="J91" s="33" t="n">
        <v>46226.4410709144</v>
      </c>
      <c r="K91" s="13" t="s">
        <v>153</v>
      </c>
      <c r="L91" s="13"/>
      <c r="M91" s="13" t="s">
        <v>489</v>
      </c>
      <c r="N91" s="33" t="n">
        <v>46308.7264460648</v>
      </c>
    </row>
    <row r="92" customFormat="false" ht="15" hidden="false" customHeight="false" outlineLevel="0" collapsed="false">
      <c r="A92" s="13" t="s">
        <v>490</v>
      </c>
      <c r="B92" s="13" t="s">
        <v>57</v>
      </c>
      <c r="C92" s="13" t="s">
        <v>491</v>
      </c>
      <c r="D92" s="13" t="s">
        <v>166</v>
      </c>
      <c r="E92" s="13" t="s">
        <v>492</v>
      </c>
      <c r="F92" s="13"/>
      <c r="G92" s="13"/>
      <c r="H92" s="31" t="n">
        <v>46171</v>
      </c>
      <c r="I92" s="33" t="n">
        <v>46226.4200176273</v>
      </c>
      <c r="J92" s="33" t="n">
        <v>46226.4200176273</v>
      </c>
      <c r="K92" s="13" t="s">
        <v>153</v>
      </c>
      <c r="L92" s="13"/>
      <c r="M92" s="13" t="s">
        <v>493</v>
      </c>
      <c r="N92" s="33" t="n">
        <v>46308.7264460648</v>
      </c>
    </row>
    <row r="93" customFormat="false" ht="15" hidden="false" customHeight="false" outlineLevel="0" collapsed="false">
      <c r="A93" s="13" t="s">
        <v>494</v>
      </c>
      <c r="B93" s="13" t="s">
        <v>57</v>
      </c>
      <c r="C93" s="13" t="s">
        <v>495</v>
      </c>
      <c r="D93" s="13" t="s">
        <v>166</v>
      </c>
      <c r="E93" s="13" t="s">
        <v>496</v>
      </c>
      <c r="F93" s="13" t="s">
        <v>158</v>
      </c>
      <c r="G93" s="13"/>
      <c r="H93" s="31"/>
      <c r="I93" s="33" t="n">
        <v>46226.4171688889</v>
      </c>
      <c r="J93" s="33" t="n">
        <v>46226.4171543866</v>
      </c>
      <c r="K93" s="13" t="s">
        <v>153</v>
      </c>
      <c r="L93" s="13"/>
      <c r="M93" s="13" t="s">
        <v>497</v>
      </c>
      <c r="N93" s="33" t="n">
        <v>46308.7264460648</v>
      </c>
    </row>
    <row r="94" customFormat="false" ht="15" hidden="false" customHeight="false" outlineLevel="0" collapsed="false">
      <c r="A94" s="13" t="s">
        <v>498</v>
      </c>
      <c r="B94" s="13" t="s">
        <v>57</v>
      </c>
      <c r="C94" s="13" t="s">
        <v>200</v>
      </c>
      <c r="D94" s="13" t="s">
        <v>166</v>
      </c>
      <c r="E94" s="13" t="s">
        <v>499</v>
      </c>
      <c r="F94" s="13"/>
      <c r="G94" s="13"/>
      <c r="H94" s="31"/>
      <c r="I94" s="33" t="n">
        <v>46226.4168155787</v>
      </c>
      <c r="J94" s="33" t="n">
        <v>46226.4168147685</v>
      </c>
      <c r="K94" s="13" t="s">
        <v>153</v>
      </c>
      <c r="L94" s="13"/>
      <c r="M94" s="13" t="s">
        <v>500</v>
      </c>
      <c r="N94" s="33" t="n">
        <v>46308.7264460648</v>
      </c>
    </row>
    <row r="95" customFormat="false" ht="15" hidden="false" customHeight="false" outlineLevel="0" collapsed="false">
      <c r="A95" s="13" t="s">
        <v>501</v>
      </c>
      <c r="B95" s="13" t="s">
        <v>57</v>
      </c>
      <c r="C95" s="13" t="s">
        <v>502</v>
      </c>
      <c r="D95" s="13" t="s">
        <v>166</v>
      </c>
      <c r="E95" s="13" t="s">
        <v>348</v>
      </c>
      <c r="F95" s="13"/>
      <c r="G95" s="13"/>
      <c r="H95" s="31"/>
      <c r="I95" s="33" t="n">
        <v>46226.4073261921</v>
      </c>
      <c r="J95" s="33" t="n">
        <v>46226.4073261921</v>
      </c>
      <c r="K95" s="13" t="s">
        <v>153</v>
      </c>
      <c r="L95" s="13"/>
      <c r="M95" s="13" t="s">
        <v>503</v>
      </c>
      <c r="N95" s="33" t="n">
        <v>46308.7264460648</v>
      </c>
    </row>
    <row r="96" customFormat="false" ht="15" hidden="false" customHeight="false" outlineLevel="0" collapsed="false">
      <c r="A96" s="13" t="s">
        <v>504</v>
      </c>
      <c r="B96" s="13" t="s">
        <v>57</v>
      </c>
      <c r="C96" s="13" t="s">
        <v>505</v>
      </c>
      <c r="D96" s="13" t="s">
        <v>166</v>
      </c>
      <c r="E96" s="13" t="s">
        <v>506</v>
      </c>
      <c r="F96" s="13"/>
      <c r="G96" s="13" t="s">
        <v>189</v>
      </c>
      <c r="H96" s="31"/>
      <c r="I96" s="33" t="n">
        <v>46223.727281412</v>
      </c>
      <c r="J96" s="33" t="n">
        <v>46223.727281412</v>
      </c>
      <c r="K96" s="13" t="s">
        <v>153</v>
      </c>
      <c r="L96" s="13"/>
      <c r="M96" s="13" t="s">
        <v>507</v>
      </c>
      <c r="N96" s="33" t="n">
        <v>46308.7264460648</v>
      </c>
    </row>
    <row r="97" customFormat="false" ht="15" hidden="false" customHeight="false" outlineLevel="0" collapsed="false">
      <c r="A97" s="13" t="s">
        <v>508</v>
      </c>
      <c r="B97" s="13" t="s">
        <v>57</v>
      </c>
      <c r="C97" s="13" t="s">
        <v>509</v>
      </c>
      <c r="D97" s="13" t="s">
        <v>166</v>
      </c>
      <c r="E97" s="13" t="s">
        <v>510</v>
      </c>
      <c r="F97" s="13"/>
      <c r="G97" s="13" t="s">
        <v>189</v>
      </c>
      <c r="H97" s="31"/>
      <c r="I97" s="33" t="n">
        <v>46223.4371619444</v>
      </c>
      <c r="J97" s="33" t="n">
        <v>46223.4371619444</v>
      </c>
      <c r="K97" s="13" t="s">
        <v>153</v>
      </c>
      <c r="L97" s="13"/>
      <c r="M97" s="13" t="s">
        <v>511</v>
      </c>
      <c r="N97" s="33" t="n">
        <v>46308.7264460648</v>
      </c>
    </row>
    <row r="98" customFormat="false" ht="15" hidden="false" customHeight="false" outlineLevel="0" collapsed="false">
      <c r="A98" s="13" t="s">
        <v>512</v>
      </c>
      <c r="B98" s="13" t="s">
        <v>57</v>
      </c>
      <c r="C98" s="13" t="s">
        <v>513</v>
      </c>
      <c r="D98" s="13" t="s">
        <v>166</v>
      </c>
      <c r="E98" s="13" t="s">
        <v>499</v>
      </c>
      <c r="F98" s="13" t="s">
        <v>485</v>
      </c>
      <c r="G98" s="13" t="s">
        <v>189</v>
      </c>
      <c r="H98" s="31"/>
      <c r="I98" s="33" t="n">
        <v>46223.3925280787</v>
      </c>
      <c r="J98" s="33" t="n">
        <v>46223.3925280787</v>
      </c>
      <c r="K98" s="13" t="s">
        <v>153</v>
      </c>
      <c r="L98" s="13"/>
      <c r="M98" s="13" t="s">
        <v>514</v>
      </c>
      <c r="N98" s="33" t="n">
        <v>46308.7264460648</v>
      </c>
    </row>
    <row r="99" customFormat="false" ht="15" hidden="false" customHeight="false" outlineLevel="0" collapsed="false">
      <c r="A99" s="13" t="s">
        <v>515</v>
      </c>
      <c r="B99" s="13" t="s">
        <v>57</v>
      </c>
      <c r="C99" s="13" t="s">
        <v>516</v>
      </c>
      <c r="D99" s="13" t="s">
        <v>166</v>
      </c>
      <c r="E99" s="13" t="s">
        <v>339</v>
      </c>
      <c r="F99" s="13"/>
      <c r="G99" s="13" t="s">
        <v>189</v>
      </c>
      <c r="H99" s="31"/>
      <c r="I99" s="33" t="n">
        <v>46223.3921502778</v>
      </c>
      <c r="J99" s="33" t="n">
        <v>46223.3921502778</v>
      </c>
      <c r="K99" s="13" t="s">
        <v>153</v>
      </c>
      <c r="L99" s="13"/>
      <c r="M99" s="13" t="s">
        <v>517</v>
      </c>
      <c r="N99" s="33" t="n">
        <v>46308.7264460648</v>
      </c>
    </row>
    <row r="100" customFormat="false" ht="15" hidden="false" customHeight="false" outlineLevel="0" collapsed="false">
      <c r="A100" s="13" t="s">
        <v>518</v>
      </c>
      <c r="B100" s="13" t="s">
        <v>57</v>
      </c>
      <c r="C100" s="13" t="s">
        <v>519</v>
      </c>
      <c r="D100" s="13" t="s">
        <v>166</v>
      </c>
      <c r="E100" s="13" t="s">
        <v>499</v>
      </c>
      <c r="F100" s="13"/>
      <c r="G100" s="13" t="s">
        <v>159</v>
      </c>
      <c r="H100" s="31"/>
      <c r="I100" s="33" t="n">
        <v>46223.3610074537</v>
      </c>
      <c r="J100" s="33" t="n">
        <v>46223.3610074537</v>
      </c>
      <c r="K100" s="13" t="s">
        <v>153</v>
      </c>
      <c r="L100" s="13"/>
      <c r="M100" s="13" t="s">
        <v>520</v>
      </c>
      <c r="N100" s="33" t="n">
        <v>46308.7264460648</v>
      </c>
    </row>
    <row r="101" customFormat="false" ht="15" hidden="false" customHeight="false" outlineLevel="0" collapsed="false">
      <c r="A101" s="13" t="s">
        <v>521</v>
      </c>
      <c r="B101" s="13" t="s">
        <v>57</v>
      </c>
      <c r="C101" s="13" t="s">
        <v>522</v>
      </c>
      <c r="D101" s="13" t="s">
        <v>166</v>
      </c>
      <c r="E101" s="13" t="s">
        <v>523</v>
      </c>
      <c r="F101" s="13"/>
      <c r="G101" s="13" t="s">
        <v>189</v>
      </c>
      <c r="H101" s="31"/>
      <c r="I101" s="33" t="n">
        <v>46220.4467825579</v>
      </c>
      <c r="J101" s="33" t="n">
        <v>46220.4467825579</v>
      </c>
      <c r="K101" s="13" t="s">
        <v>153</v>
      </c>
      <c r="L101" s="13"/>
      <c r="M101" s="13" t="s">
        <v>524</v>
      </c>
      <c r="N101" s="33" t="n">
        <v>46308.7264460648</v>
      </c>
    </row>
    <row r="102" customFormat="false" ht="15" hidden="false" customHeight="false" outlineLevel="0" collapsed="false">
      <c r="A102" s="13" t="s">
        <v>525</v>
      </c>
      <c r="B102" s="13" t="s">
        <v>57</v>
      </c>
      <c r="C102" s="13" t="s">
        <v>526</v>
      </c>
      <c r="D102" s="13" t="s">
        <v>166</v>
      </c>
      <c r="E102" s="13" t="s">
        <v>527</v>
      </c>
      <c r="F102" s="13"/>
      <c r="G102" s="13"/>
      <c r="H102" s="31"/>
      <c r="I102" s="33" t="n">
        <v>46220.3792536458</v>
      </c>
      <c r="J102" s="33" t="n">
        <v>46220.3792536458</v>
      </c>
      <c r="K102" s="13" t="s">
        <v>153</v>
      </c>
      <c r="L102" s="13"/>
      <c r="M102" s="13" t="s">
        <v>528</v>
      </c>
      <c r="N102" s="33" t="n">
        <v>46308.7264460648</v>
      </c>
    </row>
    <row r="103" customFormat="false" ht="15" hidden="false" customHeight="false" outlineLevel="0" collapsed="false">
      <c r="A103" s="13" t="s">
        <v>529</v>
      </c>
      <c r="B103" s="13" t="s">
        <v>57</v>
      </c>
      <c r="C103" s="13" t="s">
        <v>530</v>
      </c>
      <c r="D103" s="13" t="s">
        <v>166</v>
      </c>
      <c r="E103" s="13" t="s">
        <v>531</v>
      </c>
      <c r="F103" s="13"/>
      <c r="G103" s="13"/>
      <c r="H103" s="31"/>
      <c r="I103" s="33" t="n">
        <v>46217.3451964236</v>
      </c>
      <c r="J103" s="33" t="n">
        <v>46176.4254090972</v>
      </c>
      <c r="K103" s="13" t="s">
        <v>153</v>
      </c>
      <c r="L103" s="13"/>
      <c r="M103" s="13" t="s">
        <v>532</v>
      </c>
      <c r="N103" s="33" t="n">
        <v>46308.7264460648</v>
      </c>
    </row>
    <row r="104" customFormat="false" ht="15" hidden="false" customHeight="false" outlineLevel="0" collapsed="false">
      <c r="A104" s="13" t="s">
        <v>533</v>
      </c>
      <c r="B104" s="13" t="s">
        <v>57</v>
      </c>
      <c r="C104" s="13" t="s">
        <v>534</v>
      </c>
      <c r="D104" s="13" t="s">
        <v>166</v>
      </c>
      <c r="E104" s="13" t="s">
        <v>535</v>
      </c>
      <c r="F104" s="13"/>
      <c r="G104" s="13" t="s">
        <v>159</v>
      </c>
      <c r="H104" s="31"/>
      <c r="I104" s="33" t="n">
        <v>46216.4065452083</v>
      </c>
      <c r="J104" s="33" t="n">
        <v>46216.4065452083</v>
      </c>
      <c r="K104" s="13" t="s">
        <v>153</v>
      </c>
      <c r="L104" s="13"/>
      <c r="M104" s="13" t="s">
        <v>536</v>
      </c>
      <c r="N104" s="33" t="n">
        <v>46308.7264460648</v>
      </c>
    </row>
    <row r="105" customFormat="false" ht="15" hidden="false" customHeight="false" outlineLevel="0" collapsed="false">
      <c r="A105" s="13" t="s">
        <v>537</v>
      </c>
      <c r="B105" s="13" t="s">
        <v>57</v>
      </c>
      <c r="C105" s="13" t="s">
        <v>538</v>
      </c>
      <c r="D105" s="13" t="s">
        <v>166</v>
      </c>
      <c r="E105" s="13" t="s">
        <v>237</v>
      </c>
      <c r="F105" s="13" t="s">
        <v>539</v>
      </c>
      <c r="G105" s="13"/>
      <c r="H105" s="31"/>
      <c r="I105" s="33" t="n">
        <v>46216.4060883102</v>
      </c>
      <c r="J105" s="33" t="n">
        <v>46216.4060883102</v>
      </c>
      <c r="K105" s="13" t="s">
        <v>153</v>
      </c>
      <c r="L105" s="13" t="s">
        <v>280</v>
      </c>
      <c r="M105" s="13" t="s">
        <v>540</v>
      </c>
      <c r="N105" s="33" t="n">
        <v>46308.7264460648</v>
      </c>
    </row>
    <row r="106" customFormat="false" ht="15" hidden="false" customHeight="false" outlineLevel="0" collapsed="false">
      <c r="A106" s="13" t="s">
        <v>541</v>
      </c>
      <c r="B106" s="13" t="s">
        <v>57</v>
      </c>
      <c r="C106" s="13" t="s">
        <v>542</v>
      </c>
      <c r="D106" s="13" t="s">
        <v>166</v>
      </c>
      <c r="E106" s="13" t="s">
        <v>543</v>
      </c>
      <c r="F106" s="13" t="s">
        <v>544</v>
      </c>
      <c r="G106" s="13" t="s">
        <v>207</v>
      </c>
      <c r="H106" s="31"/>
      <c r="I106" s="33" t="n">
        <v>46216.4057604398</v>
      </c>
      <c r="J106" s="33" t="n">
        <v>46216.4057604398</v>
      </c>
      <c r="K106" s="13" t="s">
        <v>153</v>
      </c>
      <c r="L106" s="13" t="s">
        <v>117</v>
      </c>
      <c r="M106" s="13" t="s">
        <v>545</v>
      </c>
      <c r="N106" s="33" t="n">
        <v>46308.7264460648</v>
      </c>
    </row>
    <row r="107" customFormat="false" ht="15" hidden="false" customHeight="false" outlineLevel="0" collapsed="false">
      <c r="A107" s="13" t="s">
        <v>546</v>
      </c>
      <c r="B107" s="13" t="s">
        <v>57</v>
      </c>
      <c r="C107" s="13" t="s">
        <v>547</v>
      </c>
      <c r="D107" s="13" t="s">
        <v>166</v>
      </c>
      <c r="E107" s="13" t="s">
        <v>548</v>
      </c>
      <c r="F107" s="13"/>
      <c r="G107" s="13" t="s">
        <v>207</v>
      </c>
      <c r="H107" s="31"/>
      <c r="I107" s="33" t="n">
        <v>46216.4012228819</v>
      </c>
      <c r="J107" s="33" t="n">
        <v>46216.4012228819</v>
      </c>
      <c r="K107" s="13" t="s">
        <v>153</v>
      </c>
      <c r="L107" s="13"/>
      <c r="M107" s="13" t="s">
        <v>549</v>
      </c>
      <c r="N107" s="33" t="n">
        <v>46308.7264460648</v>
      </c>
    </row>
    <row r="108" customFormat="false" ht="15" hidden="false" customHeight="false" outlineLevel="0" collapsed="false">
      <c r="A108" s="13" t="s">
        <v>550</v>
      </c>
      <c r="B108" s="13" t="s">
        <v>57</v>
      </c>
      <c r="C108" s="13" t="s">
        <v>551</v>
      </c>
      <c r="D108" s="13" t="s">
        <v>166</v>
      </c>
      <c r="E108" s="13" t="s">
        <v>339</v>
      </c>
      <c r="F108" s="13"/>
      <c r="G108" s="13"/>
      <c r="H108" s="31"/>
      <c r="I108" s="33" t="n">
        <v>46213.7151572569</v>
      </c>
      <c r="J108" s="33" t="n">
        <v>46213.7151572569</v>
      </c>
      <c r="K108" s="13" t="s">
        <v>153</v>
      </c>
      <c r="L108" s="13"/>
      <c r="M108" s="13" t="s">
        <v>552</v>
      </c>
      <c r="N108" s="33" t="n">
        <v>46308.7264460648</v>
      </c>
    </row>
    <row r="109" customFormat="false" ht="15" hidden="false" customHeight="false" outlineLevel="0" collapsed="false">
      <c r="A109" s="13" t="s">
        <v>553</v>
      </c>
      <c r="B109" s="13" t="s">
        <v>57</v>
      </c>
      <c r="C109" s="13" t="s">
        <v>554</v>
      </c>
      <c r="D109" s="13" t="s">
        <v>166</v>
      </c>
      <c r="E109" s="13"/>
      <c r="F109" s="13" t="s">
        <v>555</v>
      </c>
      <c r="G109" s="13" t="s">
        <v>189</v>
      </c>
      <c r="H109" s="31"/>
      <c r="I109" s="33" t="n">
        <v>46213.5813087037</v>
      </c>
      <c r="J109" s="33" t="n">
        <v>46213.5813087037</v>
      </c>
      <c r="K109" s="13" t="s">
        <v>153</v>
      </c>
      <c r="L109" s="13" t="s">
        <v>117</v>
      </c>
      <c r="M109" s="13" t="s">
        <v>556</v>
      </c>
      <c r="N109" s="33" t="n">
        <v>46308.7264460648</v>
      </c>
    </row>
    <row r="110" customFormat="false" ht="15" hidden="false" customHeight="false" outlineLevel="0" collapsed="false">
      <c r="A110" s="13" t="s">
        <v>557</v>
      </c>
      <c r="B110" s="13" t="s">
        <v>57</v>
      </c>
      <c r="C110" s="13" t="s">
        <v>558</v>
      </c>
      <c r="D110" s="13" t="s">
        <v>166</v>
      </c>
      <c r="E110" s="13" t="s">
        <v>559</v>
      </c>
      <c r="F110" s="13"/>
      <c r="G110" s="13"/>
      <c r="H110" s="31"/>
      <c r="I110" s="33" t="n">
        <v>46212.3630670833</v>
      </c>
      <c r="J110" s="33" t="n">
        <v>46212.3630670833</v>
      </c>
      <c r="K110" s="13" t="s">
        <v>153</v>
      </c>
      <c r="L110" s="13"/>
      <c r="M110" s="13" t="s">
        <v>560</v>
      </c>
      <c r="N110" s="33" t="n">
        <v>46308.7264460648</v>
      </c>
    </row>
    <row r="111" customFormat="false" ht="15" hidden="false" customHeight="false" outlineLevel="0" collapsed="false">
      <c r="A111" s="13" t="s">
        <v>561</v>
      </c>
      <c r="B111" s="13" t="s">
        <v>57</v>
      </c>
      <c r="C111" s="13" t="s">
        <v>562</v>
      </c>
      <c r="D111" s="13" t="s">
        <v>166</v>
      </c>
      <c r="E111" s="13" t="s">
        <v>563</v>
      </c>
      <c r="F111" s="13"/>
      <c r="G111" s="13" t="s">
        <v>207</v>
      </c>
      <c r="H111" s="31"/>
      <c r="I111" s="33" t="n">
        <v>46210.3765352431</v>
      </c>
      <c r="J111" s="33" t="n">
        <v>46210.3764843056</v>
      </c>
      <c r="K111" s="13" t="s">
        <v>153</v>
      </c>
      <c r="L111" s="13"/>
      <c r="M111" s="13" t="s">
        <v>564</v>
      </c>
      <c r="N111" s="33" t="n">
        <v>46308.7264460648</v>
      </c>
    </row>
    <row r="112" customFormat="false" ht="15" hidden="false" customHeight="false" outlineLevel="0" collapsed="false">
      <c r="A112" s="13" t="s">
        <v>565</v>
      </c>
      <c r="B112" s="13" t="s">
        <v>57</v>
      </c>
      <c r="C112" s="13" t="s">
        <v>566</v>
      </c>
      <c r="D112" s="13" t="s">
        <v>166</v>
      </c>
      <c r="E112" s="13" t="s">
        <v>567</v>
      </c>
      <c r="F112" s="13"/>
      <c r="G112" s="13"/>
      <c r="H112" s="31"/>
      <c r="I112" s="33" t="n">
        <v>46209.6245773727</v>
      </c>
      <c r="J112" s="33" t="n">
        <v>46209.6245773727</v>
      </c>
      <c r="K112" s="13" t="s">
        <v>153</v>
      </c>
      <c r="L112" s="13"/>
      <c r="M112" s="13" t="s">
        <v>568</v>
      </c>
      <c r="N112" s="33" t="n">
        <v>46308.7264460648</v>
      </c>
    </row>
    <row r="113" customFormat="false" ht="15" hidden="false" customHeight="false" outlineLevel="0" collapsed="false">
      <c r="A113" s="13" t="s">
        <v>569</v>
      </c>
      <c r="B113" s="13" t="s">
        <v>57</v>
      </c>
      <c r="C113" s="13" t="s">
        <v>570</v>
      </c>
      <c r="D113" s="13" t="s">
        <v>166</v>
      </c>
      <c r="E113" s="13" t="s">
        <v>571</v>
      </c>
      <c r="F113" s="13" t="s">
        <v>59</v>
      </c>
      <c r="G113" s="13"/>
      <c r="H113" s="31"/>
      <c r="I113" s="33" t="n">
        <v>46206.9359058218</v>
      </c>
      <c r="J113" s="33" t="n">
        <v>46206.9359058218</v>
      </c>
      <c r="K113" s="13" t="s">
        <v>153</v>
      </c>
      <c r="L113" s="13" t="s">
        <v>117</v>
      </c>
      <c r="M113" s="13" t="s">
        <v>572</v>
      </c>
      <c r="N113" s="33" t="n">
        <v>46308.7264460648</v>
      </c>
    </row>
    <row r="114" customFormat="false" ht="15" hidden="false" customHeight="false" outlineLevel="0" collapsed="false">
      <c r="A114" s="13" t="s">
        <v>573</v>
      </c>
      <c r="B114" s="13" t="s">
        <v>57</v>
      </c>
      <c r="C114" s="13" t="s">
        <v>574</v>
      </c>
      <c r="D114" s="13" t="s">
        <v>166</v>
      </c>
      <c r="E114" s="13" t="s">
        <v>575</v>
      </c>
      <c r="F114" s="13"/>
      <c r="G114" s="13" t="s">
        <v>189</v>
      </c>
      <c r="H114" s="31"/>
      <c r="I114" s="33" t="n">
        <v>46203.6432851157</v>
      </c>
      <c r="J114" s="33" t="n">
        <v>46203.3776982407</v>
      </c>
      <c r="K114" s="13" t="s">
        <v>153</v>
      </c>
      <c r="L114" s="13"/>
      <c r="M114" s="13" t="s">
        <v>576</v>
      </c>
      <c r="N114" s="33" t="n">
        <v>46308.7264460648</v>
      </c>
    </row>
    <row r="115" customFormat="false" ht="15" hidden="false" customHeight="false" outlineLevel="0" collapsed="false">
      <c r="A115" s="13" t="s">
        <v>577</v>
      </c>
      <c r="B115" s="13" t="s">
        <v>57</v>
      </c>
      <c r="C115" s="13" t="s">
        <v>578</v>
      </c>
      <c r="D115" s="13" t="s">
        <v>166</v>
      </c>
      <c r="E115" s="13" t="s">
        <v>579</v>
      </c>
      <c r="F115" s="13"/>
      <c r="G115" s="13"/>
      <c r="H115" s="31"/>
      <c r="I115" s="33" t="n">
        <v>46203.6426023843</v>
      </c>
      <c r="J115" s="33" t="n">
        <v>46202.3724838195</v>
      </c>
      <c r="K115" s="13" t="s">
        <v>153</v>
      </c>
      <c r="L115" s="13"/>
      <c r="M115" s="13" t="s">
        <v>580</v>
      </c>
      <c r="N115" s="33" t="n">
        <v>46308.7264460648</v>
      </c>
    </row>
    <row r="116" customFormat="false" ht="15" hidden="false" customHeight="false" outlineLevel="0" collapsed="false">
      <c r="A116" s="13" t="s">
        <v>581</v>
      </c>
      <c r="B116" s="13" t="s">
        <v>57</v>
      </c>
      <c r="C116" s="13" t="s">
        <v>582</v>
      </c>
      <c r="D116" s="13" t="s">
        <v>166</v>
      </c>
      <c r="E116" s="13" t="s">
        <v>583</v>
      </c>
      <c r="F116" s="13" t="s">
        <v>437</v>
      </c>
      <c r="G116" s="13"/>
      <c r="H116" s="31"/>
      <c r="I116" s="33" t="n">
        <v>46203.6395554398</v>
      </c>
      <c r="J116" s="33" t="n">
        <v>46203.6395554398</v>
      </c>
      <c r="K116" s="13" t="s">
        <v>153</v>
      </c>
      <c r="L116" s="13"/>
      <c r="M116" s="13" t="s">
        <v>584</v>
      </c>
      <c r="N116" s="33" t="n">
        <v>46308.7264460648</v>
      </c>
    </row>
    <row r="117" customFormat="false" ht="15" hidden="false" customHeight="false" outlineLevel="0" collapsed="false">
      <c r="A117" s="13" t="s">
        <v>585</v>
      </c>
      <c r="B117" s="13" t="s">
        <v>57</v>
      </c>
      <c r="C117" s="13" t="s">
        <v>586</v>
      </c>
      <c r="D117" s="13" t="s">
        <v>166</v>
      </c>
      <c r="E117" s="13" t="s">
        <v>587</v>
      </c>
      <c r="F117" s="13"/>
      <c r="G117" s="13"/>
      <c r="H117" s="31"/>
      <c r="I117" s="33" t="n">
        <v>46203.4503529861</v>
      </c>
      <c r="J117" s="33" t="n">
        <v>46203.4503529861</v>
      </c>
      <c r="K117" s="13" t="s">
        <v>153</v>
      </c>
      <c r="L117" s="13"/>
      <c r="M117" s="13" t="s">
        <v>588</v>
      </c>
      <c r="N117" s="33" t="n">
        <v>46308.7264460648</v>
      </c>
    </row>
    <row r="118" customFormat="false" ht="15" hidden="false" customHeight="false" outlineLevel="0" collapsed="false">
      <c r="A118" s="13" t="s">
        <v>589</v>
      </c>
      <c r="B118" s="13" t="s">
        <v>57</v>
      </c>
      <c r="C118" s="13" t="s">
        <v>590</v>
      </c>
      <c r="D118" s="13" t="s">
        <v>166</v>
      </c>
      <c r="E118" s="13" t="s">
        <v>339</v>
      </c>
      <c r="F118" s="13"/>
      <c r="G118" s="13"/>
      <c r="H118" s="31"/>
      <c r="I118" s="33" t="n">
        <v>46191.3761016088</v>
      </c>
      <c r="J118" s="33" t="n">
        <v>46191.3761016088</v>
      </c>
      <c r="K118" s="13" t="s">
        <v>153</v>
      </c>
      <c r="L118" s="13"/>
      <c r="M118" s="13" t="s">
        <v>591</v>
      </c>
      <c r="N118" s="33" t="n">
        <v>46308.7264460648</v>
      </c>
    </row>
    <row r="119" customFormat="false" ht="15" hidden="false" customHeight="false" outlineLevel="0" collapsed="false">
      <c r="A119" s="13" t="s">
        <v>592</v>
      </c>
      <c r="B119" s="13" t="s">
        <v>57</v>
      </c>
      <c r="C119" s="13" t="s">
        <v>593</v>
      </c>
      <c r="D119" s="13" t="s">
        <v>166</v>
      </c>
      <c r="E119" s="13" t="s">
        <v>317</v>
      </c>
      <c r="F119" s="13" t="s">
        <v>292</v>
      </c>
      <c r="G119" s="13" t="s">
        <v>207</v>
      </c>
      <c r="H119" s="31"/>
      <c r="I119" s="33" t="n">
        <v>46184.5905769907</v>
      </c>
      <c r="J119" s="33" t="n">
        <v>46184.5905769907</v>
      </c>
      <c r="K119" s="13" t="s">
        <v>153</v>
      </c>
      <c r="L119" s="13" t="s">
        <v>117</v>
      </c>
      <c r="M119" s="13" t="s">
        <v>594</v>
      </c>
      <c r="N119" s="33" t="n">
        <v>46308.7264460648</v>
      </c>
    </row>
    <row r="120" customFormat="false" ht="15" hidden="false" customHeight="false" outlineLevel="0" collapsed="false">
      <c r="A120" s="13" t="s">
        <v>595</v>
      </c>
      <c r="B120" s="13" t="s">
        <v>57</v>
      </c>
      <c r="C120" s="13" t="s">
        <v>596</v>
      </c>
      <c r="D120" s="13" t="s">
        <v>166</v>
      </c>
      <c r="E120" s="13" t="s">
        <v>339</v>
      </c>
      <c r="F120" s="13" t="s">
        <v>597</v>
      </c>
      <c r="G120" s="13" t="s">
        <v>207</v>
      </c>
      <c r="H120" s="31"/>
      <c r="I120" s="33" t="n">
        <v>46184.3977533218</v>
      </c>
      <c r="J120" s="33" t="n">
        <v>46184.3977533218</v>
      </c>
      <c r="K120" s="13" t="s">
        <v>153</v>
      </c>
      <c r="L120" s="13"/>
      <c r="M120" s="13" t="s">
        <v>598</v>
      </c>
      <c r="N120" s="33" t="n">
        <v>46308.7264460648</v>
      </c>
    </row>
    <row r="121" customFormat="false" ht="15" hidden="false" customHeight="false" outlineLevel="0" collapsed="false">
      <c r="A121" s="13" t="s">
        <v>599</v>
      </c>
      <c r="B121" s="13" t="s">
        <v>57</v>
      </c>
      <c r="C121" s="13" t="s">
        <v>600</v>
      </c>
      <c r="D121" s="13" t="s">
        <v>166</v>
      </c>
      <c r="E121" s="13" t="s">
        <v>601</v>
      </c>
      <c r="F121" s="13"/>
      <c r="G121" s="13"/>
      <c r="H121" s="31"/>
      <c r="I121" s="33" t="n">
        <v>46183.7157181019</v>
      </c>
      <c r="J121" s="33" t="n">
        <v>46183.7157181019</v>
      </c>
      <c r="K121" s="13" t="s">
        <v>153</v>
      </c>
      <c r="L121" s="13"/>
      <c r="M121" s="13" t="s">
        <v>602</v>
      </c>
      <c r="N121" s="33" t="n">
        <v>46308.7264460648</v>
      </c>
    </row>
    <row r="122" customFormat="false" ht="15" hidden="false" customHeight="false" outlineLevel="0" collapsed="false">
      <c r="A122" s="13" t="s">
        <v>603</v>
      </c>
      <c r="B122" s="13" t="s">
        <v>57</v>
      </c>
      <c r="C122" s="13" t="s">
        <v>604</v>
      </c>
      <c r="D122" s="13" t="s">
        <v>166</v>
      </c>
      <c r="E122" s="13" t="s">
        <v>605</v>
      </c>
      <c r="F122" s="13"/>
      <c r="G122" s="13"/>
      <c r="H122" s="31"/>
      <c r="I122" s="33" t="n">
        <v>46183.6179819444</v>
      </c>
      <c r="J122" s="33" t="n">
        <v>46183.6179819444</v>
      </c>
      <c r="K122" s="13" t="s">
        <v>153</v>
      </c>
      <c r="L122" s="13"/>
      <c r="M122" s="13" t="s">
        <v>606</v>
      </c>
      <c r="N122" s="33" t="n">
        <v>46308.7264460648</v>
      </c>
    </row>
    <row r="123" customFormat="false" ht="15" hidden="false" customHeight="false" outlineLevel="0" collapsed="false">
      <c r="A123" s="13" t="s">
        <v>607</v>
      </c>
      <c r="B123" s="13" t="s">
        <v>57</v>
      </c>
      <c r="C123" s="13" t="s">
        <v>608</v>
      </c>
      <c r="D123" s="13" t="s">
        <v>166</v>
      </c>
      <c r="E123" s="13" t="s">
        <v>609</v>
      </c>
      <c r="F123" s="13" t="s">
        <v>539</v>
      </c>
      <c r="G123" s="13"/>
      <c r="H123" s="31"/>
      <c r="I123" s="33" t="n">
        <v>46181.3998540278</v>
      </c>
      <c r="J123" s="33" t="n">
        <v>46181.3998540278</v>
      </c>
      <c r="K123" s="13" t="s">
        <v>153</v>
      </c>
      <c r="L123" s="13" t="s">
        <v>280</v>
      </c>
      <c r="M123" s="13" t="s">
        <v>610</v>
      </c>
      <c r="N123" s="33" t="n">
        <v>46308.7264460648</v>
      </c>
    </row>
    <row r="124" customFormat="false" ht="15" hidden="false" customHeight="false" outlineLevel="0" collapsed="false">
      <c r="A124" s="13" t="s">
        <v>611</v>
      </c>
      <c r="B124" s="13" t="s">
        <v>57</v>
      </c>
      <c r="C124" s="13" t="s">
        <v>612</v>
      </c>
      <c r="D124" s="13" t="s">
        <v>166</v>
      </c>
      <c r="E124" s="13" t="s">
        <v>613</v>
      </c>
      <c r="F124" s="13"/>
      <c r="G124" s="13" t="s">
        <v>207</v>
      </c>
      <c r="H124" s="31"/>
      <c r="I124" s="33" t="n">
        <v>46181.3675077662</v>
      </c>
      <c r="J124" s="33" t="n">
        <v>46181.3675077662</v>
      </c>
      <c r="K124" s="13" t="s">
        <v>153</v>
      </c>
      <c r="L124" s="13"/>
      <c r="M124" s="13" t="s">
        <v>614</v>
      </c>
      <c r="N124" s="33" t="n">
        <v>46308.7264460648</v>
      </c>
    </row>
    <row r="125" customFormat="false" ht="15" hidden="false" customHeight="false" outlineLevel="0" collapsed="false">
      <c r="A125" s="13" t="s">
        <v>615</v>
      </c>
      <c r="B125" s="13" t="s">
        <v>57</v>
      </c>
      <c r="C125" s="13" t="s">
        <v>616</v>
      </c>
      <c r="D125" s="13" t="s">
        <v>166</v>
      </c>
      <c r="E125" s="13" t="s">
        <v>587</v>
      </c>
      <c r="F125" s="13"/>
      <c r="G125" s="13"/>
      <c r="H125" s="31"/>
      <c r="I125" s="33" t="n">
        <v>46176.4480645718</v>
      </c>
      <c r="J125" s="33" t="n">
        <v>46176.4480645718</v>
      </c>
      <c r="K125" s="13" t="s">
        <v>153</v>
      </c>
      <c r="L125" s="13"/>
      <c r="M125" s="13" t="s">
        <v>617</v>
      </c>
      <c r="N125" s="33" t="n">
        <v>46308.7264460648</v>
      </c>
    </row>
    <row r="126" customFormat="false" ht="15" hidden="false" customHeight="false" outlineLevel="0" collapsed="false">
      <c r="A126" s="13" t="s">
        <v>618</v>
      </c>
      <c r="B126" s="13" t="s">
        <v>57</v>
      </c>
      <c r="C126" s="13" t="s">
        <v>619</v>
      </c>
      <c r="D126" s="13" t="s">
        <v>166</v>
      </c>
      <c r="E126" s="13" t="s">
        <v>620</v>
      </c>
      <c r="F126" s="13"/>
      <c r="G126" s="13"/>
      <c r="H126" s="31"/>
      <c r="I126" s="33" t="n">
        <v>46176.4292170602</v>
      </c>
      <c r="J126" s="33" t="n">
        <v>46176.4292170602</v>
      </c>
      <c r="K126" s="13" t="s">
        <v>153</v>
      </c>
      <c r="L126" s="13"/>
      <c r="M126" s="13" t="s">
        <v>621</v>
      </c>
      <c r="N126" s="33" t="n">
        <v>46308.7264460648</v>
      </c>
    </row>
    <row r="127" customFormat="false" ht="15" hidden="false" customHeight="false" outlineLevel="0" collapsed="false">
      <c r="A127" s="13" t="s">
        <v>622</v>
      </c>
      <c r="B127" s="13" t="s">
        <v>57</v>
      </c>
      <c r="C127" s="13" t="s">
        <v>623</v>
      </c>
      <c r="D127" s="13" t="s">
        <v>166</v>
      </c>
      <c r="E127" s="13" t="s">
        <v>348</v>
      </c>
      <c r="F127" s="13"/>
      <c r="G127" s="13"/>
      <c r="H127" s="31"/>
      <c r="I127" s="33" t="n">
        <v>46175.3574710648</v>
      </c>
      <c r="J127" s="33" t="n">
        <v>46175.3574710648</v>
      </c>
      <c r="K127" s="13" t="s">
        <v>153</v>
      </c>
      <c r="L127" s="13"/>
      <c r="M127" s="13" t="s">
        <v>624</v>
      </c>
      <c r="N127" s="33" t="n">
        <v>46308.7264460648</v>
      </c>
    </row>
    <row r="128" customFormat="false" ht="15" hidden="false" customHeight="false" outlineLevel="0" collapsed="false">
      <c r="A128" s="13" t="s">
        <v>625</v>
      </c>
      <c r="B128" s="13" t="s">
        <v>57</v>
      </c>
      <c r="C128" s="13" t="s">
        <v>626</v>
      </c>
      <c r="D128" s="13" t="s">
        <v>166</v>
      </c>
      <c r="E128" s="13" t="s">
        <v>627</v>
      </c>
      <c r="F128" s="13"/>
      <c r="G128" s="13"/>
      <c r="H128" s="31"/>
      <c r="I128" s="33" t="n">
        <v>46175.3518812616</v>
      </c>
      <c r="J128" s="33" t="n">
        <v>46175.3518812616</v>
      </c>
      <c r="K128" s="13" t="s">
        <v>153</v>
      </c>
      <c r="L128" s="13"/>
      <c r="M128" s="13" t="s">
        <v>628</v>
      </c>
      <c r="N128" s="33" t="n">
        <v>46308.7264460648</v>
      </c>
    </row>
    <row r="129" customFormat="false" ht="15" hidden="false" customHeight="false" outlineLevel="0" collapsed="false">
      <c r="A129" s="13" t="s">
        <v>629</v>
      </c>
      <c r="B129" s="13" t="s">
        <v>57</v>
      </c>
      <c r="C129" s="13" t="s">
        <v>630</v>
      </c>
      <c r="D129" s="13" t="s">
        <v>166</v>
      </c>
      <c r="E129" s="13" t="s">
        <v>317</v>
      </c>
      <c r="F129" s="13" t="s">
        <v>437</v>
      </c>
      <c r="G129" s="13" t="s">
        <v>207</v>
      </c>
      <c r="H129" s="31"/>
      <c r="I129" s="33" t="n">
        <v>46174.6948472801</v>
      </c>
      <c r="J129" s="33" t="n">
        <v>46174.6948452546</v>
      </c>
      <c r="K129" s="13" t="s">
        <v>153</v>
      </c>
      <c r="L129" s="13"/>
      <c r="M129" s="13" t="s">
        <v>631</v>
      </c>
      <c r="N129" s="33" t="n">
        <v>46308.7264460648</v>
      </c>
    </row>
    <row r="130" customFormat="false" ht="15" hidden="false" customHeight="false" outlineLevel="0" collapsed="false">
      <c r="A130" s="13" t="s">
        <v>632</v>
      </c>
      <c r="B130" s="13" t="s">
        <v>57</v>
      </c>
      <c r="C130" s="13" t="s">
        <v>633</v>
      </c>
      <c r="D130" s="13" t="s">
        <v>166</v>
      </c>
      <c r="E130" s="13" t="s">
        <v>634</v>
      </c>
      <c r="F130" s="13" t="s">
        <v>401</v>
      </c>
      <c r="G130" s="13"/>
      <c r="H130" s="31"/>
      <c r="I130" s="33" t="n">
        <v>46174.4965640278</v>
      </c>
      <c r="J130" s="33" t="n">
        <v>46174.4965640278</v>
      </c>
      <c r="K130" s="13" t="s">
        <v>153</v>
      </c>
      <c r="L130" s="13"/>
      <c r="M130" s="13" t="s">
        <v>635</v>
      </c>
      <c r="N130" s="33" t="n">
        <v>46308.7264460648</v>
      </c>
    </row>
    <row r="131" customFormat="false" ht="15" hidden="false" customHeight="false" outlineLevel="0" collapsed="false">
      <c r="A131" s="13" t="s">
        <v>636</v>
      </c>
      <c r="B131" s="13" t="s">
        <v>57</v>
      </c>
      <c r="C131" s="13" t="s">
        <v>637</v>
      </c>
      <c r="D131" s="13" t="s">
        <v>166</v>
      </c>
      <c r="E131" s="13" t="s">
        <v>237</v>
      </c>
      <c r="F131" s="13" t="s">
        <v>401</v>
      </c>
      <c r="G131" s="13" t="s">
        <v>189</v>
      </c>
      <c r="H131" s="31"/>
      <c r="I131" s="33" t="n">
        <v>46174.4081707639</v>
      </c>
      <c r="J131" s="33" t="n">
        <v>46174.4081707639</v>
      </c>
      <c r="K131" s="13" t="s">
        <v>153</v>
      </c>
      <c r="L131" s="13"/>
      <c r="M131" s="13" t="s">
        <v>638</v>
      </c>
      <c r="N131" s="33" t="n">
        <v>46308.7264460648</v>
      </c>
    </row>
    <row r="132" customFormat="false" ht="15" hidden="false" customHeight="false" outlineLevel="0" collapsed="false">
      <c r="A132" s="13" t="s">
        <v>639</v>
      </c>
      <c r="B132" s="13" t="s">
        <v>57</v>
      </c>
      <c r="C132" s="13" t="s">
        <v>640</v>
      </c>
      <c r="D132" s="13" t="s">
        <v>166</v>
      </c>
      <c r="E132" s="13" t="s">
        <v>339</v>
      </c>
      <c r="F132" s="13"/>
      <c r="G132" s="13"/>
      <c r="H132" s="31"/>
      <c r="I132" s="33" t="n">
        <v>46170.5954031944</v>
      </c>
      <c r="J132" s="33" t="n">
        <v>46170.5954031944</v>
      </c>
      <c r="K132" s="13" t="s">
        <v>153</v>
      </c>
      <c r="L132" s="13"/>
      <c r="M132" s="13" t="s">
        <v>641</v>
      </c>
      <c r="N132" s="33" t="n">
        <v>46308.7264460648</v>
      </c>
    </row>
    <row r="133" customFormat="false" ht="15" hidden="false" customHeight="false" outlineLevel="0" collapsed="false">
      <c r="A133" s="13" t="s">
        <v>642</v>
      </c>
      <c r="B133" s="13" t="s">
        <v>57</v>
      </c>
      <c r="C133" s="13" t="s">
        <v>643</v>
      </c>
      <c r="D133" s="13" t="s">
        <v>166</v>
      </c>
      <c r="E133" s="13" t="s">
        <v>510</v>
      </c>
      <c r="F133" s="13"/>
      <c r="G133" s="13"/>
      <c r="H133" s="31"/>
      <c r="I133" s="33" t="n">
        <v>46170.5949055324</v>
      </c>
      <c r="J133" s="33" t="n">
        <v>46170.5949055324</v>
      </c>
      <c r="K133" s="13" t="s">
        <v>153</v>
      </c>
      <c r="L133" s="13"/>
      <c r="M133" s="13" t="s">
        <v>644</v>
      </c>
      <c r="N133" s="33" t="n">
        <v>46308.7264460648</v>
      </c>
    </row>
    <row r="134" customFormat="false" ht="15" hidden="false" customHeight="false" outlineLevel="0" collapsed="false">
      <c r="A134" s="13" t="s">
        <v>645</v>
      </c>
      <c r="B134" s="13" t="s">
        <v>57</v>
      </c>
      <c r="C134" s="13" t="s">
        <v>646</v>
      </c>
      <c r="D134" s="13" t="s">
        <v>166</v>
      </c>
      <c r="E134" s="13" t="s">
        <v>647</v>
      </c>
      <c r="F134" s="13" t="s">
        <v>648</v>
      </c>
      <c r="G134" s="13" t="s">
        <v>207</v>
      </c>
      <c r="H134" s="31"/>
      <c r="I134" s="33" t="n">
        <v>46169.4673869329</v>
      </c>
      <c r="J134" s="33" t="n">
        <v>46169.345795081</v>
      </c>
      <c r="K134" s="13" t="s">
        <v>153</v>
      </c>
      <c r="L134" s="13" t="s">
        <v>117</v>
      </c>
      <c r="M134" s="13" t="s">
        <v>649</v>
      </c>
      <c r="N134" s="33" t="n">
        <v>46308.7264460648</v>
      </c>
    </row>
    <row r="135" customFormat="false" ht="15" hidden="false" customHeight="false" outlineLevel="0" collapsed="false">
      <c r="A135" s="13" t="s">
        <v>650</v>
      </c>
      <c r="B135" s="13" t="s">
        <v>57</v>
      </c>
      <c r="C135" s="13" t="s">
        <v>651</v>
      </c>
      <c r="D135" s="13" t="s">
        <v>166</v>
      </c>
      <c r="E135" s="13" t="s">
        <v>317</v>
      </c>
      <c r="F135" s="13"/>
      <c r="G135" s="13" t="s">
        <v>189</v>
      </c>
      <c r="H135" s="31" t="n">
        <v>46170</v>
      </c>
      <c r="I135" s="33" t="n">
        <v>46169.3697421065</v>
      </c>
      <c r="J135" s="33" t="n">
        <v>46169.3649443982</v>
      </c>
      <c r="K135" s="13" t="s">
        <v>153</v>
      </c>
      <c r="L135" s="13"/>
      <c r="M135" s="13" t="s">
        <v>652</v>
      </c>
      <c r="N135" s="33" t="n">
        <v>46308.7264460648</v>
      </c>
    </row>
    <row r="136" customFormat="false" ht="15" hidden="false" customHeight="false" outlineLevel="0" collapsed="false">
      <c r="A136" s="13" t="s">
        <v>653</v>
      </c>
      <c r="B136" s="13" t="s">
        <v>57</v>
      </c>
      <c r="C136" s="13" t="s">
        <v>654</v>
      </c>
      <c r="D136" s="13" t="s">
        <v>166</v>
      </c>
      <c r="E136" s="13"/>
      <c r="F136" s="13" t="s">
        <v>60</v>
      </c>
      <c r="G136" s="13"/>
      <c r="H136" s="31"/>
      <c r="I136" s="33" t="n">
        <v>46168.3635265857</v>
      </c>
      <c r="J136" s="33" t="n">
        <v>46168.3635265857</v>
      </c>
      <c r="K136" s="13" t="s">
        <v>153</v>
      </c>
      <c r="L136" s="13" t="s">
        <v>280</v>
      </c>
      <c r="M136" s="13" t="s">
        <v>655</v>
      </c>
      <c r="N136" s="33" t="n">
        <v>46308.7264460648</v>
      </c>
    </row>
    <row r="137" customFormat="false" ht="15" hidden="false" customHeight="false" outlineLevel="0" collapsed="false">
      <c r="A137" s="13" t="s">
        <v>656</v>
      </c>
      <c r="B137" s="13" t="s">
        <v>57</v>
      </c>
      <c r="C137" s="13" t="s">
        <v>657</v>
      </c>
      <c r="D137" s="13" t="s">
        <v>166</v>
      </c>
      <c r="E137" s="13" t="s">
        <v>95</v>
      </c>
      <c r="F137" s="13"/>
      <c r="G137" s="13" t="s">
        <v>159</v>
      </c>
      <c r="H137" s="31"/>
      <c r="I137" s="33" t="n">
        <v>46168.3631969676</v>
      </c>
      <c r="J137" s="33" t="n">
        <v>46168.3631969676</v>
      </c>
      <c r="K137" s="13" t="s">
        <v>153</v>
      </c>
      <c r="L137" s="13"/>
      <c r="M137" s="13" t="s">
        <v>658</v>
      </c>
      <c r="N137" s="33" t="n">
        <v>46308.7264460648</v>
      </c>
    </row>
    <row r="138" customFormat="false" ht="15" hidden="false" customHeight="false" outlineLevel="0" collapsed="false">
      <c r="A138" s="13" t="s">
        <v>659</v>
      </c>
      <c r="B138" s="13" t="s">
        <v>57</v>
      </c>
      <c r="C138" s="13" t="s">
        <v>660</v>
      </c>
      <c r="D138" s="13" t="s">
        <v>166</v>
      </c>
      <c r="E138" s="13"/>
      <c r="F138" s="13"/>
      <c r="G138" s="13"/>
      <c r="H138" s="31"/>
      <c r="I138" s="33" t="n">
        <v>46168.3629865394</v>
      </c>
      <c r="J138" s="33" t="n">
        <v>46168.3629865394</v>
      </c>
      <c r="K138" s="13" t="s">
        <v>153</v>
      </c>
      <c r="L138" s="13"/>
      <c r="M138" s="13" t="s">
        <v>661</v>
      </c>
      <c r="N138" s="33" t="n">
        <v>46308.7264460648</v>
      </c>
    </row>
    <row r="139" customFormat="false" ht="15" hidden="false" customHeight="false" outlineLevel="0" collapsed="false">
      <c r="A139" s="13" t="s">
        <v>662</v>
      </c>
      <c r="B139" s="13" t="s">
        <v>57</v>
      </c>
      <c r="C139" s="13" t="s">
        <v>663</v>
      </c>
      <c r="D139" s="13" t="s">
        <v>166</v>
      </c>
      <c r="E139" s="13" t="s">
        <v>664</v>
      </c>
      <c r="F139" s="13" t="s">
        <v>555</v>
      </c>
      <c r="G139" s="13" t="s">
        <v>189</v>
      </c>
      <c r="H139" s="31"/>
      <c r="I139" s="33" t="n">
        <v>46163.6804617824</v>
      </c>
      <c r="J139" s="33" t="n">
        <v>46163.6804617824</v>
      </c>
      <c r="K139" s="13" t="s">
        <v>153</v>
      </c>
      <c r="L139" s="13" t="s">
        <v>117</v>
      </c>
      <c r="M139" s="13" t="s">
        <v>665</v>
      </c>
      <c r="N139" s="33" t="n">
        <v>46308.7264460648</v>
      </c>
    </row>
    <row r="140" customFormat="false" ht="15" hidden="false" customHeight="false" outlineLevel="0" collapsed="false">
      <c r="A140" s="13" t="s">
        <v>666</v>
      </c>
      <c r="B140" s="13" t="s">
        <v>57</v>
      </c>
      <c r="C140" s="13" t="s">
        <v>667</v>
      </c>
      <c r="D140" s="13" t="s">
        <v>166</v>
      </c>
      <c r="E140" s="13" t="s">
        <v>348</v>
      </c>
      <c r="F140" s="13" t="s">
        <v>59</v>
      </c>
      <c r="G140" s="13" t="s">
        <v>189</v>
      </c>
      <c r="H140" s="31"/>
      <c r="I140" s="33" t="n">
        <v>46162.6183596065</v>
      </c>
      <c r="J140" s="33" t="n">
        <v>46162.6183596065</v>
      </c>
      <c r="K140" s="13" t="s">
        <v>153</v>
      </c>
      <c r="L140" s="13" t="s">
        <v>117</v>
      </c>
      <c r="M140" s="13" t="s">
        <v>668</v>
      </c>
      <c r="N140" s="33" t="n">
        <v>46308.7264460648</v>
      </c>
    </row>
    <row r="141" customFormat="false" ht="15" hidden="false" customHeight="false" outlineLevel="0" collapsed="false">
      <c r="A141" s="13" t="s">
        <v>669</v>
      </c>
      <c r="B141" s="13" t="s">
        <v>57</v>
      </c>
      <c r="C141" s="13" t="s">
        <v>670</v>
      </c>
      <c r="D141" s="13" t="s">
        <v>166</v>
      </c>
      <c r="E141" s="13" t="s">
        <v>671</v>
      </c>
      <c r="F141" s="13" t="s">
        <v>544</v>
      </c>
      <c r="G141" s="13" t="s">
        <v>159</v>
      </c>
      <c r="H141" s="31"/>
      <c r="I141" s="33" t="n">
        <v>46162.6182582407</v>
      </c>
      <c r="J141" s="33" t="n">
        <v>46162.6182582407</v>
      </c>
      <c r="K141" s="13" t="s">
        <v>153</v>
      </c>
      <c r="L141" s="13" t="s">
        <v>117</v>
      </c>
      <c r="M141" s="13" t="s">
        <v>672</v>
      </c>
      <c r="N141" s="33" t="n">
        <v>46308.7264460648</v>
      </c>
    </row>
    <row r="142" customFormat="false" ht="15" hidden="false" customHeight="false" outlineLevel="0" collapsed="false">
      <c r="A142" s="13" t="s">
        <v>673</v>
      </c>
      <c r="B142" s="13" t="s">
        <v>57</v>
      </c>
      <c r="C142" s="13" t="s">
        <v>674</v>
      </c>
      <c r="D142" s="13" t="s">
        <v>166</v>
      </c>
      <c r="E142" s="13" t="s">
        <v>675</v>
      </c>
      <c r="F142" s="13" t="s">
        <v>539</v>
      </c>
      <c r="G142" s="13"/>
      <c r="H142" s="31"/>
      <c r="I142" s="33" t="n">
        <v>46162.6182103819</v>
      </c>
      <c r="J142" s="33" t="n">
        <v>46162.6182103819</v>
      </c>
      <c r="K142" s="13" t="s">
        <v>153</v>
      </c>
      <c r="L142" s="13" t="s">
        <v>280</v>
      </c>
      <c r="M142" s="13" t="s">
        <v>676</v>
      </c>
      <c r="N142" s="33" t="n">
        <v>46308.7264460648</v>
      </c>
    </row>
    <row r="143" customFormat="false" ht="15" hidden="false" customHeight="false" outlineLevel="0" collapsed="false">
      <c r="A143" s="13" t="s">
        <v>677</v>
      </c>
      <c r="B143" s="13" t="s">
        <v>57</v>
      </c>
      <c r="C143" s="13" t="s">
        <v>678</v>
      </c>
      <c r="D143" s="13" t="s">
        <v>166</v>
      </c>
      <c r="E143" s="13"/>
      <c r="F143" s="13" t="s">
        <v>544</v>
      </c>
      <c r="G143" s="13"/>
      <c r="H143" s="31"/>
      <c r="I143" s="33" t="n">
        <v>46162.6180537269</v>
      </c>
      <c r="J143" s="33" t="n">
        <v>46162.6180537269</v>
      </c>
      <c r="K143" s="13" t="s">
        <v>153</v>
      </c>
      <c r="L143" s="13" t="s">
        <v>117</v>
      </c>
      <c r="M143" s="13" t="s">
        <v>679</v>
      </c>
      <c r="N143" s="33" t="n">
        <v>46308.7264460648</v>
      </c>
    </row>
    <row r="144" customFormat="false" ht="15" hidden="false" customHeight="false" outlineLevel="0" collapsed="false">
      <c r="A144" s="13" t="s">
        <v>680</v>
      </c>
      <c r="B144" s="13" t="s">
        <v>57</v>
      </c>
      <c r="C144" s="13" t="s">
        <v>681</v>
      </c>
      <c r="D144" s="13" t="s">
        <v>166</v>
      </c>
      <c r="E144" s="13" t="s">
        <v>237</v>
      </c>
      <c r="F144" s="13" t="s">
        <v>301</v>
      </c>
      <c r="G144" s="13" t="s">
        <v>207</v>
      </c>
      <c r="H144" s="31"/>
      <c r="I144" s="33" t="n">
        <v>46162.6176965972</v>
      </c>
      <c r="J144" s="33" t="n">
        <v>46162.6176965972</v>
      </c>
      <c r="K144" s="13" t="s">
        <v>153</v>
      </c>
      <c r="L144" s="13" t="s">
        <v>280</v>
      </c>
      <c r="M144" s="13" t="s">
        <v>682</v>
      </c>
      <c r="N144" s="33" t="n">
        <v>46308.7264460648</v>
      </c>
    </row>
    <row r="145" customFormat="false" ht="15" hidden="false" customHeight="false" outlineLevel="0" collapsed="false">
      <c r="A145" s="13" t="s">
        <v>683</v>
      </c>
      <c r="B145" s="13" t="s">
        <v>57</v>
      </c>
      <c r="C145" s="13" t="s">
        <v>626</v>
      </c>
      <c r="D145" s="13" t="s">
        <v>166</v>
      </c>
      <c r="E145" s="13" t="s">
        <v>684</v>
      </c>
      <c r="F145" s="13" t="s">
        <v>59</v>
      </c>
      <c r="G145" s="13" t="s">
        <v>207</v>
      </c>
      <c r="H145" s="31"/>
      <c r="I145" s="33" t="n">
        <v>46162.6144731944</v>
      </c>
      <c r="J145" s="33" t="n">
        <v>46162.6144731944</v>
      </c>
      <c r="K145" s="13" t="s">
        <v>153</v>
      </c>
      <c r="L145" s="13" t="s">
        <v>117</v>
      </c>
      <c r="M145" s="13" t="s">
        <v>685</v>
      </c>
      <c r="N145" s="33" t="n">
        <v>46308.7264460648</v>
      </c>
    </row>
    <row r="146" customFormat="false" ht="15" hidden="false" customHeight="false" outlineLevel="0" collapsed="false">
      <c r="A146" s="13" t="s">
        <v>686</v>
      </c>
      <c r="B146" s="13" t="s">
        <v>57</v>
      </c>
      <c r="C146" s="13" t="s">
        <v>687</v>
      </c>
      <c r="D146" s="13" t="s">
        <v>166</v>
      </c>
      <c r="E146" s="13" t="s">
        <v>688</v>
      </c>
      <c r="F146" s="13" t="s">
        <v>59</v>
      </c>
      <c r="G146" s="13" t="s">
        <v>207</v>
      </c>
      <c r="H146" s="31"/>
      <c r="I146" s="33" t="n">
        <v>46162.6118716667</v>
      </c>
      <c r="J146" s="33" t="n">
        <v>46162.6118716667</v>
      </c>
      <c r="K146" s="13" t="s">
        <v>153</v>
      </c>
      <c r="L146" s="13" t="s">
        <v>117</v>
      </c>
      <c r="M146" s="13" t="s">
        <v>689</v>
      </c>
      <c r="N146" s="33" t="n">
        <v>46308.7264460648</v>
      </c>
    </row>
    <row r="147" customFormat="false" ht="15" hidden="false" customHeight="false" outlineLevel="0" collapsed="false">
      <c r="A147" s="13" t="s">
        <v>690</v>
      </c>
      <c r="B147" s="13" t="s">
        <v>57</v>
      </c>
      <c r="C147" s="13" t="s">
        <v>691</v>
      </c>
      <c r="D147" s="13" t="s">
        <v>166</v>
      </c>
      <c r="E147" s="13" t="s">
        <v>692</v>
      </c>
      <c r="F147" s="13" t="s">
        <v>544</v>
      </c>
      <c r="G147" s="13" t="s">
        <v>207</v>
      </c>
      <c r="H147" s="31"/>
      <c r="I147" s="33" t="n">
        <v>46162.6114042361</v>
      </c>
      <c r="J147" s="33" t="n">
        <v>46162.6114042361</v>
      </c>
      <c r="K147" s="13" t="s">
        <v>153</v>
      </c>
      <c r="L147" s="13" t="s">
        <v>117</v>
      </c>
      <c r="M147" s="13" t="s">
        <v>693</v>
      </c>
      <c r="N147" s="33" t="n">
        <v>46308.7264460648</v>
      </c>
    </row>
    <row r="148" customFormat="false" ht="15" hidden="false" customHeight="false" outlineLevel="0" collapsed="false">
      <c r="A148" s="13" t="s">
        <v>694</v>
      </c>
      <c r="B148" s="13" t="s">
        <v>57</v>
      </c>
      <c r="C148" s="13" t="s">
        <v>695</v>
      </c>
      <c r="D148" s="13" t="s">
        <v>166</v>
      </c>
      <c r="E148" s="13" t="s">
        <v>696</v>
      </c>
      <c r="F148" s="13"/>
      <c r="G148" s="13"/>
      <c r="H148" s="31"/>
      <c r="I148" s="33" t="n">
        <v>46162.5988559838</v>
      </c>
      <c r="J148" s="33" t="n">
        <v>46162.5988559838</v>
      </c>
      <c r="K148" s="13" t="s">
        <v>153</v>
      </c>
      <c r="L148" s="13"/>
      <c r="M148" s="13" t="s">
        <v>697</v>
      </c>
      <c r="N148" s="33" t="n">
        <v>46308.7264460648</v>
      </c>
    </row>
    <row r="149" customFormat="false" ht="15" hidden="false" customHeight="false" outlineLevel="0" collapsed="false">
      <c r="A149" s="13" t="s">
        <v>698</v>
      </c>
      <c r="B149" s="13" t="s">
        <v>57</v>
      </c>
      <c r="C149" s="13" t="s">
        <v>258</v>
      </c>
      <c r="D149" s="13" t="s">
        <v>166</v>
      </c>
      <c r="E149" s="13" t="s">
        <v>699</v>
      </c>
      <c r="F149" s="13"/>
      <c r="G149" s="13"/>
      <c r="H149" s="31"/>
      <c r="I149" s="33" t="n">
        <v>46162.5988559838</v>
      </c>
      <c r="J149" s="33" t="n">
        <v>46162.5988559838</v>
      </c>
      <c r="K149" s="13" t="s">
        <v>153</v>
      </c>
      <c r="L149" s="13"/>
      <c r="M149" s="13" t="s">
        <v>700</v>
      </c>
      <c r="N149" s="33" t="n">
        <v>46308.7264460648</v>
      </c>
    </row>
    <row r="150" customFormat="false" ht="15" hidden="false" customHeight="false" outlineLevel="0" collapsed="false">
      <c r="A150" s="13" t="s">
        <v>701</v>
      </c>
      <c r="B150" s="13" t="s">
        <v>57</v>
      </c>
      <c r="C150" s="13" t="s">
        <v>702</v>
      </c>
      <c r="D150" s="13" t="s">
        <v>166</v>
      </c>
      <c r="E150" s="13"/>
      <c r="F150" s="13"/>
      <c r="G150" s="13"/>
      <c r="H150" s="31"/>
      <c r="I150" s="33" t="n">
        <v>46162.5988559838</v>
      </c>
      <c r="J150" s="33" t="n">
        <v>46162.5988559838</v>
      </c>
      <c r="K150" s="13" t="s">
        <v>153</v>
      </c>
      <c r="L150" s="13"/>
      <c r="M150" s="13" t="s">
        <v>703</v>
      </c>
      <c r="N150" s="33" t="n">
        <v>46308.7264460648</v>
      </c>
    </row>
    <row r="151" customFormat="false" ht="15" hidden="false" customHeight="false" outlineLevel="0" collapsed="false">
      <c r="A151" s="13" t="s">
        <v>704</v>
      </c>
      <c r="B151" s="13" t="s">
        <v>57</v>
      </c>
      <c r="C151" s="13" t="s">
        <v>705</v>
      </c>
      <c r="D151" s="13" t="s">
        <v>166</v>
      </c>
      <c r="E151" s="13" t="s">
        <v>706</v>
      </c>
      <c r="F151" s="13"/>
      <c r="G151" s="13"/>
      <c r="H151" s="31"/>
      <c r="I151" s="33" t="n">
        <v>46162.5988559838</v>
      </c>
      <c r="J151" s="33" t="n">
        <v>46162.5988559838</v>
      </c>
      <c r="K151" s="13" t="s">
        <v>153</v>
      </c>
      <c r="L151" s="13"/>
      <c r="M151" s="13" t="s">
        <v>707</v>
      </c>
      <c r="N151" s="33" t="n">
        <v>46308.7264460648</v>
      </c>
    </row>
    <row r="152" customFormat="false" ht="15" hidden="false" customHeight="false" outlineLevel="0" collapsed="false">
      <c r="A152" s="13" t="s">
        <v>708</v>
      </c>
      <c r="B152" s="13" t="s">
        <v>57</v>
      </c>
      <c r="C152" s="13" t="s">
        <v>709</v>
      </c>
      <c r="D152" s="13" t="s">
        <v>166</v>
      </c>
      <c r="E152" s="13" t="s">
        <v>339</v>
      </c>
      <c r="F152" s="13"/>
      <c r="G152" s="13" t="s">
        <v>207</v>
      </c>
      <c r="H152" s="31"/>
      <c r="I152" s="33" t="n">
        <v>46156.6840223727</v>
      </c>
      <c r="J152" s="33" t="n">
        <v>46156.6840223727</v>
      </c>
      <c r="K152" s="13" t="s">
        <v>153</v>
      </c>
      <c r="L152" s="13"/>
      <c r="M152" s="13" t="s">
        <v>710</v>
      </c>
      <c r="N152" s="33" t="n">
        <v>46308.7264460648</v>
      </c>
    </row>
    <row r="153" customFormat="false" ht="15" hidden="false" customHeight="false" outlineLevel="0" collapsed="false">
      <c r="A153" s="13" t="s">
        <v>711</v>
      </c>
      <c r="B153" s="13" t="s">
        <v>57</v>
      </c>
      <c r="C153" s="13" t="s">
        <v>712</v>
      </c>
      <c r="D153" s="13" t="s">
        <v>166</v>
      </c>
      <c r="E153" s="13" t="s">
        <v>713</v>
      </c>
      <c r="F153" s="13" t="s">
        <v>714</v>
      </c>
      <c r="G153" s="13" t="s">
        <v>189</v>
      </c>
      <c r="H153" s="31"/>
      <c r="I153" s="33" t="n">
        <v>46154.4410160995</v>
      </c>
      <c r="J153" s="33" t="n">
        <v>46154.4409632292</v>
      </c>
      <c r="K153" s="13" t="s">
        <v>153</v>
      </c>
      <c r="L153" s="13" t="s">
        <v>280</v>
      </c>
      <c r="M153" s="13" t="s">
        <v>715</v>
      </c>
      <c r="N153" s="33" t="n">
        <v>46308.7264460648</v>
      </c>
    </row>
    <row r="154" customFormat="false" ht="15" hidden="false" customHeight="false" outlineLevel="0" collapsed="false">
      <c r="A154" s="13" t="s">
        <v>716</v>
      </c>
      <c r="B154" s="13" t="s">
        <v>57</v>
      </c>
      <c r="C154" s="13" t="s">
        <v>717</v>
      </c>
      <c r="D154" s="13" t="s">
        <v>166</v>
      </c>
      <c r="E154" s="13" t="s">
        <v>317</v>
      </c>
      <c r="F154" s="13" t="s">
        <v>158</v>
      </c>
      <c r="G154" s="13" t="s">
        <v>189</v>
      </c>
      <c r="H154" s="31"/>
      <c r="I154" s="33" t="n">
        <v>46154.3810434491</v>
      </c>
      <c r="J154" s="33" t="n">
        <v>46154.3810434491</v>
      </c>
      <c r="K154" s="13" t="s">
        <v>153</v>
      </c>
      <c r="L154" s="13"/>
      <c r="M154" s="13" t="s">
        <v>718</v>
      </c>
      <c r="N154" s="33" t="n">
        <v>46308.7264460648</v>
      </c>
    </row>
    <row r="155" customFormat="false" ht="15" hidden="false" customHeight="false" outlineLevel="0" collapsed="false">
      <c r="A155" s="13" t="s">
        <v>719</v>
      </c>
      <c r="B155" s="13" t="s">
        <v>57</v>
      </c>
      <c r="C155" s="13" t="s">
        <v>720</v>
      </c>
      <c r="D155" s="13" t="s">
        <v>166</v>
      </c>
      <c r="E155" s="13" t="s">
        <v>721</v>
      </c>
      <c r="F155" s="13" t="s">
        <v>597</v>
      </c>
      <c r="G155" s="13" t="s">
        <v>189</v>
      </c>
      <c r="H155" s="31"/>
      <c r="I155" s="33" t="n">
        <v>46149.6442110995</v>
      </c>
      <c r="J155" s="33" t="n">
        <v>46149.6441145718</v>
      </c>
      <c r="K155" s="13" t="s">
        <v>153</v>
      </c>
      <c r="L155" s="13"/>
      <c r="M155" s="13" t="s">
        <v>722</v>
      </c>
      <c r="N155" s="33" t="n">
        <v>46308.7264460648</v>
      </c>
    </row>
    <row r="156" customFormat="false" ht="15" hidden="false" customHeight="false" outlineLevel="0" collapsed="false">
      <c r="A156" s="13" t="s">
        <v>723</v>
      </c>
      <c r="B156" s="13" t="s">
        <v>57</v>
      </c>
      <c r="C156" s="13" t="s">
        <v>724</v>
      </c>
      <c r="D156" s="13" t="s">
        <v>166</v>
      </c>
      <c r="E156" s="13" t="s">
        <v>620</v>
      </c>
      <c r="F156" s="13" t="s">
        <v>59</v>
      </c>
      <c r="G156" s="13" t="s">
        <v>207</v>
      </c>
      <c r="H156" s="31"/>
      <c r="I156" s="33" t="n">
        <v>46147.3980894329</v>
      </c>
      <c r="J156" s="33" t="n">
        <v>46147.3980894329</v>
      </c>
      <c r="K156" s="13" t="s">
        <v>153</v>
      </c>
      <c r="L156" s="13" t="s">
        <v>117</v>
      </c>
      <c r="M156" s="13" t="s">
        <v>725</v>
      </c>
      <c r="N156" s="33" t="n">
        <v>46308.7264460648</v>
      </c>
    </row>
    <row r="157" customFormat="false" ht="15" hidden="false" customHeight="false" outlineLevel="0" collapsed="false">
      <c r="A157" s="13" t="s">
        <v>726</v>
      </c>
      <c r="B157" s="13" t="s">
        <v>57</v>
      </c>
      <c r="C157" s="13" t="s">
        <v>727</v>
      </c>
      <c r="D157" s="13" t="s">
        <v>166</v>
      </c>
      <c r="E157" s="13" t="s">
        <v>339</v>
      </c>
      <c r="F157" s="13"/>
      <c r="G157" s="13"/>
      <c r="H157" s="31"/>
      <c r="I157" s="33" t="n">
        <v>46146.4666591782</v>
      </c>
      <c r="J157" s="33" t="n">
        <v>46146.4666591782</v>
      </c>
      <c r="K157" s="13" t="s">
        <v>153</v>
      </c>
      <c r="L157" s="13"/>
      <c r="M157" s="13" t="s">
        <v>728</v>
      </c>
      <c r="N157" s="33" t="n">
        <v>46308.7264460648</v>
      </c>
    </row>
    <row r="158" customFormat="false" ht="15" hidden="false" customHeight="false" outlineLevel="0" collapsed="false">
      <c r="A158" s="13" t="s">
        <v>729</v>
      </c>
      <c r="B158" s="13" t="s">
        <v>57</v>
      </c>
      <c r="C158" s="13" t="s">
        <v>730</v>
      </c>
      <c r="D158" s="13" t="s">
        <v>166</v>
      </c>
      <c r="E158" s="13" t="s">
        <v>731</v>
      </c>
      <c r="F158" s="13"/>
      <c r="G158" s="13" t="s">
        <v>159</v>
      </c>
      <c r="H158" s="31"/>
      <c r="I158" s="33" t="n">
        <v>46141.6865495139</v>
      </c>
      <c r="J158" s="33" t="n">
        <v>46141.6865495139</v>
      </c>
      <c r="K158" s="13" t="s">
        <v>153</v>
      </c>
      <c r="L158" s="13"/>
      <c r="M158" s="13" t="s">
        <v>732</v>
      </c>
      <c r="N158" s="33" t="n">
        <v>46308.7264460648</v>
      </c>
    </row>
    <row r="159" customFormat="false" ht="15" hidden="false" customHeight="false" outlineLevel="0" collapsed="false">
      <c r="A159" s="13" t="s">
        <v>733</v>
      </c>
      <c r="B159" s="13" t="s">
        <v>57</v>
      </c>
      <c r="C159" s="13" t="s">
        <v>734</v>
      </c>
      <c r="D159" s="13" t="s">
        <v>166</v>
      </c>
      <c r="E159" s="13" t="s">
        <v>735</v>
      </c>
      <c r="F159" s="13" t="s">
        <v>736</v>
      </c>
      <c r="G159" s="13" t="s">
        <v>189</v>
      </c>
      <c r="H159" s="31"/>
      <c r="I159" s="33" t="n">
        <v>46135.4589304514</v>
      </c>
      <c r="J159" s="33" t="n">
        <v>46135.4589304514</v>
      </c>
      <c r="K159" s="13" t="s">
        <v>153</v>
      </c>
      <c r="L159" s="13" t="s">
        <v>117</v>
      </c>
      <c r="M159" s="13" t="s">
        <v>737</v>
      </c>
      <c r="N159" s="33" t="n">
        <v>46308.7264460648</v>
      </c>
    </row>
    <row r="160" customFormat="false" ht="15" hidden="false" customHeight="false" outlineLevel="0" collapsed="false">
      <c r="A160" s="13" t="s">
        <v>738</v>
      </c>
      <c r="B160" s="13" t="s">
        <v>57</v>
      </c>
      <c r="C160" s="13" t="s">
        <v>739</v>
      </c>
      <c r="D160" s="13" t="s">
        <v>166</v>
      </c>
      <c r="E160" s="13"/>
      <c r="F160" s="13"/>
      <c r="G160" s="13"/>
      <c r="H160" s="31"/>
      <c r="I160" s="33" t="n">
        <v>46134.4739394676</v>
      </c>
      <c r="J160" s="33" t="n">
        <v>46134.4739394676</v>
      </c>
      <c r="K160" s="13" t="s">
        <v>153</v>
      </c>
      <c r="L160" s="13"/>
      <c r="M160" s="13" t="s">
        <v>740</v>
      </c>
      <c r="N160" s="33" t="n">
        <v>46308.7264460648</v>
      </c>
    </row>
    <row r="161" customFormat="false" ht="15" hidden="false" customHeight="false" outlineLevel="0" collapsed="false">
      <c r="A161" s="13" t="s">
        <v>741</v>
      </c>
      <c r="B161" s="13" t="s">
        <v>57</v>
      </c>
      <c r="C161" s="13" t="s">
        <v>742</v>
      </c>
      <c r="D161" s="13" t="s">
        <v>166</v>
      </c>
      <c r="E161" s="13" t="s">
        <v>743</v>
      </c>
      <c r="F161" s="13" t="s">
        <v>158</v>
      </c>
      <c r="G161" s="13"/>
      <c r="H161" s="31"/>
      <c r="I161" s="33" t="n">
        <v>46134.4739394676</v>
      </c>
      <c r="J161" s="33" t="n">
        <v>46134.4739394676</v>
      </c>
      <c r="K161" s="13" t="s">
        <v>153</v>
      </c>
      <c r="L161" s="13"/>
      <c r="M161" s="13" t="s">
        <v>744</v>
      </c>
      <c r="N161" s="33" t="n">
        <v>46308.7264460648</v>
      </c>
    </row>
    <row r="162" customFormat="false" ht="15" hidden="false" customHeight="false" outlineLevel="0" collapsed="false">
      <c r="A162" s="13" t="s">
        <v>745</v>
      </c>
      <c r="B162" s="13" t="s">
        <v>57</v>
      </c>
      <c r="C162" s="13" t="s">
        <v>746</v>
      </c>
      <c r="D162" s="13" t="s">
        <v>166</v>
      </c>
      <c r="E162" s="13" t="s">
        <v>339</v>
      </c>
      <c r="F162" s="13" t="s">
        <v>597</v>
      </c>
      <c r="G162" s="13" t="s">
        <v>207</v>
      </c>
      <c r="H162" s="31"/>
      <c r="I162" s="33" t="n">
        <v>46134.4139322338</v>
      </c>
      <c r="J162" s="33" t="n">
        <v>46134.4139322338</v>
      </c>
      <c r="K162" s="13" t="s">
        <v>153</v>
      </c>
      <c r="L162" s="13"/>
      <c r="M162" s="13" t="s">
        <v>747</v>
      </c>
      <c r="N162" s="33" t="n">
        <v>46308.7264460648</v>
      </c>
    </row>
    <row r="163" customFormat="false" ht="15" hidden="false" customHeight="false" outlineLevel="0" collapsed="false">
      <c r="A163" s="13" t="s">
        <v>748</v>
      </c>
      <c r="B163" s="13" t="s">
        <v>57</v>
      </c>
      <c r="C163" s="13" t="s">
        <v>749</v>
      </c>
      <c r="D163" s="13" t="s">
        <v>166</v>
      </c>
      <c r="E163" s="13" t="s">
        <v>750</v>
      </c>
      <c r="F163" s="13" t="s">
        <v>751</v>
      </c>
      <c r="G163" s="13" t="s">
        <v>189</v>
      </c>
      <c r="H163" s="31"/>
      <c r="I163" s="33" t="n">
        <v>46134.3922283565</v>
      </c>
      <c r="J163" s="33" t="n">
        <v>46134.3922283565</v>
      </c>
      <c r="K163" s="13" t="s">
        <v>153</v>
      </c>
      <c r="L163" s="13"/>
      <c r="M163" s="13" t="s">
        <v>752</v>
      </c>
      <c r="N163" s="33" t="n">
        <v>46308.7264460648</v>
      </c>
    </row>
    <row r="164" customFormat="false" ht="15" hidden="false" customHeight="false" outlineLevel="0" collapsed="false">
      <c r="A164" s="13" t="s">
        <v>753</v>
      </c>
      <c r="B164" s="13" t="s">
        <v>57</v>
      </c>
      <c r="C164" s="13" t="s">
        <v>473</v>
      </c>
      <c r="D164" s="13" t="s">
        <v>166</v>
      </c>
      <c r="E164" s="13" t="s">
        <v>339</v>
      </c>
      <c r="F164" s="13" t="s">
        <v>597</v>
      </c>
      <c r="G164" s="13" t="s">
        <v>207</v>
      </c>
      <c r="H164" s="31"/>
      <c r="I164" s="33" t="n">
        <v>46127.4215824537</v>
      </c>
      <c r="J164" s="33" t="n">
        <v>46127.4215824537</v>
      </c>
      <c r="K164" s="13" t="s">
        <v>153</v>
      </c>
      <c r="L164" s="13"/>
      <c r="M164" s="13" t="s">
        <v>754</v>
      </c>
      <c r="N164" s="33" t="n">
        <v>46308.7264460648</v>
      </c>
    </row>
    <row r="165" customFormat="false" ht="15" hidden="false" customHeight="false" outlineLevel="0" collapsed="false">
      <c r="A165" s="13" t="s">
        <v>755</v>
      </c>
      <c r="B165" s="13" t="s">
        <v>57</v>
      </c>
      <c r="C165" s="13" t="s">
        <v>756</v>
      </c>
      <c r="D165" s="13" t="s">
        <v>166</v>
      </c>
      <c r="E165" s="13" t="s">
        <v>757</v>
      </c>
      <c r="F165" s="13" t="s">
        <v>758</v>
      </c>
      <c r="G165" s="13" t="s">
        <v>189</v>
      </c>
      <c r="H165" s="31"/>
      <c r="I165" s="33" t="n">
        <v>46127.4116328472</v>
      </c>
      <c r="J165" s="33" t="n">
        <v>46127.4116328472</v>
      </c>
      <c r="K165" s="13" t="s">
        <v>153</v>
      </c>
      <c r="L165" s="13" t="s">
        <v>117</v>
      </c>
      <c r="M165" s="13" t="s">
        <v>759</v>
      </c>
      <c r="N165" s="33" t="n">
        <v>46308.7264460648</v>
      </c>
    </row>
    <row r="166" customFormat="false" ht="15" hidden="false" customHeight="false" outlineLevel="0" collapsed="false">
      <c r="A166" s="13" t="s">
        <v>760</v>
      </c>
      <c r="B166" s="13" t="s">
        <v>57</v>
      </c>
      <c r="C166" s="13" t="s">
        <v>761</v>
      </c>
      <c r="D166" s="13" t="s">
        <v>166</v>
      </c>
      <c r="E166" s="13" t="s">
        <v>762</v>
      </c>
      <c r="F166" s="13" t="s">
        <v>301</v>
      </c>
      <c r="G166" s="13" t="s">
        <v>207</v>
      </c>
      <c r="H166" s="31"/>
      <c r="I166" s="33" t="n">
        <v>46121.721809456</v>
      </c>
      <c r="J166" s="33" t="n">
        <v>46121.721809456</v>
      </c>
      <c r="K166" s="13" t="s">
        <v>153</v>
      </c>
      <c r="L166" s="13" t="s">
        <v>280</v>
      </c>
      <c r="M166" s="13" t="s">
        <v>763</v>
      </c>
      <c r="N166" s="33" t="n">
        <v>46308.7264460648</v>
      </c>
    </row>
    <row r="167" customFormat="false" ht="15" hidden="false" customHeight="false" outlineLevel="0" collapsed="false">
      <c r="A167" s="13" t="s">
        <v>764</v>
      </c>
      <c r="B167" s="13" t="s">
        <v>57</v>
      </c>
      <c r="C167" s="13" t="s">
        <v>473</v>
      </c>
      <c r="D167" s="13" t="s">
        <v>166</v>
      </c>
      <c r="E167" s="13" t="s">
        <v>339</v>
      </c>
      <c r="F167" s="13" t="s">
        <v>597</v>
      </c>
      <c r="G167" s="13" t="s">
        <v>189</v>
      </c>
      <c r="H167" s="31"/>
      <c r="I167" s="33" t="n">
        <v>46121.3953198843</v>
      </c>
      <c r="J167" s="33" t="n">
        <v>46121.3953198843</v>
      </c>
      <c r="K167" s="13" t="s">
        <v>153</v>
      </c>
      <c r="L167" s="13"/>
      <c r="M167" s="13" t="s">
        <v>765</v>
      </c>
      <c r="N167" s="33" t="n">
        <v>46308.7264460648</v>
      </c>
    </row>
    <row r="168" customFormat="false" ht="15" hidden="false" customHeight="false" outlineLevel="0" collapsed="false">
      <c r="A168" s="13" t="s">
        <v>766</v>
      </c>
      <c r="B168" s="13" t="s">
        <v>57</v>
      </c>
      <c r="C168" s="13" t="s">
        <v>473</v>
      </c>
      <c r="D168" s="13" t="s">
        <v>166</v>
      </c>
      <c r="E168" s="13" t="s">
        <v>339</v>
      </c>
      <c r="F168" s="13" t="s">
        <v>597</v>
      </c>
      <c r="G168" s="13" t="s">
        <v>207</v>
      </c>
      <c r="H168" s="31"/>
      <c r="I168" s="33" t="n">
        <v>46121.3887300232</v>
      </c>
      <c r="J168" s="33" t="n">
        <v>46121.3887300232</v>
      </c>
      <c r="K168" s="13" t="s">
        <v>153</v>
      </c>
      <c r="L168" s="13"/>
      <c r="M168" s="13" t="s">
        <v>767</v>
      </c>
      <c r="N168" s="33" t="n">
        <v>46308.7264460648</v>
      </c>
    </row>
    <row r="169" customFormat="false" ht="15" hidden="false" customHeight="false" outlineLevel="0" collapsed="false">
      <c r="A169" s="13" t="s">
        <v>768</v>
      </c>
      <c r="B169" s="13" t="s">
        <v>57</v>
      </c>
      <c r="C169" s="13" t="s">
        <v>769</v>
      </c>
      <c r="D169" s="13" t="s">
        <v>166</v>
      </c>
      <c r="E169" s="13" t="s">
        <v>770</v>
      </c>
      <c r="F169" s="13"/>
      <c r="G169" s="13" t="s">
        <v>207</v>
      </c>
      <c r="H169" s="31"/>
      <c r="I169" s="33" t="n">
        <v>46120.7210418982</v>
      </c>
      <c r="J169" s="33" t="n">
        <v>46120.7210418982</v>
      </c>
      <c r="K169" s="13" t="s">
        <v>153</v>
      </c>
      <c r="L169" s="13"/>
      <c r="M169" s="13" t="s">
        <v>771</v>
      </c>
      <c r="N169" s="33" t="n">
        <v>46308.7264460648</v>
      </c>
    </row>
    <row r="170" customFormat="false" ht="15" hidden="false" customHeight="false" outlineLevel="0" collapsed="false">
      <c r="A170" s="13" t="s">
        <v>772</v>
      </c>
      <c r="B170" s="13" t="s">
        <v>57</v>
      </c>
      <c r="C170" s="13" t="s">
        <v>773</v>
      </c>
      <c r="D170" s="13" t="s">
        <v>166</v>
      </c>
      <c r="E170" s="13" t="s">
        <v>95</v>
      </c>
      <c r="F170" s="13" t="s">
        <v>597</v>
      </c>
      <c r="G170" s="13" t="s">
        <v>207</v>
      </c>
      <c r="H170" s="31"/>
      <c r="I170" s="33" t="n">
        <v>46118.7194969676</v>
      </c>
      <c r="J170" s="33" t="n">
        <v>46118.7194969676</v>
      </c>
      <c r="K170" s="13" t="s">
        <v>153</v>
      </c>
      <c r="L170" s="13"/>
      <c r="M170" s="13" t="s">
        <v>774</v>
      </c>
      <c r="N170" s="33" t="n">
        <v>46308.7264460648</v>
      </c>
    </row>
    <row r="171" customFormat="false" ht="15" hidden="false" customHeight="false" outlineLevel="0" collapsed="false">
      <c r="A171" s="13" t="s">
        <v>775</v>
      </c>
      <c r="B171" s="13" t="s">
        <v>57</v>
      </c>
      <c r="C171" s="13" t="s">
        <v>773</v>
      </c>
      <c r="D171" s="13" t="s">
        <v>166</v>
      </c>
      <c r="E171" s="13" t="s">
        <v>95</v>
      </c>
      <c r="F171" s="13" t="s">
        <v>597</v>
      </c>
      <c r="G171" s="13" t="s">
        <v>207</v>
      </c>
      <c r="H171" s="31"/>
      <c r="I171" s="33" t="n">
        <v>46118.7192869329</v>
      </c>
      <c r="J171" s="33" t="n">
        <v>46118.7192869329</v>
      </c>
      <c r="K171" s="13" t="s">
        <v>153</v>
      </c>
      <c r="L171" s="13"/>
      <c r="M171" s="13" t="s">
        <v>776</v>
      </c>
      <c r="N171" s="33" t="n">
        <v>46308.7264460648</v>
      </c>
    </row>
    <row r="172" customFormat="false" ht="15" hidden="false" customHeight="false" outlineLevel="0" collapsed="false">
      <c r="A172" s="13" t="s">
        <v>777</v>
      </c>
      <c r="B172" s="13" t="s">
        <v>57</v>
      </c>
      <c r="C172" s="13" t="s">
        <v>473</v>
      </c>
      <c r="D172" s="13" t="s">
        <v>166</v>
      </c>
      <c r="E172" s="13" t="s">
        <v>95</v>
      </c>
      <c r="F172" s="13" t="s">
        <v>597</v>
      </c>
      <c r="G172" s="13" t="s">
        <v>207</v>
      </c>
      <c r="H172" s="31"/>
      <c r="I172" s="33" t="n">
        <v>46118.7126570833</v>
      </c>
      <c r="J172" s="33" t="n">
        <v>46118.7126570833</v>
      </c>
      <c r="K172" s="13" t="s">
        <v>153</v>
      </c>
      <c r="L172" s="13"/>
      <c r="M172" s="13" t="s">
        <v>778</v>
      </c>
      <c r="N172" s="33" t="n">
        <v>46308.7264460648</v>
      </c>
    </row>
    <row r="173" customFormat="false" ht="15" hidden="false" customHeight="false" outlineLevel="0" collapsed="false">
      <c r="A173" s="13" t="s">
        <v>779</v>
      </c>
      <c r="B173" s="13" t="s">
        <v>57</v>
      </c>
      <c r="C173" s="13" t="s">
        <v>773</v>
      </c>
      <c r="D173" s="13" t="s">
        <v>166</v>
      </c>
      <c r="E173" s="13" t="s">
        <v>95</v>
      </c>
      <c r="F173" s="13" t="s">
        <v>597</v>
      </c>
      <c r="G173" s="13" t="s">
        <v>207</v>
      </c>
      <c r="H173" s="31"/>
      <c r="I173" s="33" t="n">
        <v>46118.7125550579</v>
      </c>
      <c r="J173" s="33" t="n">
        <v>46118.7125550579</v>
      </c>
      <c r="K173" s="13" t="s">
        <v>153</v>
      </c>
      <c r="L173" s="13"/>
      <c r="M173" s="13" t="s">
        <v>780</v>
      </c>
      <c r="N173" s="33" t="n">
        <v>46308.7264460648</v>
      </c>
    </row>
    <row r="174" customFormat="false" ht="15" hidden="false" customHeight="false" outlineLevel="0" collapsed="false">
      <c r="A174" s="13" t="s">
        <v>781</v>
      </c>
      <c r="B174" s="13" t="s">
        <v>57</v>
      </c>
      <c r="C174" s="13" t="s">
        <v>782</v>
      </c>
      <c r="D174" s="13" t="s">
        <v>166</v>
      </c>
      <c r="E174" s="13" t="s">
        <v>95</v>
      </c>
      <c r="F174" s="13" t="s">
        <v>597</v>
      </c>
      <c r="G174" s="13" t="s">
        <v>207</v>
      </c>
      <c r="H174" s="31"/>
      <c r="I174" s="33" t="n">
        <v>46118.7124988194</v>
      </c>
      <c r="J174" s="33" t="n">
        <v>46118.7124988194</v>
      </c>
      <c r="K174" s="13" t="s">
        <v>153</v>
      </c>
      <c r="L174" s="13"/>
      <c r="M174" s="13" t="s">
        <v>783</v>
      </c>
      <c r="N174" s="33" t="n">
        <v>46308.7264460648</v>
      </c>
    </row>
    <row r="175" customFormat="false" ht="15" hidden="false" customHeight="false" outlineLevel="0" collapsed="false">
      <c r="A175" s="13" t="s">
        <v>784</v>
      </c>
      <c r="B175" s="13" t="s">
        <v>57</v>
      </c>
      <c r="C175" s="13" t="s">
        <v>785</v>
      </c>
      <c r="D175" s="13" t="s">
        <v>166</v>
      </c>
      <c r="E175" s="13" t="s">
        <v>348</v>
      </c>
      <c r="F175" s="13"/>
      <c r="G175" s="13" t="s">
        <v>189</v>
      </c>
      <c r="H175" s="31"/>
      <c r="I175" s="33" t="n">
        <v>46118.4027283681</v>
      </c>
      <c r="J175" s="33" t="n">
        <v>46118.4027283681</v>
      </c>
      <c r="K175" s="13" t="s">
        <v>153</v>
      </c>
      <c r="L175" s="13"/>
      <c r="M175" s="13" t="s">
        <v>786</v>
      </c>
      <c r="N175" s="33" t="n">
        <v>46308.7264460648</v>
      </c>
    </row>
    <row r="176" customFormat="false" ht="15" hidden="false" customHeight="false" outlineLevel="0" collapsed="false">
      <c r="A176" s="13" t="s">
        <v>787</v>
      </c>
      <c r="B176" s="13" t="s">
        <v>57</v>
      </c>
      <c r="C176" s="13" t="s">
        <v>788</v>
      </c>
      <c r="D176" s="13" t="s">
        <v>166</v>
      </c>
      <c r="E176" s="13" t="s">
        <v>95</v>
      </c>
      <c r="F176" s="13" t="s">
        <v>544</v>
      </c>
      <c r="G176" s="13" t="s">
        <v>189</v>
      </c>
      <c r="H176" s="31"/>
      <c r="I176" s="33" t="n">
        <v>46114.3928594676</v>
      </c>
      <c r="J176" s="33" t="n">
        <v>46114.3928594676</v>
      </c>
      <c r="K176" s="13" t="s">
        <v>153</v>
      </c>
      <c r="L176" s="13" t="s">
        <v>117</v>
      </c>
      <c r="M176" s="13" t="s">
        <v>789</v>
      </c>
      <c r="N176" s="33" t="n">
        <v>46308.7264460648</v>
      </c>
    </row>
    <row r="177" customFormat="false" ht="15" hidden="false" customHeight="false" outlineLevel="0" collapsed="false">
      <c r="A177" s="13" t="s">
        <v>790</v>
      </c>
      <c r="B177" s="13" t="s">
        <v>57</v>
      </c>
      <c r="C177" s="13" t="s">
        <v>791</v>
      </c>
      <c r="D177" s="13" t="s">
        <v>166</v>
      </c>
      <c r="E177" s="13" t="s">
        <v>95</v>
      </c>
      <c r="F177" s="13"/>
      <c r="G177" s="13" t="s">
        <v>189</v>
      </c>
      <c r="H177" s="31"/>
      <c r="I177" s="33" t="n">
        <v>46114.3829706829</v>
      </c>
      <c r="J177" s="33" t="n">
        <v>46114.3829706829</v>
      </c>
      <c r="K177" s="13" t="s">
        <v>153</v>
      </c>
      <c r="L177" s="13"/>
      <c r="M177" s="13" t="s">
        <v>792</v>
      </c>
      <c r="N177" s="33" t="n">
        <v>46308.7264460648</v>
      </c>
    </row>
    <row r="178" customFormat="false" ht="15" hidden="false" customHeight="false" outlineLevel="0" collapsed="false">
      <c r="A178" s="13" t="s">
        <v>793</v>
      </c>
      <c r="B178" s="13" t="s">
        <v>57</v>
      </c>
      <c r="C178" s="13" t="s">
        <v>794</v>
      </c>
      <c r="D178" s="13" t="s">
        <v>166</v>
      </c>
      <c r="E178" s="13" t="s">
        <v>795</v>
      </c>
      <c r="F178" s="13" t="s">
        <v>158</v>
      </c>
      <c r="G178" s="13" t="s">
        <v>207</v>
      </c>
      <c r="H178" s="31"/>
      <c r="I178" s="33" t="n">
        <v>46114.3632752894</v>
      </c>
      <c r="J178" s="33" t="n">
        <v>46114.3632752894</v>
      </c>
      <c r="K178" s="13" t="s">
        <v>153</v>
      </c>
      <c r="L178" s="13"/>
      <c r="M178" s="13" t="s">
        <v>796</v>
      </c>
      <c r="N178" s="33" t="n">
        <v>46308.7264460648</v>
      </c>
    </row>
    <row r="179" customFormat="false" ht="15" hidden="false" customHeight="false" outlineLevel="0" collapsed="false">
      <c r="A179" s="13" t="s">
        <v>797</v>
      </c>
      <c r="B179" s="13" t="s">
        <v>57</v>
      </c>
      <c r="C179" s="13" t="s">
        <v>798</v>
      </c>
      <c r="D179" s="13" t="s">
        <v>166</v>
      </c>
      <c r="E179" s="13" t="s">
        <v>706</v>
      </c>
      <c r="F179" s="13"/>
      <c r="G179" s="13"/>
      <c r="H179" s="31"/>
      <c r="I179" s="33" t="n">
        <v>46113.7007471991</v>
      </c>
      <c r="J179" s="33" t="n">
        <v>46113.7007471991</v>
      </c>
      <c r="K179" s="13" t="s">
        <v>153</v>
      </c>
      <c r="L179" s="13"/>
      <c r="M179" s="13" t="s">
        <v>799</v>
      </c>
      <c r="N179" s="33" t="n">
        <v>46308.7264460648</v>
      </c>
    </row>
    <row r="180" customFormat="false" ht="15" hidden="false" customHeight="false" outlineLevel="0" collapsed="false">
      <c r="A180" s="13" t="s">
        <v>800</v>
      </c>
      <c r="B180" s="13" t="s">
        <v>57</v>
      </c>
      <c r="C180" s="13" t="s">
        <v>801</v>
      </c>
      <c r="D180" s="13" t="s">
        <v>166</v>
      </c>
      <c r="E180" s="13" t="s">
        <v>802</v>
      </c>
      <c r="F180" s="13"/>
      <c r="G180" s="13"/>
      <c r="H180" s="31"/>
      <c r="I180" s="33" t="n">
        <v>46113.6966931482</v>
      </c>
      <c r="J180" s="33" t="n">
        <v>46113.6966931482</v>
      </c>
      <c r="K180" s="13" t="s">
        <v>153</v>
      </c>
      <c r="L180" s="13"/>
      <c r="M180" s="13" t="s">
        <v>803</v>
      </c>
      <c r="N180" s="33" t="n">
        <v>46308.7264460648</v>
      </c>
    </row>
    <row r="181" customFormat="false" ht="15" hidden="false" customHeight="false" outlineLevel="0" collapsed="false">
      <c r="A181" s="13" t="s">
        <v>804</v>
      </c>
      <c r="B181" s="13" t="s">
        <v>57</v>
      </c>
      <c r="C181" s="13" t="s">
        <v>805</v>
      </c>
      <c r="D181" s="13" t="s">
        <v>166</v>
      </c>
      <c r="E181" s="13" t="s">
        <v>95</v>
      </c>
      <c r="F181" s="13" t="s">
        <v>544</v>
      </c>
      <c r="G181" s="13" t="s">
        <v>207</v>
      </c>
      <c r="H181" s="31"/>
      <c r="I181" s="33" t="n">
        <v>46113.671644838</v>
      </c>
      <c r="J181" s="33" t="n">
        <v>46113.671644838</v>
      </c>
      <c r="K181" s="13" t="s">
        <v>153</v>
      </c>
      <c r="L181" s="13" t="s">
        <v>117</v>
      </c>
      <c r="M181" s="13" t="s">
        <v>806</v>
      </c>
      <c r="N181" s="33" t="n">
        <v>46308.7264460648</v>
      </c>
    </row>
    <row r="182" customFormat="false" ht="15" hidden="false" customHeight="false" outlineLevel="0" collapsed="false">
      <c r="A182" s="13" t="s">
        <v>807</v>
      </c>
      <c r="B182" s="13" t="s">
        <v>57</v>
      </c>
      <c r="C182" s="13" t="s">
        <v>808</v>
      </c>
      <c r="D182" s="13" t="s">
        <v>166</v>
      </c>
      <c r="E182" s="13" t="s">
        <v>95</v>
      </c>
      <c r="F182" s="13"/>
      <c r="G182" s="13" t="s">
        <v>189</v>
      </c>
      <c r="H182" s="31"/>
      <c r="I182" s="33" t="n">
        <v>46113.6046845139</v>
      </c>
      <c r="J182" s="33" t="n">
        <v>46113.6046845139</v>
      </c>
      <c r="K182" s="13" t="s">
        <v>153</v>
      </c>
      <c r="L182" s="13"/>
      <c r="M182" s="13" t="s">
        <v>809</v>
      </c>
      <c r="N182" s="33" t="n">
        <v>46308.7264460648</v>
      </c>
    </row>
    <row r="183" customFormat="false" ht="15" hidden="false" customHeight="false" outlineLevel="0" collapsed="false">
      <c r="A183" s="13" t="s">
        <v>810</v>
      </c>
      <c r="B183" s="13" t="s">
        <v>57</v>
      </c>
      <c r="C183" s="13" t="s">
        <v>811</v>
      </c>
      <c r="D183" s="13" t="s">
        <v>166</v>
      </c>
      <c r="E183" s="13"/>
      <c r="F183" s="13" t="s">
        <v>544</v>
      </c>
      <c r="G183" s="13"/>
      <c r="H183" s="31"/>
      <c r="I183" s="33" t="n">
        <v>46113.5939010185</v>
      </c>
      <c r="J183" s="33" t="n">
        <v>46113.5939010185</v>
      </c>
      <c r="K183" s="13" t="s">
        <v>153</v>
      </c>
      <c r="L183" s="13" t="s">
        <v>117</v>
      </c>
      <c r="M183" s="13" t="s">
        <v>812</v>
      </c>
      <c r="N183" s="33" t="n">
        <v>46308.7264460648</v>
      </c>
    </row>
    <row r="184" customFormat="false" ht="15" hidden="false" customHeight="false" outlineLevel="0" collapsed="false">
      <c r="A184" s="13" t="s">
        <v>813</v>
      </c>
      <c r="B184" s="13" t="s">
        <v>57</v>
      </c>
      <c r="C184" s="13" t="s">
        <v>814</v>
      </c>
      <c r="D184" s="13" t="s">
        <v>166</v>
      </c>
      <c r="E184" s="13" t="s">
        <v>95</v>
      </c>
      <c r="F184" s="13" t="s">
        <v>301</v>
      </c>
      <c r="G184" s="13"/>
      <c r="H184" s="31"/>
      <c r="I184" s="33" t="n">
        <v>46113.4653771412</v>
      </c>
      <c r="J184" s="33" t="n">
        <v>46113.4653771412</v>
      </c>
      <c r="K184" s="13" t="s">
        <v>153</v>
      </c>
      <c r="L184" s="13" t="s">
        <v>280</v>
      </c>
      <c r="M184" s="13" t="s">
        <v>815</v>
      </c>
      <c r="N184" s="33" t="n">
        <v>46308.7264460648</v>
      </c>
    </row>
    <row r="185" customFormat="false" ht="15" hidden="false" customHeight="false" outlineLevel="0" collapsed="false">
      <c r="A185" s="13" t="s">
        <v>816</v>
      </c>
      <c r="B185" s="13" t="s">
        <v>57</v>
      </c>
      <c r="C185" s="13" t="s">
        <v>817</v>
      </c>
      <c r="D185" s="13" t="s">
        <v>166</v>
      </c>
      <c r="E185" s="13"/>
      <c r="F185" s="13" t="s">
        <v>59</v>
      </c>
      <c r="G185" s="13"/>
      <c r="H185" s="31"/>
      <c r="I185" s="33" t="n">
        <v>46113.4427950579</v>
      </c>
      <c r="J185" s="33" t="n">
        <v>46113.4427950579</v>
      </c>
      <c r="K185" s="13" t="s">
        <v>153</v>
      </c>
      <c r="L185" s="13" t="s">
        <v>117</v>
      </c>
      <c r="M185" s="13" t="s">
        <v>818</v>
      </c>
      <c r="N185" s="33" t="n">
        <v>46308.7264460648</v>
      </c>
    </row>
    <row r="186" customFormat="false" ht="15" hidden="false" customHeight="false" outlineLevel="0" collapsed="false">
      <c r="A186" s="13" t="s">
        <v>819</v>
      </c>
      <c r="B186" s="13" t="s">
        <v>57</v>
      </c>
      <c r="C186" s="13" t="s">
        <v>820</v>
      </c>
      <c r="D186" s="13" t="s">
        <v>166</v>
      </c>
      <c r="E186" s="13" t="s">
        <v>95</v>
      </c>
      <c r="F186" s="13"/>
      <c r="G186" s="13"/>
      <c r="H186" s="31"/>
      <c r="I186" s="33" t="n">
        <v>46112.6755084375</v>
      </c>
      <c r="J186" s="33" t="n">
        <v>46112.6755084375</v>
      </c>
      <c r="K186" s="13" t="s">
        <v>153</v>
      </c>
      <c r="L186" s="13"/>
      <c r="M186" s="13" t="s">
        <v>821</v>
      </c>
      <c r="N186" s="33" t="n">
        <v>46308.7264460648</v>
      </c>
    </row>
    <row r="187" customFormat="false" ht="15" hidden="false" customHeight="false" outlineLevel="0" collapsed="false">
      <c r="A187" s="13" t="s">
        <v>822</v>
      </c>
      <c r="B187" s="13" t="s">
        <v>57</v>
      </c>
      <c r="C187" s="13" t="s">
        <v>823</v>
      </c>
      <c r="D187" s="13" t="s">
        <v>166</v>
      </c>
      <c r="E187" s="13" t="s">
        <v>824</v>
      </c>
      <c r="F187" s="13"/>
      <c r="G187" s="13"/>
      <c r="H187" s="31"/>
      <c r="I187" s="33" t="n">
        <v>46112.4581678009</v>
      </c>
      <c r="J187" s="33" t="n">
        <v>46112.4581678009</v>
      </c>
      <c r="K187" s="13" t="s">
        <v>153</v>
      </c>
      <c r="L187" s="13"/>
      <c r="M187" s="13" t="s">
        <v>825</v>
      </c>
      <c r="N187" s="33" t="n">
        <v>46308.7264460648</v>
      </c>
    </row>
    <row r="188" customFormat="false" ht="15" hidden="false" customHeight="false" outlineLevel="0" collapsed="false">
      <c r="A188" s="13" t="s">
        <v>826</v>
      </c>
      <c r="B188" s="13" t="s">
        <v>57</v>
      </c>
      <c r="C188" s="13" t="s">
        <v>827</v>
      </c>
      <c r="D188" s="13" t="s">
        <v>166</v>
      </c>
      <c r="E188" s="13" t="s">
        <v>620</v>
      </c>
      <c r="F188" s="13"/>
      <c r="G188" s="13"/>
      <c r="H188" s="31"/>
      <c r="I188" s="33" t="n">
        <v>46111.3841180208</v>
      </c>
      <c r="J188" s="33" t="n">
        <v>46111.3841180208</v>
      </c>
      <c r="K188" s="13" t="s">
        <v>153</v>
      </c>
      <c r="L188" s="13"/>
      <c r="M188" s="13" t="s">
        <v>828</v>
      </c>
      <c r="N188" s="33" t="n">
        <v>46308.7264460648</v>
      </c>
    </row>
    <row r="189" customFormat="false" ht="15" hidden="false" customHeight="false" outlineLevel="0" collapsed="false">
      <c r="A189" s="13" t="s">
        <v>829</v>
      </c>
      <c r="B189" s="13" t="s">
        <v>57</v>
      </c>
      <c r="C189" s="13" t="s">
        <v>830</v>
      </c>
      <c r="D189" s="13" t="s">
        <v>166</v>
      </c>
      <c r="E189" s="13" t="s">
        <v>348</v>
      </c>
      <c r="F189" s="13"/>
      <c r="G189" s="13" t="s">
        <v>159</v>
      </c>
      <c r="H189" s="31"/>
      <c r="I189" s="33" t="n">
        <v>46107.681493044</v>
      </c>
      <c r="J189" s="33" t="n">
        <v>46107.681493044</v>
      </c>
      <c r="K189" s="13" t="s">
        <v>153</v>
      </c>
      <c r="L189" s="13"/>
      <c r="M189" s="13" t="s">
        <v>831</v>
      </c>
      <c r="N189" s="33" t="n">
        <v>46308.7264460648</v>
      </c>
    </row>
    <row r="190" customFormat="false" ht="15" hidden="false" customHeight="false" outlineLevel="0" collapsed="false">
      <c r="A190" s="13" t="s">
        <v>832</v>
      </c>
      <c r="B190" s="13" t="s">
        <v>57</v>
      </c>
      <c r="C190" s="13" t="s">
        <v>833</v>
      </c>
      <c r="D190" s="13" t="s">
        <v>166</v>
      </c>
      <c r="E190" s="13" t="s">
        <v>834</v>
      </c>
      <c r="F190" s="13" t="s">
        <v>736</v>
      </c>
      <c r="G190" s="13" t="s">
        <v>189</v>
      </c>
      <c r="H190" s="31"/>
      <c r="I190" s="33" t="n">
        <v>46107.6633856945</v>
      </c>
      <c r="J190" s="33" t="n">
        <v>46107.6633856945</v>
      </c>
      <c r="K190" s="13" t="s">
        <v>153</v>
      </c>
      <c r="L190" s="13" t="s">
        <v>117</v>
      </c>
      <c r="M190" s="13" t="s">
        <v>835</v>
      </c>
      <c r="N190" s="33" t="n">
        <v>46308.7264460648</v>
      </c>
    </row>
    <row r="191" customFormat="false" ht="15" hidden="false" customHeight="false" outlineLevel="0" collapsed="false">
      <c r="A191" s="13" t="s">
        <v>836</v>
      </c>
      <c r="B191" s="13" t="s">
        <v>57</v>
      </c>
      <c r="C191" s="13" t="s">
        <v>837</v>
      </c>
      <c r="D191" s="13" t="s">
        <v>166</v>
      </c>
      <c r="E191" s="13"/>
      <c r="F191" s="13"/>
      <c r="G191" s="13"/>
      <c r="H191" s="31"/>
      <c r="I191" s="33" t="n">
        <v>46107.6136875116</v>
      </c>
      <c r="J191" s="33" t="n">
        <v>46107.6136875116</v>
      </c>
      <c r="K191" s="13" t="s">
        <v>153</v>
      </c>
      <c r="L191" s="13"/>
      <c r="M191" s="13" t="s">
        <v>838</v>
      </c>
      <c r="N191" s="33" t="n">
        <v>46308.7264460648</v>
      </c>
    </row>
    <row r="192" customFormat="false" ht="15" hidden="false" customHeight="false" outlineLevel="0" collapsed="false">
      <c r="A192" s="13" t="s">
        <v>839</v>
      </c>
      <c r="B192" s="13" t="s">
        <v>57</v>
      </c>
      <c r="C192" s="13" t="s">
        <v>840</v>
      </c>
      <c r="D192" s="13" t="s">
        <v>166</v>
      </c>
      <c r="E192" s="13"/>
      <c r="F192" s="13"/>
      <c r="G192" s="13"/>
      <c r="H192" s="31"/>
      <c r="I192" s="33" t="n">
        <v>46107.6136875116</v>
      </c>
      <c r="J192" s="33" t="n">
        <v>46107.6136875116</v>
      </c>
      <c r="K192" s="13" t="s">
        <v>153</v>
      </c>
      <c r="L192" s="13"/>
      <c r="M192" s="13" t="s">
        <v>841</v>
      </c>
      <c r="N192" s="33" t="n">
        <v>46308.7264460648</v>
      </c>
    </row>
    <row r="193" customFormat="false" ht="15" hidden="false" customHeight="false" outlineLevel="0" collapsed="false">
      <c r="A193" s="13" t="s">
        <v>842</v>
      </c>
      <c r="B193" s="13" t="s">
        <v>57</v>
      </c>
      <c r="C193" s="13" t="s">
        <v>843</v>
      </c>
      <c r="D193" s="13" t="s">
        <v>166</v>
      </c>
      <c r="E193" s="13"/>
      <c r="F193" s="13"/>
      <c r="G193" s="13"/>
      <c r="H193" s="31"/>
      <c r="I193" s="33" t="n">
        <v>46107.6136875116</v>
      </c>
      <c r="J193" s="33" t="n">
        <v>46107.6136875116</v>
      </c>
      <c r="K193" s="13" t="s">
        <v>153</v>
      </c>
      <c r="L193" s="13"/>
      <c r="M193" s="13" t="s">
        <v>844</v>
      </c>
      <c r="N193" s="33" t="n">
        <v>46308.7264460648</v>
      </c>
    </row>
    <row r="194" customFormat="false" ht="15" hidden="false" customHeight="false" outlineLevel="0" collapsed="false">
      <c r="A194" s="13" t="s">
        <v>845</v>
      </c>
      <c r="B194" s="13" t="s">
        <v>57</v>
      </c>
      <c r="C194" s="13" t="s">
        <v>846</v>
      </c>
      <c r="D194" s="13" t="s">
        <v>166</v>
      </c>
      <c r="E194" s="13"/>
      <c r="F194" s="13"/>
      <c r="G194" s="13"/>
      <c r="H194" s="31"/>
      <c r="I194" s="33" t="n">
        <v>46107.6136875116</v>
      </c>
      <c r="J194" s="33" t="n">
        <v>46107.6136875116</v>
      </c>
      <c r="K194" s="13" t="s">
        <v>153</v>
      </c>
      <c r="L194" s="13"/>
      <c r="M194" s="13" t="s">
        <v>847</v>
      </c>
      <c r="N194" s="33" t="n">
        <v>46308.7264460648</v>
      </c>
    </row>
    <row r="195" customFormat="false" ht="15" hidden="false" customHeight="false" outlineLevel="0" collapsed="false">
      <c r="A195" s="13" t="s">
        <v>848</v>
      </c>
      <c r="B195" s="13" t="s">
        <v>57</v>
      </c>
      <c r="C195" s="13" t="s">
        <v>849</v>
      </c>
      <c r="D195" s="13" t="s">
        <v>166</v>
      </c>
      <c r="E195" s="13" t="s">
        <v>675</v>
      </c>
      <c r="F195" s="13"/>
      <c r="G195" s="13" t="s">
        <v>159</v>
      </c>
      <c r="H195" s="31"/>
      <c r="I195" s="33" t="n">
        <v>46107.6136875116</v>
      </c>
      <c r="J195" s="33" t="n">
        <v>46107.6136875116</v>
      </c>
      <c r="K195" s="13" t="s">
        <v>153</v>
      </c>
      <c r="L195" s="13"/>
      <c r="M195" s="13" t="s">
        <v>850</v>
      </c>
      <c r="N195" s="33" t="n">
        <v>46308.7264460648</v>
      </c>
    </row>
    <row r="196" customFormat="false" ht="15" hidden="false" customHeight="false" outlineLevel="0" collapsed="false">
      <c r="A196" s="13" t="s">
        <v>851</v>
      </c>
      <c r="B196" s="13" t="s">
        <v>57</v>
      </c>
      <c r="C196" s="13" t="s">
        <v>852</v>
      </c>
      <c r="D196" s="13" t="s">
        <v>166</v>
      </c>
      <c r="E196" s="13" t="s">
        <v>853</v>
      </c>
      <c r="F196" s="13"/>
      <c r="G196" s="13"/>
      <c r="H196" s="31"/>
      <c r="I196" s="33" t="n">
        <v>46107.613322882</v>
      </c>
      <c r="J196" s="33" t="n">
        <v>46107.613322882</v>
      </c>
      <c r="K196" s="13" t="s">
        <v>153</v>
      </c>
      <c r="L196" s="13"/>
      <c r="M196" s="13" t="s">
        <v>854</v>
      </c>
      <c r="N196" s="33" t="n">
        <v>46308.7264460648</v>
      </c>
    </row>
    <row r="197" customFormat="false" ht="15" hidden="false" customHeight="false" outlineLevel="0" collapsed="false">
      <c r="A197" s="13" t="s">
        <v>855</v>
      </c>
      <c r="B197" s="13" t="s">
        <v>57</v>
      </c>
      <c r="C197" s="13" t="s">
        <v>856</v>
      </c>
      <c r="D197" s="13" t="s">
        <v>166</v>
      </c>
      <c r="E197" s="13"/>
      <c r="F197" s="13"/>
      <c r="G197" s="13"/>
      <c r="H197" s="31"/>
      <c r="I197" s="33" t="n">
        <v>46107.613322882</v>
      </c>
      <c r="J197" s="33" t="n">
        <v>46107.613322882</v>
      </c>
      <c r="K197" s="13" t="s">
        <v>153</v>
      </c>
      <c r="L197" s="13"/>
      <c r="M197" s="13" t="s">
        <v>857</v>
      </c>
      <c r="N197" s="33" t="n">
        <v>46308.7264460648</v>
      </c>
    </row>
    <row r="198" customFormat="false" ht="15" hidden="false" customHeight="false" outlineLevel="0" collapsed="false">
      <c r="A198" s="13" t="s">
        <v>858</v>
      </c>
      <c r="B198" s="13" t="s">
        <v>57</v>
      </c>
      <c r="C198" s="13" t="s">
        <v>859</v>
      </c>
      <c r="D198" s="13" t="s">
        <v>166</v>
      </c>
      <c r="E198" s="13" t="s">
        <v>860</v>
      </c>
      <c r="F198" s="13"/>
      <c r="G198" s="13"/>
      <c r="H198" s="31"/>
      <c r="I198" s="33" t="n">
        <v>46107.4778140972</v>
      </c>
      <c r="J198" s="33" t="n">
        <v>46107.4778140972</v>
      </c>
      <c r="K198" s="13" t="s">
        <v>153</v>
      </c>
      <c r="L198" s="13"/>
      <c r="M198" s="13" t="s">
        <v>861</v>
      </c>
      <c r="N198" s="33" t="n">
        <v>46308.7264460648</v>
      </c>
    </row>
    <row r="199" customFormat="false" ht="15" hidden="false" customHeight="false" outlineLevel="0" collapsed="false">
      <c r="A199" s="13" t="s">
        <v>862</v>
      </c>
      <c r="B199" s="13" t="s">
        <v>57</v>
      </c>
      <c r="C199" s="13" t="s">
        <v>863</v>
      </c>
      <c r="D199" s="13" t="s">
        <v>166</v>
      </c>
      <c r="E199" s="13" t="s">
        <v>620</v>
      </c>
      <c r="F199" s="13" t="s">
        <v>736</v>
      </c>
      <c r="G199" s="13" t="s">
        <v>159</v>
      </c>
      <c r="H199" s="31"/>
      <c r="I199" s="33" t="n">
        <v>46107.4681373727</v>
      </c>
      <c r="J199" s="33" t="n">
        <v>46107.4681373727</v>
      </c>
      <c r="K199" s="13" t="s">
        <v>153</v>
      </c>
      <c r="L199" s="13" t="s">
        <v>117</v>
      </c>
      <c r="M199" s="13" t="s">
        <v>864</v>
      </c>
      <c r="N199" s="33" t="n">
        <v>46308.7264460648</v>
      </c>
    </row>
    <row r="200" customFormat="false" ht="15" hidden="false" customHeight="false" outlineLevel="0" collapsed="false">
      <c r="A200" s="13" t="s">
        <v>865</v>
      </c>
      <c r="B200" s="13" t="s">
        <v>57</v>
      </c>
      <c r="C200" s="13" t="s">
        <v>866</v>
      </c>
      <c r="D200" s="13" t="s">
        <v>166</v>
      </c>
      <c r="E200" s="13" t="s">
        <v>867</v>
      </c>
      <c r="F200" s="13" t="s">
        <v>301</v>
      </c>
      <c r="G200" s="13" t="s">
        <v>189</v>
      </c>
      <c r="H200" s="31"/>
      <c r="I200" s="33" t="n">
        <v>46107.4626096296</v>
      </c>
      <c r="J200" s="33" t="n">
        <v>46107.4626096296</v>
      </c>
      <c r="K200" s="13" t="s">
        <v>153</v>
      </c>
      <c r="L200" s="13" t="s">
        <v>280</v>
      </c>
      <c r="M200" s="13" t="s">
        <v>868</v>
      </c>
      <c r="N200" s="33" t="n">
        <v>46308.7264460648</v>
      </c>
    </row>
    <row r="201" customFormat="false" ht="15" hidden="false" customHeight="false" outlineLevel="0" collapsed="false">
      <c r="A201" s="13" t="s">
        <v>869</v>
      </c>
      <c r="B201" s="13" t="s">
        <v>57</v>
      </c>
      <c r="C201" s="13" t="s">
        <v>870</v>
      </c>
      <c r="D201" s="13" t="s">
        <v>166</v>
      </c>
      <c r="E201" s="13" t="s">
        <v>95</v>
      </c>
      <c r="F201" s="13" t="s">
        <v>544</v>
      </c>
      <c r="G201" s="13"/>
      <c r="H201" s="31"/>
      <c r="I201" s="33" t="n">
        <v>46107.4183725232</v>
      </c>
      <c r="J201" s="33" t="n">
        <v>46107.4183725232</v>
      </c>
      <c r="K201" s="13" t="s">
        <v>153</v>
      </c>
      <c r="L201" s="13" t="s">
        <v>117</v>
      </c>
      <c r="M201" s="13" t="s">
        <v>871</v>
      </c>
      <c r="N201" s="33" t="n">
        <v>46308.7264460648</v>
      </c>
    </row>
    <row r="202" customFormat="false" ht="15" hidden="false" customHeight="false" outlineLevel="0" collapsed="false">
      <c r="A202" s="13" t="s">
        <v>872</v>
      </c>
      <c r="B202" s="13" t="s">
        <v>57</v>
      </c>
      <c r="C202" s="13" t="s">
        <v>873</v>
      </c>
      <c r="D202" s="13" t="s">
        <v>166</v>
      </c>
      <c r="E202" s="13" t="s">
        <v>95</v>
      </c>
      <c r="F202" s="13" t="s">
        <v>59</v>
      </c>
      <c r="G202" s="13"/>
      <c r="H202" s="31"/>
      <c r="I202" s="33" t="n">
        <v>46107.3703005903</v>
      </c>
      <c r="J202" s="33" t="n">
        <v>46107.3703005903</v>
      </c>
      <c r="K202" s="13" t="s">
        <v>153</v>
      </c>
      <c r="L202" s="13" t="s">
        <v>117</v>
      </c>
      <c r="M202" s="13" t="s">
        <v>874</v>
      </c>
      <c r="N202" s="33" t="n">
        <v>46308.7264460648</v>
      </c>
    </row>
    <row r="203" customFormat="false" ht="15" hidden="false" customHeight="false" outlineLevel="0" collapsed="false">
      <c r="A203" s="13" t="s">
        <v>875</v>
      </c>
      <c r="B203" s="13" t="s">
        <v>57</v>
      </c>
      <c r="C203" s="13" t="s">
        <v>876</v>
      </c>
      <c r="D203" s="13" t="s">
        <v>166</v>
      </c>
      <c r="E203" s="13" t="s">
        <v>877</v>
      </c>
      <c r="F203" s="13" t="s">
        <v>878</v>
      </c>
      <c r="G203" s="13" t="s">
        <v>189</v>
      </c>
      <c r="H203" s="31"/>
      <c r="I203" s="33" t="n">
        <v>46107.3666517477</v>
      </c>
      <c r="J203" s="33" t="n">
        <v>46106.4145666667</v>
      </c>
      <c r="K203" s="13" t="s">
        <v>153</v>
      </c>
      <c r="L203" s="13" t="s">
        <v>117</v>
      </c>
      <c r="M203" s="13" t="s">
        <v>879</v>
      </c>
      <c r="N203" s="33" t="n">
        <v>46308.7264460648</v>
      </c>
    </row>
    <row r="204" customFormat="false" ht="15" hidden="false" customHeight="false" outlineLevel="0" collapsed="false">
      <c r="A204" s="13" t="s">
        <v>880</v>
      </c>
      <c r="B204" s="13" t="s">
        <v>57</v>
      </c>
      <c r="C204" s="13" t="s">
        <v>881</v>
      </c>
      <c r="D204" s="13" t="s">
        <v>166</v>
      </c>
      <c r="E204" s="13" t="s">
        <v>95</v>
      </c>
      <c r="F204" s="13" t="s">
        <v>60</v>
      </c>
      <c r="G204" s="13" t="s">
        <v>207</v>
      </c>
      <c r="H204" s="31" t="n">
        <v>46106</v>
      </c>
      <c r="I204" s="33" t="n">
        <v>46106.6980305324</v>
      </c>
      <c r="J204" s="33" t="n">
        <v>46106.6980305324</v>
      </c>
      <c r="K204" s="13" t="s">
        <v>153</v>
      </c>
      <c r="L204" s="13" t="s">
        <v>280</v>
      </c>
      <c r="M204" s="13" t="s">
        <v>882</v>
      </c>
      <c r="N204" s="33" t="n">
        <v>46308.7264460648</v>
      </c>
    </row>
    <row r="205" customFormat="false" ht="15" hidden="false" customHeight="false" outlineLevel="0" collapsed="false">
      <c r="A205" s="13" t="s">
        <v>883</v>
      </c>
      <c r="B205" s="13" t="s">
        <v>57</v>
      </c>
      <c r="C205" s="13" t="s">
        <v>884</v>
      </c>
      <c r="D205" s="13" t="s">
        <v>166</v>
      </c>
      <c r="E205" s="13"/>
      <c r="F205" s="13"/>
      <c r="G205" s="13"/>
      <c r="H205" s="31"/>
      <c r="I205" s="33" t="n">
        <v>46106.4484095718</v>
      </c>
      <c r="J205" s="33" t="n">
        <v>46106.4484095718</v>
      </c>
      <c r="K205" s="13" t="s">
        <v>153</v>
      </c>
      <c r="L205" s="13"/>
      <c r="M205" s="13" t="s">
        <v>885</v>
      </c>
      <c r="N205" s="33" t="n">
        <v>46308.7264460648</v>
      </c>
    </row>
    <row r="206" customFormat="false" ht="15" hidden="false" customHeight="false" outlineLevel="0" collapsed="false">
      <c r="A206" s="13" t="s">
        <v>886</v>
      </c>
      <c r="B206" s="13" t="s">
        <v>57</v>
      </c>
      <c r="C206" s="13" t="s">
        <v>887</v>
      </c>
      <c r="D206" s="13" t="s">
        <v>166</v>
      </c>
      <c r="E206" s="13"/>
      <c r="F206" s="13"/>
      <c r="G206" s="13"/>
      <c r="H206" s="31"/>
      <c r="I206" s="33" t="n">
        <v>46106.4290109722</v>
      </c>
      <c r="J206" s="33" t="n">
        <v>46106.4290109722</v>
      </c>
      <c r="K206" s="13" t="s">
        <v>153</v>
      </c>
      <c r="L206" s="13"/>
      <c r="M206" s="13" t="s">
        <v>888</v>
      </c>
      <c r="N206" s="33" t="n">
        <v>46308.7264460648</v>
      </c>
    </row>
    <row r="207" customFormat="false" ht="15" hidden="false" customHeight="false" outlineLevel="0" collapsed="false">
      <c r="A207" s="13" t="s">
        <v>889</v>
      </c>
      <c r="B207" s="13" t="s">
        <v>57</v>
      </c>
      <c r="C207" s="13" t="s">
        <v>890</v>
      </c>
      <c r="D207" s="13" t="s">
        <v>166</v>
      </c>
      <c r="E207" s="13"/>
      <c r="F207" s="13"/>
      <c r="G207" s="13"/>
      <c r="H207" s="31"/>
      <c r="I207" s="33" t="n">
        <v>46106.4290109722</v>
      </c>
      <c r="J207" s="33" t="n">
        <v>46106.4290109722</v>
      </c>
      <c r="K207" s="13" t="s">
        <v>153</v>
      </c>
      <c r="L207" s="13"/>
      <c r="M207" s="13" t="s">
        <v>891</v>
      </c>
      <c r="N207" s="33" t="n">
        <v>46308.7264460648</v>
      </c>
    </row>
    <row r="208" customFormat="false" ht="15" hidden="false" customHeight="false" outlineLevel="0" collapsed="false">
      <c r="A208" s="13" t="s">
        <v>892</v>
      </c>
      <c r="B208" s="13" t="s">
        <v>57</v>
      </c>
      <c r="C208" s="13" t="s">
        <v>893</v>
      </c>
      <c r="D208" s="13" t="s">
        <v>166</v>
      </c>
      <c r="E208" s="13" t="s">
        <v>95</v>
      </c>
      <c r="F208" s="13" t="s">
        <v>894</v>
      </c>
      <c r="G208" s="13" t="s">
        <v>189</v>
      </c>
      <c r="H208" s="31"/>
      <c r="I208" s="33" t="n">
        <v>46106.4290109722</v>
      </c>
      <c r="J208" s="33" t="n">
        <v>46106.4290109722</v>
      </c>
      <c r="K208" s="13" t="s">
        <v>153</v>
      </c>
      <c r="L208" s="13" t="s">
        <v>117</v>
      </c>
      <c r="M208" s="13" t="s">
        <v>895</v>
      </c>
      <c r="N208" s="33" t="n">
        <v>46308.7264460648</v>
      </c>
    </row>
    <row r="209" customFormat="false" ht="15" hidden="false" customHeight="false" outlineLevel="0" collapsed="false">
      <c r="A209" s="13" t="s">
        <v>896</v>
      </c>
      <c r="B209" s="13" t="s">
        <v>57</v>
      </c>
      <c r="C209" s="13" t="s">
        <v>897</v>
      </c>
      <c r="D209" s="13" t="s">
        <v>166</v>
      </c>
      <c r="E209" s="13" t="s">
        <v>95</v>
      </c>
      <c r="F209" s="13" t="s">
        <v>597</v>
      </c>
      <c r="G209" s="13" t="s">
        <v>189</v>
      </c>
      <c r="H209" s="31"/>
      <c r="I209" s="33" t="n">
        <v>46106.3718272917</v>
      </c>
      <c r="J209" s="33" t="n">
        <v>46106.3718272917</v>
      </c>
      <c r="K209" s="13" t="s">
        <v>153</v>
      </c>
      <c r="L209" s="13"/>
      <c r="M209" s="13" t="s">
        <v>898</v>
      </c>
      <c r="N209" s="33" t="n">
        <v>46308.7264460648</v>
      </c>
    </row>
    <row r="210" customFormat="false" ht="15" hidden="false" customHeight="false" outlineLevel="0" collapsed="false">
      <c r="A210" s="13" t="s">
        <v>899</v>
      </c>
      <c r="B210" s="13" t="s">
        <v>57</v>
      </c>
      <c r="C210" s="13" t="s">
        <v>900</v>
      </c>
      <c r="D210" s="13" t="s">
        <v>166</v>
      </c>
      <c r="E210" s="13" t="s">
        <v>901</v>
      </c>
      <c r="F210" s="13"/>
      <c r="G210" s="13"/>
      <c r="H210" s="31"/>
      <c r="I210" s="33" t="n">
        <v>46105.4016775347</v>
      </c>
      <c r="J210" s="33" t="n">
        <v>46105.4016775347</v>
      </c>
      <c r="K210" s="13" t="s">
        <v>153</v>
      </c>
      <c r="L210" s="13"/>
      <c r="M210" s="13" t="s">
        <v>902</v>
      </c>
      <c r="N210" s="33" t="n">
        <v>46308.7264460648</v>
      </c>
    </row>
    <row r="211" customFormat="false" ht="15" hidden="false" customHeight="false" outlineLevel="0" collapsed="false">
      <c r="A211" s="13" t="s">
        <v>903</v>
      </c>
      <c r="B211" s="13" t="s">
        <v>57</v>
      </c>
      <c r="C211" s="13" t="s">
        <v>904</v>
      </c>
      <c r="D211" s="13" t="s">
        <v>166</v>
      </c>
      <c r="E211" s="13" t="s">
        <v>237</v>
      </c>
      <c r="F211" s="13"/>
      <c r="G211" s="13" t="s">
        <v>159</v>
      </c>
      <c r="H211" s="31" t="n">
        <v>46108</v>
      </c>
      <c r="I211" s="33" t="n">
        <v>46105.3913156482</v>
      </c>
      <c r="J211" s="33" t="n">
        <v>46105.3913156482</v>
      </c>
      <c r="K211" s="13" t="s">
        <v>153</v>
      </c>
      <c r="L211" s="13"/>
      <c r="M211" s="13" t="s">
        <v>905</v>
      </c>
      <c r="N211" s="33" t="n">
        <v>46308.7264460648</v>
      </c>
    </row>
    <row r="212" customFormat="false" ht="15" hidden="false" customHeight="false" outlineLevel="0" collapsed="false">
      <c r="A212" s="13" t="s">
        <v>906</v>
      </c>
      <c r="B212" s="13" t="s">
        <v>57</v>
      </c>
      <c r="C212" s="13" t="s">
        <v>907</v>
      </c>
      <c r="D212" s="13" t="s">
        <v>166</v>
      </c>
      <c r="E212" s="13" t="s">
        <v>908</v>
      </c>
      <c r="F212" s="13"/>
      <c r="G212" s="13"/>
      <c r="H212" s="31"/>
      <c r="I212" s="33" t="n">
        <v>46104.7125190394</v>
      </c>
      <c r="J212" s="33" t="n">
        <v>46087.4826887847</v>
      </c>
      <c r="K212" s="13" t="s">
        <v>153</v>
      </c>
      <c r="L212" s="13"/>
      <c r="M212" s="13" t="s">
        <v>909</v>
      </c>
      <c r="N212" s="33" t="n">
        <v>46308.7264460648</v>
      </c>
    </row>
    <row r="213" customFormat="false" ht="15" hidden="false" customHeight="false" outlineLevel="0" collapsed="false">
      <c r="A213" s="13" t="s">
        <v>910</v>
      </c>
      <c r="B213" s="13" t="s">
        <v>57</v>
      </c>
      <c r="C213" s="13" t="s">
        <v>911</v>
      </c>
      <c r="D213" s="13" t="s">
        <v>166</v>
      </c>
      <c r="E213" s="13" t="s">
        <v>95</v>
      </c>
      <c r="F213" s="13"/>
      <c r="G213" s="13" t="s">
        <v>207</v>
      </c>
      <c r="H213" s="31"/>
      <c r="I213" s="33" t="n">
        <v>46104.7125190394</v>
      </c>
      <c r="J213" s="33" t="n">
        <v>46093.5804180208</v>
      </c>
      <c r="K213" s="13" t="s">
        <v>153</v>
      </c>
      <c r="L213" s="13"/>
      <c r="M213" s="13" t="s">
        <v>912</v>
      </c>
      <c r="N213" s="33" t="n">
        <v>46308.7264460648</v>
      </c>
    </row>
    <row r="214" customFormat="false" ht="15" hidden="false" customHeight="false" outlineLevel="0" collapsed="false">
      <c r="A214" s="13" t="s">
        <v>913</v>
      </c>
      <c r="B214" s="13" t="s">
        <v>57</v>
      </c>
      <c r="C214" s="13" t="s">
        <v>914</v>
      </c>
      <c r="D214" s="13" t="s">
        <v>166</v>
      </c>
      <c r="E214" s="13" t="s">
        <v>95</v>
      </c>
      <c r="F214" s="13"/>
      <c r="G214" s="13"/>
      <c r="H214" s="31"/>
      <c r="I214" s="33" t="n">
        <v>46104.7125190394</v>
      </c>
      <c r="J214" s="33" t="n">
        <v>46093.5804498495</v>
      </c>
      <c r="K214" s="13" t="s">
        <v>153</v>
      </c>
      <c r="L214" s="13"/>
      <c r="M214" s="13" t="s">
        <v>915</v>
      </c>
      <c r="N214" s="33" t="n">
        <v>46308.7264460648</v>
      </c>
    </row>
    <row r="215" customFormat="false" ht="15" hidden="false" customHeight="false" outlineLevel="0" collapsed="false">
      <c r="A215" s="13" t="s">
        <v>916</v>
      </c>
      <c r="B215" s="13" t="s">
        <v>57</v>
      </c>
      <c r="C215" s="13" t="s">
        <v>917</v>
      </c>
      <c r="D215" s="13" t="s">
        <v>166</v>
      </c>
      <c r="E215" s="13" t="s">
        <v>95</v>
      </c>
      <c r="F215" s="13"/>
      <c r="G215" s="13"/>
      <c r="H215" s="31" t="n">
        <v>46001</v>
      </c>
      <c r="I215" s="33" t="n">
        <v>46104.7125190394</v>
      </c>
      <c r="J215" s="33" t="n">
        <v>46001.4517212616</v>
      </c>
      <c r="K215" s="13" t="s">
        <v>153</v>
      </c>
      <c r="L215" s="13"/>
      <c r="M215" s="13" t="s">
        <v>918</v>
      </c>
      <c r="N215" s="33" t="n">
        <v>46308.7264460648</v>
      </c>
    </row>
    <row r="216" customFormat="false" ht="15" hidden="false" customHeight="false" outlineLevel="0" collapsed="false">
      <c r="A216" s="13" t="s">
        <v>919</v>
      </c>
      <c r="B216" s="13" t="s">
        <v>57</v>
      </c>
      <c r="C216" s="13" t="s">
        <v>920</v>
      </c>
      <c r="D216" s="13" t="s">
        <v>166</v>
      </c>
      <c r="E216" s="13" t="s">
        <v>95</v>
      </c>
      <c r="F216" s="13" t="s">
        <v>736</v>
      </c>
      <c r="G216" s="13" t="s">
        <v>207</v>
      </c>
      <c r="H216" s="31"/>
      <c r="I216" s="33" t="n">
        <v>46104.7125190394</v>
      </c>
      <c r="J216" s="33" t="n">
        <v>46001.6692931019</v>
      </c>
      <c r="K216" s="13" t="s">
        <v>153</v>
      </c>
      <c r="L216" s="13" t="s">
        <v>117</v>
      </c>
      <c r="M216" s="13" t="s">
        <v>921</v>
      </c>
      <c r="N216" s="33" t="n">
        <v>46308.7264460648</v>
      </c>
    </row>
    <row r="217" customFormat="false" ht="15" hidden="false" customHeight="false" outlineLevel="0" collapsed="false">
      <c r="A217" s="13" t="s">
        <v>922</v>
      </c>
      <c r="B217" s="13" t="s">
        <v>57</v>
      </c>
      <c r="C217" s="13" t="s">
        <v>923</v>
      </c>
      <c r="D217" s="13" t="s">
        <v>166</v>
      </c>
      <c r="E217" s="13" t="s">
        <v>924</v>
      </c>
      <c r="F217" s="13" t="s">
        <v>60</v>
      </c>
      <c r="G217" s="13"/>
      <c r="H217" s="31"/>
      <c r="I217" s="33" t="n">
        <v>46104.7125190394</v>
      </c>
      <c r="J217" s="33" t="n">
        <v>46093.5810126852</v>
      </c>
      <c r="K217" s="13" t="s">
        <v>153</v>
      </c>
      <c r="L217" s="13" t="s">
        <v>280</v>
      </c>
      <c r="M217" s="13" t="s">
        <v>925</v>
      </c>
      <c r="N217" s="33" t="n">
        <v>46308.7264460648</v>
      </c>
    </row>
    <row r="218" customFormat="false" ht="15" hidden="false" customHeight="false" outlineLevel="0" collapsed="false">
      <c r="A218" s="13" t="s">
        <v>926</v>
      </c>
      <c r="B218" s="13" t="s">
        <v>57</v>
      </c>
      <c r="C218" s="13" t="s">
        <v>927</v>
      </c>
      <c r="D218" s="13" t="s">
        <v>166</v>
      </c>
      <c r="E218" s="13" t="s">
        <v>928</v>
      </c>
      <c r="F218" s="13"/>
      <c r="G218" s="13"/>
      <c r="H218" s="31"/>
      <c r="I218" s="33" t="n">
        <v>46104.7125190394</v>
      </c>
      <c r="J218" s="33" t="n">
        <v>45994.3751427083</v>
      </c>
      <c r="K218" s="13" t="s">
        <v>153</v>
      </c>
      <c r="L218" s="13"/>
      <c r="M218" s="13" t="s">
        <v>929</v>
      </c>
      <c r="N218" s="33" t="n">
        <v>46308.7264460648</v>
      </c>
    </row>
    <row r="219" customFormat="false" ht="15" hidden="false" customHeight="false" outlineLevel="0" collapsed="false">
      <c r="A219" s="13" t="s">
        <v>930</v>
      </c>
      <c r="B219" s="13" t="s">
        <v>57</v>
      </c>
      <c r="C219" s="13" t="s">
        <v>931</v>
      </c>
      <c r="D219" s="13" t="s">
        <v>166</v>
      </c>
      <c r="E219" s="13" t="s">
        <v>95</v>
      </c>
      <c r="F219" s="13"/>
      <c r="G219" s="13"/>
      <c r="H219" s="31"/>
      <c r="I219" s="33" t="n">
        <v>46104.7125190394</v>
      </c>
      <c r="J219" s="33" t="n">
        <v>45986.401458287</v>
      </c>
      <c r="K219" s="13" t="s">
        <v>153</v>
      </c>
      <c r="L219" s="13"/>
      <c r="M219" s="13" t="s">
        <v>932</v>
      </c>
      <c r="N219" s="33" t="n">
        <v>46308.7264460648</v>
      </c>
    </row>
    <row r="220" customFormat="false" ht="15" hidden="false" customHeight="false" outlineLevel="0" collapsed="false">
      <c r="A220" s="13" t="s">
        <v>933</v>
      </c>
      <c r="B220" s="13" t="s">
        <v>57</v>
      </c>
      <c r="C220" s="13" t="s">
        <v>934</v>
      </c>
      <c r="D220" s="13" t="s">
        <v>166</v>
      </c>
      <c r="E220" s="13" t="s">
        <v>95</v>
      </c>
      <c r="F220" s="13"/>
      <c r="G220" s="13"/>
      <c r="H220" s="31"/>
      <c r="I220" s="33" t="n">
        <v>46104.7125190394</v>
      </c>
      <c r="J220" s="33" t="n">
        <v>45985.4278849306</v>
      </c>
      <c r="K220" s="13" t="s">
        <v>153</v>
      </c>
      <c r="L220" s="13"/>
      <c r="M220" s="13" t="s">
        <v>935</v>
      </c>
      <c r="N220" s="33" t="n">
        <v>46308.7264460648</v>
      </c>
    </row>
    <row r="221" customFormat="false" ht="15" hidden="false" customHeight="false" outlineLevel="0" collapsed="false">
      <c r="A221" s="13" t="s">
        <v>936</v>
      </c>
      <c r="B221" s="13" t="s">
        <v>57</v>
      </c>
      <c r="C221" s="13" t="s">
        <v>937</v>
      </c>
      <c r="D221" s="13" t="s">
        <v>166</v>
      </c>
      <c r="E221" s="13" t="s">
        <v>95</v>
      </c>
      <c r="F221" s="13"/>
      <c r="G221" s="13"/>
      <c r="H221" s="31"/>
      <c r="I221" s="33" t="n">
        <v>46104.7125190394</v>
      </c>
      <c r="J221" s="33" t="n">
        <v>45985.4277510764</v>
      </c>
      <c r="K221" s="13" t="s">
        <v>153</v>
      </c>
      <c r="L221" s="13"/>
      <c r="M221" s="13" t="s">
        <v>938</v>
      </c>
      <c r="N221" s="33" t="n">
        <v>46308.7264460648</v>
      </c>
    </row>
    <row r="222" customFormat="false" ht="15" hidden="false" customHeight="false" outlineLevel="0" collapsed="false">
      <c r="A222" s="13" t="s">
        <v>939</v>
      </c>
      <c r="B222" s="13" t="s">
        <v>57</v>
      </c>
      <c r="C222" s="13" t="s">
        <v>940</v>
      </c>
      <c r="D222" s="13" t="s">
        <v>166</v>
      </c>
      <c r="E222" s="13" t="s">
        <v>95</v>
      </c>
      <c r="F222" s="13" t="s">
        <v>736</v>
      </c>
      <c r="G222" s="13" t="s">
        <v>207</v>
      </c>
      <c r="H222" s="31"/>
      <c r="I222" s="33" t="n">
        <v>46104.7125190394</v>
      </c>
      <c r="J222" s="33" t="n">
        <v>45985.4271589583</v>
      </c>
      <c r="K222" s="13" t="s">
        <v>153</v>
      </c>
      <c r="L222" s="13" t="s">
        <v>117</v>
      </c>
      <c r="M222" s="13" t="s">
        <v>941</v>
      </c>
      <c r="N222" s="33" t="n">
        <v>46308.7264460648</v>
      </c>
    </row>
    <row r="223" customFormat="false" ht="15" hidden="false" customHeight="false" outlineLevel="0" collapsed="false">
      <c r="A223" s="13" t="s">
        <v>942</v>
      </c>
      <c r="B223" s="13" t="s">
        <v>57</v>
      </c>
      <c r="C223" s="13" t="s">
        <v>943</v>
      </c>
      <c r="D223" s="13" t="s">
        <v>166</v>
      </c>
      <c r="E223" s="13" t="s">
        <v>95</v>
      </c>
      <c r="F223" s="13"/>
      <c r="G223" s="13"/>
      <c r="H223" s="31"/>
      <c r="I223" s="33" t="n">
        <v>46104.7125190394</v>
      </c>
      <c r="J223" s="33" t="n">
        <v>45982.3709840972</v>
      </c>
      <c r="K223" s="13" t="s">
        <v>153</v>
      </c>
      <c r="L223" s="13"/>
      <c r="M223" s="13" t="s">
        <v>944</v>
      </c>
      <c r="N223" s="33" t="n">
        <v>46308.7264460648</v>
      </c>
    </row>
    <row r="224" customFormat="false" ht="15" hidden="false" customHeight="false" outlineLevel="0" collapsed="false">
      <c r="A224" s="13" t="s">
        <v>945</v>
      </c>
      <c r="B224" s="13" t="s">
        <v>57</v>
      </c>
      <c r="C224" s="13" t="s">
        <v>946</v>
      </c>
      <c r="D224" s="13" t="s">
        <v>166</v>
      </c>
      <c r="E224" s="13" t="s">
        <v>95</v>
      </c>
      <c r="F224" s="13"/>
      <c r="G224" s="13"/>
      <c r="H224" s="31"/>
      <c r="I224" s="33" t="n">
        <v>46104.7125190394</v>
      </c>
      <c r="J224" s="33" t="n">
        <v>45980.6254267708</v>
      </c>
      <c r="K224" s="13" t="s">
        <v>153</v>
      </c>
      <c r="L224" s="13"/>
      <c r="M224" s="13" t="s">
        <v>947</v>
      </c>
      <c r="N224" s="33" t="n">
        <v>46308.7264460648</v>
      </c>
    </row>
    <row r="225" customFormat="false" ht="15" hidden="false" customHeight="false" outlineLevel="0" collapsed="false">
      <c r="A225" s="13" t="s">
        <v>948</v>
      </c>
      <c r="B225" s="13" t="s">
        <v>57</v>
      </c>
      <c r="C225" s="13" t="s">
        <v>949</v>
      </c>
      <c r="D225" s="13" t="s">
        <v>166</v>
      </c>
      <c r="E225" s="13" t="s">
        <v>95</v>
      </c>
      <c r="F225" s="13" t="s">
        <v>736</v>
      </c>
      <c r="G225" s="13"/>
      <c r="H225" s="31"/>
      <c r="I225" s="33" t="n">
        <v>46104.7125190394</v>
      </c>
      <c r="J225" s="33" t="n">
        <v>45980.5889250347</v>
      </c>
      <c r="K225" s="13" t="s">
        <v>153</v>
      </c>
      <c r="L225" s="13" t="s">
        <v>117</v>
      </c>
      <c r="M225" s="13" t="s">
        <v>950</v>
      </c>
      <c r="N225" s="33" t="n">
        <v>46308.7264460648</v>
      </c>
    </row>
    <row r="226" customFormat="false" ht="15" hidden="false" customHeight="false" outlineLevel="0" collapsed="false">
      <c r="A226" s="13" t="s">
        <v>951</v>
      </c>
      <c r="B226" s="13" t="s">
        <v>57</v>
      </c>
      <c r="C226" s="13" t="s">
        <v>952</v>
      </c>
      <c r="D226" s="13" t="s">
        <v>166</v>
      </c>
      <c r="E226" s="13" t="s">
        <v>95</v>
      </c>
      <c r="F226" s="13"/>
      <c r="G226" s="13"/>
      <c r="H226" s="31"/>
      <c r="I226" s="33" t="n">
        <v>46104.7125190394</v>
      </c>
      <c r="J226" s="33" t="n">
        <v>45980.3856812153</v>
      </c>
      <c r="K226" s="13" t="s">
        <v>153</v>
      </c>
      <c r="L226" s="13"/>
      <c r="M226" s="13" t="s">
        <v>953</v>
      </c>
      <c r="N226" s="33" t="n">
        <v>46308.7264460648</v>
      </c>
    </row>
    <row r="227" customFormat="false" ht="15" hidden="false" customHeight="false" outlineLevel="0" collapsed="false">
      <c r="A227" s="13" t="s">
        <v>954</v>
      </c>
      <c r="B227" s="13" t="s">
        <v>57</v>
      </c>
      <c r="C227" s="13" t="s">
        <v>955</v>
      </c>
      <c r="D227" s="13" t="s">
        <v>166</v>
      </c>
      <c r="E227" s="13" t="s">
        <v>95</v>
      </c>
      <c r="F227" s="13"/>
      <c r="G227" s="13"/>
      <c r="H227" s="31"/>
      <c r="I227" s="33" t="n">
        <v>46104.7125190394</v>
      </c>
      <c r="J227" s="33" t="n">
        <v>45982.4088534954</v>
      </c>
      <c r="K227" s="13" t="s">
        <v>153</v>
      </c>
      <c r="L227" s="13"/>
      <c r="M227" s="13" t="s">
        <v>956</v>
      </c>
      <c r="N227" s="33" t="n">
        <v>46308.7264460648</v>
      </c>
    </row>
    <row r="228" customFormat="false" ht="15" hidden="false" customHeight="false" outlineLevel="0" collapsed="false">
      <c r="A228" s="13" t="s">
        <v>957</v>
      </c>
      <c r="B228" s="13" t="s">
        <v>57</v>
      </c>
      <c r="C228" s="13" t="s">
        <v>958</v>
      </c>
      <c r="D228" s="13" t="s">
        <v>166</v>
      </c>
      <c r="E228" s="13" t="s">
        <v>95</v>
      </c>
      <c r="F228" s="13"/>
      <c r="G228" s="13" t="s">
        <v>159</v>
      </c>
      <c r="H228" s="31"/>
      <c r="I228" s="33" t="n">
        <v>46104.7125190394</v>
      </c>
      <c r="J228" s="33" t="n">
        <v>45979.6353845718</v>
      </c>
      <c r="K228" s="13" t="s">
        <v>153</v>
      </c>
      <c r="L228" s="13"/>
      <c r="M228" s="13" t="s">
        <v>959</v>
      </c>
      <c r="N228" s="33" t="n">
        <v>46308.7264460648</v>
      </c>
    </row>
    <row r="229" customFormat="false" ht="15" hidden="false" customHeight="false" outlineLevel="0" collapsed="false">
      <c r="A229" s="13" t="s">
        <v>960</v>
      </c>
      <c r="B229" s="13" t="s">
        <v>57</v>
      </c>
      <c r="C229" s="13" t="s">
        <v>961</v>
      </c>
      <c r="D229" s="13" t="s">
        <v>166</v>
      </c>
      <c r="E229" s="13" t="s">
        <v>95</v>
      </c>
      <c r="F229" s="13"/>
      <c r="G229" s="13"/>
      <c r="H229" s="31"/>
      <c r="I229" s="33" t="n">
        <v>46104.7125190394</v>
      </c>
      <c r="J229" s="33" t="n">
        <v>45979.6458284491</v>
      </c>
      <c r="K229" s="13" t="s">
        <v>153</v>
      </c>
      <c r="L229" s="13"/>
      <c r="M229" s="13" t="s">
        <v>962</v>
      </c>
      <c r="N229" s="33" t="n">
        <v>46308.7264460648</v>
      </c>
    </row>
    <row r="230" customFormat="false" ht="15" hidden="false" customHeight="false" outlineLevel="0" collapsed="false">
      <c r="A230" s="13" t="s">
        <v>963</v>
      </c>
      <c r="B230" s="13" t="s">
        <v>57</v>
      </c>
      <c r="C230" s="13" t="s">
        <v>964</v>
      </c>
      <c r="D230" s="13" t="s">
        <v>166</v>
      </c>
      <c r="E230" s="13" t="s">
        <v>95</v>
      </c>
      <c r="F230" s="13"/>
      <c r="G230" s="13"/>
      <c r="H230" s="31"/>
      <c r="I230" s="33" t="n">
        <v>46104.7125190394</v>
      </c>
      <c r="J230" s="33" t="n">
        <v>45978.6527876505</v>
      </c>
      <c r="K230" s="13" t="s">
        <v>153</v>
      </c>
      <c r="L230" s="13"/>
      <c r="M230" s="13" t="s">
        <v>965</v>
      </c>
      <c r="N230" s="33" t="n">
        <v>46308.7264460648</v>
      </c>
    </row>
    <row r="231" customFormat="false" ht="15" hidden="false" customHeight="false" outlineLevel="0" collapsed="false">
      <c r="A231" s="13" t="s">
        <v>966</v>
      </c>
      <c r="B231" s="13" t="s">
        <v>57</v>
      </c>
      <c r="C231" s="13" t="s">
        <v>967</v>
      </c>
      <c r="D231" s="13" t="s">
        <v>166</v>
      </c>
      <c r="E231" s="13" t="s">
        <v>95</v>
      </c>
      <c r="F231" s="13"/>
      <c r="G231" s="13"/>
      <c r="H231" s="31"/>
      <c r="I231" s="33" t="n">
        <v>46104.7125190394</v>
      </c>
      <c r="J231" s="33" t="n">
        <v>45978.6530449884</v>
      </c>
      <c r="K231" s="13" t="s">
        <v>153</v>
      </c>
      <c r="L231" s="13"/>
      <c r="M231" s="13" t="s">
        <v>968</v>
      </c>
      <c r="N231" s="33" t="n">
        <v>46308.7264460648</v>
      </c>
    </row>
    <row r="232" customFormat="false" ht="15" hidden="false" customHeight="false" outlineLevel="0" collapsed="false">
      <c r="A232" s="13" t="s">
        <v>969</v>
      </c>
      <c r="B232" s="13" t="s">
        <v>57</v>
      </c>
      <c r="C232" s="13" t="s">
        <v>970</v>
      </c>
      <c r="D232" s="13" t="s">
        <v>166</v>
      </c>
      <c r="E232" s="13" t="s">
        <v>95</v>
      </c>
      <c r="F232" s="13"/>
      <c r="G232" s="13"/>
      <c r="H232" s="31"/>
      <c r="I232" s="33" t="n">
        <v>46104.7125190394</v>
      </c>
      <c r="J232" s="33" t="n">
        <v>45999.4014286227</v>
      </c>
      <c r="K232" s="13" t="s">
        <v>153</v>
      </c>
      <c r="L232" s="13"/>
      <c r="M232" s="13" t="s">
        <v>971</v>
      </c>
      <c r="N232" s="33" t="n">
        <v>46308.7264460648</v>
      </c>
    </row>
    <row r="233" customFormat="false" ht="15" hidden="false" customHeight="false" outlineLevel="0" collapsed="false">
      <c r="A233" s="13" t="s">
        <v>972</v>
      </c>
      <c r="B233" s="13" t="s">
        <v>57</v>
      </c>
      <c r="C233" s="13" t="s">
        <v>973</v>
      </c>
      <c r="D233" s="13" t="s">
        <v>166</v>
      </c>
      <c r="E233" s="13" t="s">
        <v>95</v>
      </c>
      <c r="F233" s="13"/>
      <c r="G233" s="13"/>
      <c r="H233" s="31"/>
      <c r="I233" s="33" t="n">
        <v>46104.7125190394</v>
      </c>
      <c r="J233" s="33" t="n">
        <v>45978.5772518866</v>
      </c>
      <c r="K233" s="13" t="s">
        <v>153</v>
      </c>
      <c r="L233" s="13"/>
      <c r="M233" s="13" t="s">
        <v>974</v>
      </c>
      <c r="N233" s="33" t="n">
        <v>46308.7264460648</v>
      </c>
    </row>
    <row r="234" customFormat="false" ht="15" hidden="false" customHeight="false" outlineLevel="0" collapsed="false">
      <c r="A234" s="13" t="s">
        <v>975</v>
      </c>
      <c r="B234" s="13" t="s">
        <v>57</v>
      </c>
      <c r="C234" s="13" t="s">
        <v>976</v>
      </c>
      <c r="D234" s="13" t="s">
        <v>166</v>
      </c>
      <c r="E234" s="13" t="s">
        <v>977</v>
      </c>
      <c r="F234" s="13" t="s">
        <v>597</v>
      </c>
      <c r="G234" s="13" t="s">
        <v>159</v>
      </c>
      <c r="H234" s="31"/>
      <c r="I234" s="33" t="n">
        <v>46104.7125190394</v>
      </c>
      <c r="J234" s="33" t="n">
        <v>45978.4591040857</v>
      </c>
      <c r="K234" s="13" t="s">
        <v>153</v>
      </c>
      <c r="L234" s="13"/>
      <c r="M234" s="13" t="s">
        <v>978</v>
      </c>
      <c r="N234" s="33" t="n">
        <v>46308.7264460648</v>
      </c>
    </row>
    <row r="235" customFormat="false" ht="15" hidden="false" customHeight="false" outlineLevel="0" collapsed="false">
      <c r="A235" s="13" t="s">
        <v>979</v>
      </c>
      <c r="B235" s="13" t="s">
        <v>57</v>
      </c>
      <c r="C235" s="13" t="s">
        <v>980</v>
      </c>
      <c r="D235" s="13" t="s">
        <v>166</v>
      </c>
      <c r="E235" s="13" t="s">
        <v>981</v>
      </c>
      <c r="F235" s="13" t="s">
        <v>736</v>
      </c>
      <c r="G235" s="13"/>
      <c r="H235" s="31"/>
      <c r="I235" s="33" t="n">
        <v>46104.7125190394</v>
      </c>
      <c r="J235" s="33" t="n">
        <v>45945.6572031134</v>
      </c>
      <c r="K235" s="13" t="s">
        <v>153</v>
      </c>
      <c r="L235" s="13" t="s">
        <v>117</v>
      </c>
      <c r="M235" s="13" t="s">
        <v>982</v>
      </c>
      <c r="N235" s="33" t="n">
        <v>46308.7264460648</v>
      </c>
    </row>
    <row r="236" customFormat="false" ht="15" hidden="false" customHeight="false" outlineLevel="0" collapsed="false">
      <c r="A236" s="13" t="s">
        <v>983</v>
      </c>
      <c r="B236" s="13" t="s">
        <v>57</v>
      </c>
      <c r="C236" s="13" t="s">
        <v>984</v>
      </c>
      <c r="D236" s="13" t="s">
        <v>166</v>
      </c>
      <c r="E236" s="13" t="s">
        <v>985</v>
      </c>
      <c r="F236" s="13"/>
      <c r="G236" s="13"/>
      <c r="H236" s="31"/>
      <c r="I236" s="33" t="n">
        <v>46104.7125190394</v>
      </c>
      <c r="J236" s="33" t="n">
        <v>45975.6093824653</v>
      </c>
      <c r="K236" s="13" t="s">
        <v>153</v>
      </c>
      <c r="L236" s="13"/>
      <c r="M236" s="13" t="s">
        <v>986</v>
      </c>
      <c r="N236" s="33" t="n">
        <v>46308.7264460648</v>
      </c>
    </row>
    <row r="237" customFormat="false" ht="15" hidden="false" customHeight="false" outlineLevel="0" collapsed="false">
      <c r="A237" s="13" t="s">
        <v>987</v>
      </c>
      <c r="B237" s="13" t="s">
        <v>57</v>
      </c>
      <c r="C237" s="13" t="s">
        <v>988</v>
      </c>
      <c r="D237" s="13" t="s">
        <v>166</v>
      </c>
      <c r="E237" s="13" t="s">
        <v>95</v>
      </c>
      <c r="F237" s="13" t="s">
        <v>60</v>
      </c>
      <c r="G237" s="13"/>
      <c r="H237" s="31"/>
      <c r="I237" s="33" t="n">
        <v>46104.7125190394</v>
      </c>
      <c r="J237" s="33" t="n">
        <v>45978.3781221181</v>
      </c>
      <c r="K237" s="13" t="s">
        <v>153</v>
      </c>
      <c r="L237" s="13" t="s">
        <v>280</v>
      </c>
      <c r="M237" s="13" t="s">
        <v>989</v>
      </c>
      <c r="N237" s="33" t="n">
        <v>46308.7264460648</v>
      </c>
    </row>
    <row r="238" customFormat="false" ht="15" hidden="false" customHeight="false" outlineLevel="0" collapsed="false">
      <c r="A238" s="13" t="s">
        <v>990</v>
      </c>
      <c r="B238" s="13" t="s">
        <v>57</v>
      </c>
      <c r="C238" s="13" t="s">
        <v>991</v>
      </c>
      <c r="D238" s="13" t="s">
        <v>166</v>
      </c>
      <c r="E238" s="13" t="s">
        <v>95</v>
      </c>
      <c r="F238" s="13"/>
      <c r="G238" s="13"/>
      <c r="H238" s="31"/>
      <c r="I238" s="33" t="n">
        <v>46104.7125190394</v>
      </c>
      <c r="J238" s="33" t="n">
        <v>45975.6368163773</v>
      </c>
      <c r="K238" s="13" t="s">
        <v>153</v>
      </c>
      <c r="L238" s="13"/>
      <c r="M238" s="13" t="s">
        <v>992</v>
      </c>
      <c r="N238" s="33" t="n">
        <v>46308.7264460648</v>
      </c>
    </row>
    <row r="239" customFormat="false" ht="15" hidden="false" customHeight="false" outlineLevel="0" collapsed="false">
      <c r="A239" s="13" t="s">
        <v>993</v>
      </c>
      <c r="B239" s="13" t="s">
        <v>57</v>
      </c>
      <c r="C239" s="13" t="s">
        <v>994</v>
      </c>
      <c r="D239" s="13" t="s">
        <v>166</v>
      </c>
      <c r="E239" s="13" t="s">
        <v>95</v>
      </c>
      <c r="F239" s="13"/>
      <c r="G239" s="13"/>
      <c r="H239" s="31"/>
      <c r="I239" s="33" t="n">
        <v>46104.7125190394</v>
      </c>
      <c r="J239" s="33" t="n">
        <v>45975.6480537384</v>
      </c>
      <c r="K239" s="13" t="s">
        <v>153</v>
      </c>
      <c r="L239" s="13"/>
      <c r="M239" s="13" t="s">
        <v>995</v>
      </c>
      <c r="N239" s="33" t="n">
        <v>46308.7264460648</v>
      </c>
    </row>
    <row r="240" customFormat="false" ht="15" hidden="false" customHeight="false" outlineLevel="0" collapsed="false">
      <c r="A240" s="13" t="s">
        <v>996</v>
      </c>
      <c r="B240" s="13" t="s">
        <v>57</v>
      </c>
      <c r="C240" s="13" t="s">
        <v>997</v>
      </c>
      <c r="D240" s="13" t="s">
        <v>166</v>
      </c>
      <c r="E240" s="13" t="s">
        <v>95</v>
      </c>
      <c r="F240" s="13"/>
      <c r="G240" s="13"/>
      <c r="H240" s="31"/>
      <c r="I240" s="33" t="n">
        <v>46104.7125190394</v>
      </c>
      <c r="J240" s="33" t="n">
        <v>45975.6538202315</v>
      </c>
      <c r="K240" s="13" t="s">
        <v>153</v>
      </c>
      <c r="L240" s="13"/>
      <c r="M240" s="13" t="s">
        <v>998</v>
      </c>
      <c r="N240" s="33" t="n">
        <v>46308.7264460648</v>
      </c>
    </row>
    <row r="241" customFormat="false" ht="15" hidden="false" customHeight="false" outlineLevel="0" collapsed="false">
      <c r="A241" s="13" t="s">
        <v>999</v>
      </c>
      <c r="B241" s="13" t="s">
        <v>57</v>
      </c>
      <c r="C241" s="13" t="s">
        <v>1000</v>
      </c>
      <c r="D241" s="13" t="s">
        <v>166</v>
      </c>
      <c r="E241" s="13" t="s">
        <v>95</v>
      </c>
      <c r="F241" s="13"/>
      <c r="G241" s="13"/>
      <c r="H241" s="31"/>
      <c r="I241" s="33" t="n">
        <v>46104.7125190394</v>
      </c>
      <c r="J241" s="33" t="n">
        <v>45939.6053394213</v>
      </c>
      <c r="K241" s="13" t="s">
        <v>153</v>
      </c>
      <c r="L241" s="13"/>
      <c r="M241" s="13" t="s">
        <v>1001</v>
      </c>
      <c r="N241" s="33" t="n">
        <v>46308.7264460648</v>
      </c>
    </row>
    <row r="242" customFormat="false" ht="15" hidden="false" customHeight="false" outlineLevel="0" collapsed="false">
      <c r="A242" s="13" t="s">
        <v>1002</v>
      </c>
      <c r="B242" s="13" t="s">
        <v>57</v>
      </c>
      <c r="C242" s="13" t="s">
        <v>1003</v>
      </c>
      <c r="D242" s="13" t="s">
        <v>166</v>
      </c>
      <c r="E242" s="13" t="s">
        <v>95</v>
      </c>
      <c r="F242" s="13"/>
      <c r="G242" s="13" t="s">
        <v>189</v>
      </c>
      <c r="H242" s="31"/>
      <c r="I242" s="33" t="n">
        <v>46104.7125190394</v>
      </c>
      <c r="J242" s="33" t="n">
        <v>45937.4293862037</v>
      </c>
      <c r="K242" s="13" t="s">
        <v>153</v>
      </c>
      <c r="L242" s="13"/>
      <c r="M242" s="13" t="s">
        <v>1004</v>
      </c>
      <c r="N242" s="33" t="n">
        <v>46308.7264460648</v>
      </c>
    </row>
    <row r="243" customFormat="false" ht="15" hidden="false" customHeight="false" outlineLevel="0" collapsed="false">
      <c r="A243" s="13" t="s">
        <v>1005</v>
      </c>
      <c r="B243" s="13" t="s">
        <v>57</v>
      </c>
      <c r="C243" s="13" t="s">
        <v>1006</v>
      </c>
      <c r="D243" s="13" t="s">
        <v>166</v>
      </c>
      <c r="E243" s="13" t="s">
        <v>1007</v>
      </c>
      <c r="F243" s="13"/>
      <c r="G243" s="13"/>
      <c r="H243" s="31"/>
      <c r="I243" s="33" t="n">
        <v>46104.7125190394</v>
      </c>
      <c r="J243" s="33" t="n">
        <v>45975.7214594676</v>
      </c>
      <c r="K243" s="13" t="s">
        <v>153</v>
      </c>
      <c r="L243" s="13"/>
      <c r="M243" s="13" t="s">
        <v>1008</v>
      </c>
      <c r="N243" s="33" t="n">
        <v>46308.7264460648</v>
      </c>
    </row>
    <row r="244" customFormat="false" ht="15" hidden="false" customHeight="false" outlineLevel="0" collapsed="false">
      <c r="A244" s="13" t="s">
        <v>1009</v>
      </c>
      <c r="B244" s="13" t="s">
        <v>57</v>
      </c>
      <c r="C244" s="13" t="s">
        <v>1010</v>
      </c>
      <c r="D244" s="13" t="s">
        <v>166</v>
      </c>
      <c r="E244" s="13" t="s">
        <v>1011</v>
      </c>
      <c r="F244" s="13"/>
      <c r="G244" s="13"/>
      <c r="H244" s="31"/>
      <c r="I244" s="33" t="n">
        <v>46104.7125190394</v>
      </c>
      <c r="J244" s="33" t="n">
        <v>45978.4672195949</v>
      </c>
      <c r="K244" s="13" t="s">
        <v>153</v>
      </c>
      <c r="L244" s="13"/>
      <c r="M244" s="13" t="s">
        <v>1012</v>
      </c>
      <c r="N244" s="33" t="n">
        <v>46308.7264460648</v>
      </c>
    </row>
    <row r="245" customFormat="false" ht="15" hidden="false" customHeight="false" outlineLevel="0" collapsed="false">
      <c r="A245" s="13" t="s">
        <v>1013</v>
      </c>
      <c r="B245" s="13" t="s">
        <v>57</v>
      </c>
      <c r="C245" s="13" t="s">
        <v>1014</v>
      </c>
      <c r="D245" s="13" t="s">
        <v>166</v>
      </c>
      <c r="E245" s="13" t="s">
        <v>1011</v>
      </c>
      <c r="F245" s="13"/>
      <c r="G245" s="13"/>
      <c r="H245" s="31"/>
      <c r="I245" s="33" t="n">
        <v>46104.7125190394</v>
      </c>
      <c r="J245" s="33" t="n">
        <v>46002.4204897569</v>
      </c>
      <c r="K245" s="13" t="s">
        <v>153</v>
      </c>
      <c r="L245" s="13"/>
      <c r="M245" s="13" t="s">
        <v>1015</v>
      </c>
      <c r="N245" s="33" t="n">
        <v>46308.7264460648</v>
      </c>
    </row>
    <row r="246" customFormat="false" ht="15" hidden="false" customHeight="false" outlineLevel="0" collapsed="false">
      <c r="A246" s="13" t="s">
        <v>1016</v>
      </c>
      <c r="B246" s="13" t="s">
        <v>57</v>
      </c>
      <c r="C246" s="13" t="s">
        <v>1017</v>
      </c>
      <c r="D246" s="13" t="s">
        <v>166</v>
      </c>
      <c r="E246" s="13" t="s">
        <v>928</v>
      </c>
      <c r="F246" s="13" t="s">
        <v>736</v>
      </c>
      <c r="G246" s="13" t="s">
        <v>189</v>
      </c>
      <c r="H246" s="31"/>
      <c r="I246" s="33" t="n">
        <v>46104.7125190394</v>
      </c>
      <c r="J246" s="33" t="n">
        <v>45978.4656998958</v>
      </c>
      <c r="K246" s="13" t="s">
        <v>153</v>
      </c>
      <c r="L246" s="13" t="s">
        <v>117</v>
      </c>
      <c r="M246" s="13" t="s">
        <v>1018</v>
      </c>
      <c r="N246" s="33" t="n">
        <v>46308.7264460648</v>
      </c>
    </row>
    <row r="247" customFormat="false" ht="15" hidden="false" customHeight="false" outlineLevel="0" collapsed="false">
      <c r="A247" s="13" t="s">
        <v>1019</v>
      </c>
      <c r="B247" s="13" t="s">
        <v>57</v>
      </c>
      <c r="C247" s="13" t="s">
        <v>1020</v>
      </c>
      <c r="D247" s="13" t="s">
        <v>166</v>
      </c>
      <c r="E247" s="13" t="s">
        <v>928</v>
      </c>
      <c r="F247" s="13" t="s">
        <v>736</v>
      </c>
      <c r="G247" s="13" t="s">
        <v>189</v>
      </c>
      <c r="H247" s="31"/>
      <c r="I247" s="33" t="n">
        <v>46104.7125190394</v>
      </c>
      <c r="J247" s="33" t="n">
        <v>46093.5806344444</v>
      </c>
      <c r="K247" s="13" t="s">
        <v>153</v>
      </c>
      <c r="L247" s="13" t="s">
        <v>117</v>
      </c>
      <c r="M247" s="13" t="s">
        <v>1021</v>
      </c>
      <c r="N247" s="33" t="n">
        <v>46308.7264460648</v>
      </c>
    </row>
    <row r="248" customFormat="false" ht="15" hidden="false" customHeight="false" outlineLevel="0" collapsed="false">
      <c r="A248" s="13" t="s">
        <v>1022</v>
      </c>
      <c r="B248" s="13" t="s">
        <v>57</v>
      </c>
      <c r="C248" s="13" t="s">
        <v>1023</v>
      </c>
      <c r="D248" s="13" t="s">
        <v>166</v>
      </c>
      <c r="E248" s="13" t="s">
        <v>981</v>
      </c>
      <c r="F248" s="13" t="s">
        <v>1024</v>
      </c>
      <c r="G248" s="13" t="s">
        <v>207</v>
      </c>
      <c r="H248" s="31"/>
      <c r="I248" s="33" t="n">
        <v>46104.7125190394</v>
      </c>
      <c r="J248" s="33" t="n">
        <v>45978.4690057407</v>
      </c>
      <c r="K248" s="13" t="s">
        <v>153</v>
      </c>
      <c r="L248" s="13" t="s">
        <v>117</v>
      </c>
      <c r="M248" s="13" t="s">
        <v>1025</v>
      </c>
      <c r="N248" s="33" t="n">
        <v>46308.7264460648</v>
      </c>
    </row>
    <row r="249" customFormat="false" ht="15" hidden="false" customHeight="false" outlineLevel="0" collapsed="false">
      <c r="A249" s="13" t="s">
        <v>1026</v>
      </c>
      <c r="B249" s="13" t="s">
        <v>57</v>
      </c>
      <c r="C249" s="13" t="s">
        <v>1027</v>
      </c>
      <c r="D249" s="13" t="s">
        <v>166</v>
      </c>
      <c r="E249" s="13" t="s">
        <v>1028</v>
      </c>
      <c r="F249" s="13" t="s">
        <v>597</v>
      </c>
      <c r="G249" s="13" t="s">
        <v>189</v>
      </c>
      <c r="H249" s="31"/>
      <c r="I249" s="33" t="n">
        <v>46104.7125190394</v>
      </c>
      <c r="J249" s="33" t="n">
        <v>45902.6660049306</v>
      </c>
      <c r="K249" s="13" t="s">
        <v>153</v>
      </c>
      <c r="L249" s="13"/>
      <c r="M249" s="13" t="s">
        <v>1029</v>
      </c>
      <c r="N249" s="33" t="n">
        <v>46308.7264460648</v>
      </c>
    </row>
    <row r="250" customFormat="false" ht="15" hidden="false" customHeight="false" outlineLevel="0" collapsed="false">
      <c r="A250" s="13" t="s">
        <v>1030</v>
      </c>
      <c r="B250" s="13" t="s">
        <v>57</v>
      </c>
      <c r="C250" s="13" t="s">
        <v>1031</v>
      </c>
      <c r="D250" s="13" t="s">
        <v>166</v>
      </c>
      <c r="E250" s="13" t="s">
        <v>981</v>
      </c>
      <c r="F250" s="13"/>
      <c r="G250" s="13"/>
      <c r="H250" s="31"/>
      <c r="I250" s="33" t="n">
        <v>46104.7125190394</v>
      </c>
      <c r="J250" s="33" t="n">
        <v>45917.597720706</v>
      </c>
      <c r="K250" s="13" t="s">
        <v>153</v>
      </c>
      <c r="L250" s="13"/>
      <c r="M250" s="13" t="s">
        <v>1032</v>
      </c>
      <c r="N250" s="33" t="n">
        <v>46308.7264460648</v>
      </c>
    </row>
    <row r="251" customFormat="false" ht="15" hidden="false" customHeight="false" outlineLevel="0" collapsed="false">
      <c r="A251" s="13" t="s">
        <v>1033</v>
      </c>
      <c r="B251" s="13" t="s">
        <v>57</v>
      </c>
      <c r="C251" s="13" t="s">
        <v>1034</v>
      </c>
      <c r="D251" s="13" t="s">
        <v>166</v>
      </c>
      <c r="E251" s="13" t="s">
        <v>981</v>
      </c>
      <c r="F251" s="13"/>
      <c r="G251" s="13"/>
      <c r="H251" s="31"/>
      <c r="I251" s="33" t="n">
        <v>46104.7125190394</v>
      </c>
      <c r="J251" s="33" t="n">
        <v>45880.6054006134</v>
      </c>
      <c r="K251" s="13" t="s">
        <v>153</v>
      </c>
      <c r="L251" s="13"/>
      <c r="M251" s="13" t="s">
        <v>1035</v>
      </c>
      <c r="N251" s="33" t="n">
        <v>46308.7264460648</v>
      </c>
    </row>
    <row r="252" customFormat="false" ht="15" hidden="false" customHeight="false" outlineLevel="0" collapsed="false">
      <c r="A252" s="13" t="s">
        <v>1036</v>
      </c>
      <c r="B252" s="13" t="s">
        <v>57</v>
      </c>
      <c r="C252" s="13" t="s">
        <v>1037</v>
      </c>
      <c r="D252" s="13" t="s">
        <v>166</v>
      </c>
      <c r="E252" s="13" t="s">
        <v>928</v>
      </c>
      <c r="F252" s="13"/>
      <c r="G252" s="13"/>
      <c r="H252" s="31"/>
      <c r="I252" s="33" t="n">
        <v>46104.7125190394</v>
      </c>
      <c r="J252" s="33" t="n">
        <v>45883.6174743403</v>
      </c>
      <c r="K252" s="13" t="s">
        <v>153</v>
      </c>
      <c r="L252" s="13"/>
      <c r="M252" s="13" t="s">
        <v>1038</v>
      </c>
      <c r="N252" s="33" t="n">
        <v>46308.7264460648</v>
      </c>
    </row>
    <row r="253" customFormat="false" ht="15" hidden="false" customHeight="false" outlineLevel="0" collapsed="false">
      <c r="A253" s="13" t="s">
        <v>1039</v>
      </c>
      <c r="B253" s="13" t="s">
        <v>57</v>
      </c>
      <c r="C253" s="13" t="s">
        <v>1040</v>
      </c>
      <c r="D253" s="13" t="s">
        <v>166</v>
      </c>
      <c r="E253" s="13" t="s">
        <v>95</v>
      </c>
      <c r="F253" s="13" t="s">
        <v>597</v>
      </c>
      <c r="G253" s="13" t="s">
        <v>207</v>
      </c>
      <c r="H253" s="31"/>
      <c r="I253" s="33" t="n">
        <v>46104.7125190394</v>
      </c>
      <c r="J253" s="33" t="n">
        <v>45978.5074880556</v>
      </c>
      <c r="K253" s="13" t="s">
        <v>153</v>
      </c>
      <c r="L253" s="13"/>
      <c r="M253" s="13" t="s">
        <v>1041</v>
      </c>
      <c r="N253" s="33" t="n">
        <v>46308.7264460648</v>
      </c>
    </row>
    <row r="254" customFormat="false" ht="15" hidden="false" customHeight="false" outlineLevel="0" collapsed="false">
      <c r="A254" s="13" t="s">
        <v>1042</v>
      </c>
      <c r="B254" s="13" t="s">
        <v>57</v>
      </c>
      <c r="C254" s="13" t="s">
        <v>1043</v>
      </c>
      <c r="D254" s="13" t="s">
        <v>166</v>
      </c>
      <c r="E254" s="13" t="s">
        <v>1044</v>
      </c>
      <c r="F254" s="13" t="s">
        <v>597</v>
      </c>
      <c r="G254" s="13" t="s">
        <v>207</v>
      </c>
      <c r="H254" s="31"/>
      <c r="I254" s="33" t="n">
        <v>46104.7125190394</v>
      </c>
      <c r="J254" s="33" t="n">
        <v>45855.575622419</v>
      </c>
      <c r="K254" s="13" t="s">
        <v>153</v>
      </c>
      <c r="L254" s="13"/>
      <c r="M254" s="13" t="s">
        <v>1045</v>
      </c>
      <c r="N254" s="33" t="n">
        <v>46308.7264460648</v>
      </c>
    </row>
    <row r="255" customFormat="false" ht="15" hidden="false" customHeight="false" outlineLevel="0" collapsed="false">
      <c r="A255" s="13" t="s">
        <v>1046</v>
      </c>
      <c r="B255" s="13" t="s">
        <v>57</v>
      </c>
      <c r="C255" s="13" t="s">
        <v>1047</v>
      </c>
      <c r="D255" s="13" t="s">
        <v>166</v>
      </c>
      <c r="E255" s="13" t="s">
        <v>928</v>
      </c>
      <c r="F255" s="13" t="s">
        <v>597</v>
      </c>
      <c r="G255" s="13" t="s">
        <v>207</v>
      </c>
      <c r="H255" s="31"/>
      <c r="I255" s="33" t="n">
        <v>46104.7125190394</v>
      </c>
      <c r="J255" s="33" t="n">
        <v>45982.6084942477</v>
      </c>
      <c r="K255" s="13" t="s">
        <v>153</v>
      </c>
      <c r="L255" s="13"/>
      <c r="M255" s="13" t="s">
        <v>1048</v>
      </c>
      <c r="N255" s="33" t="n">
        <v>46308.7264460648</v>
      </c>
    </row>
    <row r="256" customFormat="false" ht="15" hidden="false" customHeight="false" outlineLevel="0" collapsed="false">
      <c r="A256" s="13" t="s">
        <v>1049</v>
      </c>
      <c r="B256" s="13" t="s">
        <v>57</v>
      </c>
      <c r="C256" s="13" t="s">
        <v>1050</v>
      </c>
      <c r="D256" s="13" t="s">
        <v>166</v>
      </c>
      <c r="E256" s="13" t="s">
        <v>1044</v>
      </c>
      <c r="F256" s="13" t="s">
        <v>597</v>
      </c>
      <c r="G256" s="13" t="s">
        <v>207</v>
      </c>
      <c r="H256" s="31"/>
      <c r="I256" s="33" t="n">
        <v>46104.7125190394</v>
      </c>
      <c r="J256" s="33" t="n">
        <v>45982.6083658218</v>
      </c>
      <c r="K256" s="13" t="s">
        <v>153</v>
      </c>
      <c r="L256" s="13"/>
      <c r="M256" s="13" t="s">
        <v>1051</v>
      </c>
      <c r="N256" s="33" t="n">
        <v>46308.7264460648</v>
      </c>
    </row>
    <row r="257" customFormat="false" ht="15" hidden="false" customHeight="false" outlineLevel="0" collapsed="false">
      <c r="A257" s="13" t="s">
        <v>1052</v>
      </c>
      <c r="B257" s="13" t="s">
        <v>57</v>
      </c>
      <c r="C257" s="13" t="s">
        <v>1053</v>
      </c>
      <c r="D257" s="13" t="s">
        <v>166</v>
      </c>
      <c r="E257" s="13" t="s">
        <v>981</v>
      </c>
      <c r="F257" s="13" t="s">
        <v>597</v>
      </c>
      <c r="G257" s="13" t="s">
        <v>159</v>
      </c>
      <c r="H257" s="31"/>
      <c r="I257" s="33" t="n">
        <v>46104.7125190394</v>
      </c>
      <c r="J257" s="33" t="n">
        <v>45883.459734132</v>
      </c>
      <c r="K257" s="13" t="s">
        <v>153</v>
      </c>
      <c r="L257" s="13"/>
      <c r="M257" s="13" t="s">
        <v>1054</v>
      </c>
      <c r="N257" s="33" t="n">
        <v>46308.7264460648</v>
      </c>
    </row>
    <row r="258" customFormat="false" ht="15" hidden="false" customHeight="false" outlineLevel="0" collapsed="false">
      <c r="A258" s="13" t="s">
        <v>1055</v>
      </c>
      <c r="B258" s="13" t="s">
        <v>57</v>
      </c>
      <c r="C258" s="13" t="s">
        <v>1056</v>
      </c>
      <c r="D258" s="13" t="s">
        <v>166</v>
      </c>
      <c r="E258" s="13" t="s">
        <v>1057</v>
      </c>
      <c r="F258" s="13" t="s">
        <v>1024</v>
      </c>
      <c r="G258" s="13"/>
      <c r="H258" s="31"/>
      <c r="I258" s="33" t="n">
        <v>46104.7125190394</v>
      </c>
      <c r="J258" s="33" t="n">
        <v>46002.4211583218</v>
      </c>
      <c r="K258" s="13" t="s">
        <v>153</v>
      </c>
      <c r="L258" s="13" t="s">
        <v>117</v>
      </c>
      <c r="M258" s="13" t="s">
        <v>1058</v>
      </c>
      <c r="N258" s="33" t="n">
        <v>46308.7264460648</v>
      </c>
    </row>
    <row r="259" customFormat="false" ht="15" hidden="false" customHeight="false" outlineLevel="0" collapsed="false">
      <c r="A259" s="13" t="s">
        <v>1059</v>
      </c>
      <c r="B259" s="13" t="s">
        <v>57</v>
      </c>
      <c r="C259" s="13" t="s">
        <v>1060</v>
      </c>
      <c r="D259" s="13" t="s">
        <v>166</v>
      </c>
      <c r="E259" s="13" t="s">
        <v>1061</v>
      </c>
      <c r="F259" s="13" t="s">
        <v>736</v>
      </c>
      <c r="G259" s="13"/>
      <c r="H259" s="31"/>
      <c r="I259" s="33" t="n">
        <v>46104.7125190394</v>
      </c>
      <c r="J259" s="33" t="n">
        <v>45847.6018208449</v>
      </c>
      <c r="K259" s="13" t="s">
        <v>153</v>
      </c>
      <c r="L259" s="13" t="s">
        <v>117</v>
      </c>
      <c r="M259" s="13" t="s">
        <v>1062</v>
      </c>
      <c r="N259" s="33" t="n">
        <v>46308.7264460648</v>
      </c>
    </row>
    <row r="260" customFormat="false" ht="15" hidden="false" customHeight="false" outlineLevel="0" collapsed="false">
      <c r="A260" s="13" t="s">
        <v>1063</v>
      </c>
      <c r="B260" s="13" t="s">
        <v>57</v>
      </c>
      <c r="C260" s="13" t="s">
        <v>1064</v>
      </c>
      <c r="D260" s="13" t="s">
        <v>166</v>
      </c>
      <c r="E260" s="13" t="s">
        <v>95</v>
      </c>
      <c r="F260" s="13"/>
      <c r="G260" s="13" t="s">
        <v>189</v>
      </c>
      <c r="H260" s="31"/>
      <c r="I260" s="33" t="n">
        <v>46104.7125190394</v>
      </c>
      <c r="J260" s="33" t="n">
        <v>46093.5808640857</v>
      </c>
      <c r="K260" s="13" t="s">
        <v>153</v>
      </c>
      <c r="L260" s="13"/>
      <c r="M260" s="13" t="s">
        <v>1065</v>
      </c>
      <c r="N260" s="33" t="n">
        <v>46308.7264460648</v>
      </c>
    </row>
    <row r="261" customFormat="false" ht="15" hidden="false" customHeight="false" outlineLevel="0" collapsed="false">
      <c r="A261" s="13" t="s">
        <v>1066</v>
      </c>
      <c r="B261" s="13" t="s">
        <v>57</v>
      </c>
      <c r="C261" s="13" t="s">
        <v>1067</v>
      </c>
      <c r="D261" s="13" t="s">
        <v>166</v>
      </c>
      <c r="E261" s="13" t="s">
        <v>1057</v>
      </c>
      <c r="F261" s="13" t="s">
        <v>60</v>
      </c>
      <c r="G261" s="13"/>
      <c r="H261" s="31"/>
      <c r="I261" s="33" t="n">
        <v>46104.7125190394</v>
      </c>
      <c r="J261" s="33" t="n">
        <v>45848.4701489468</v>
      </c>
      <c r="K261" s="13" t="s">
        <v>153</v>
      </c>
      <c r="L261" s="13" t="s">
        <v>280</v>
      </c>
      <c r="M261" s="13" t="s">
        <v>1068</v>
      </c>
      <c r="N261" s="33" t="n">
        <v>46308.7264460648</v>
      </c>
    </row>
    <row r="262" customFormat="false" ht="15" hidden="false" customHeight="false" outlineLevel="0" collapsed="false">
      <c r="A262" s="13" t="s">
        <v>1069</v>
      </c>
      <c r="B262" s="13" t="s">
        <v>57</v>
      </c>
      <c r="C262" s="13" t="s">
        <v>1070</v>
      </c>
      <c r="D262" s="13" t="s">
        <v>166</v>
      </c>
      <c r="E262" s="13" t="s">
        <v>95</v>
      </c>
      <c r="F262" s="13"/>
      <c r="G262" s="13"/>
      <c r="H262" s="31"/>
      <c r="I262" s="33" t="n">
        <v>46104.7125190394</v>
      </c>
      <c r="J262" s="33" t="n">
        <v>45978.4707376968</v>
      </c>
      <c r="K262" s="13" t="s">
        <v>153</v>
      </c>
      <c r="L262" s="13"/>
      <c r="M262" s="13" t="s">
        <v>1071</v>
      </c>
      <c r="N262" s="33" t="n">
        <v>46308.7264460648</v>
      </c>
    </row>
    <row r="263" customFormat="false" ht="15" hidden="false" customHeight="false" outlineLevel="0" collapsed="false">
      <c r="A263" s="13" t="s">
        <v>1072</v>
      </c>
      <c r="B263" s="13" t="s">
        <v>57</v>
      </c>
      <c r="C263" s="13" t="s">
        <v>1073</v>
      </c>
      <c r="D263" s="13" t="s">
        <v>166</v>
      </c>
      <c r="E263" s="13" t="s">
        <v>1074</v>
      </c>
      <c r="F263" s="13"/>
      <c r="G263" s="13"/>
      <c r="H263" s="31"/>
      <c r="I263" s="33" t="n">
        <v>46104.7125190394</v>
      </c>
      <c r="J263" s="33" t="n">
        <v>45838.344528669</v>
      </c>
      <c r="K263" s="13" t="s">
        <v>153</v>
      </c>
      <c r="L263" s="13"/>
      <c r="M263" s="13" t="s">
        <v>1075</v>
      </c>
      <c r="N263" s="33" t="n">
        <v>46308.7264460648</v>
      </c>
    </row>
    <row r="264" customFormat="false" ht="15" hidden="false" customHeight="false" outlineLevel="0" collapsed="false">
      <c r="A264" s="13" t="s">
        <v>1076</v>
      </c>
      <c r="B264" s="13" t="s">
        <v>57</v>
      </c>
      <c r="C264" s="13" t="s">
        <v>1077</v>
      </c>
      <c r="D264" s="13" t="s">
        <v>166</v>
      </c>
      <c r="E264" s="13" t="s">
        <v>928</v>
      </c>
      <c r="F264" s="13"/>
      <c r="G264" s="13" t="s">
        <v>159</v>
      </c>
      <c r="H264" s="31"/>
      <c r="I264" s="33" t="n">
        <v>46104.7125190394</v>
      </c>
      <c r="J264" s="33" t="n">
        <v>45978.5802849306</v>
      </c>
      <c r="K264" s="13" t="s">
        <v>153</v>
      </c>
      <c r="L264" s="13"/>
      <c r="M264" s="13" t="s">
        <v>1078</v>
      </c>
      <c r="N264" s="33" t="n">
        <v>46308.7264460648</v>
      </c>
    </row>
    <row r="265" customFormat="false" ht="15" hidden="false" customHeight="false" outlineLevel="0" collapsed="false">
      <c r="A265" s="13" t="s">
        <v>1079</v>
      </c>
      <c r="B265" s="13" t="s">
        <v>57</v>
      </c>
      <c r="C265" s="13" t="s">
        <v>1080</v>
      </c>
      <c r="D265" s="13" t="s">
        <v>166</v>
      </c>
      <c r="E265" s="13" t="s">
        <v>95</v>
      </c>
      <c r="F265" s="13" t="s">
        <v>736</v>
      </c>
      <c r="G265" s="13" t="s">
        <v>159</v>
      </c>
      <c r="H265" s="31"/>
      <c r="I265" s="33" t="n">
        <v>46104.7125190394</v>
      </c>
      <c r="J265" s="33" t="n">
        <v>45978.5813641204</v>
      </c>
      <c r="K265" s="13" t="s">
        <v>153</v>
      </c>
      <c r="L265" s="13" t="s">
        <v>117</v>
      </c>
      <c r="M265" s="13" t="s">
        <v>1081</v>
      </c>
      <c r="N265" s="33" t="n">
        <v>46308.7264460648</v>
      </c>
    </row>
    <row r="266" customFormat="false" ht="15" hidden="false" customHeight="false" outlineLevel="0" collapsed="false">
      <c r="A266" s="13" t="s">
        <v>1082</v>
      </c>
      <c r="B266" s="13" t="s">
        <v>57</v>
      </c>
      <c r="C266" s="13" t="s">
        <v>1083</v>
      </c>
      <c r="D266" s="13" t="s">
        <v>166</v>
      </c>
      <c r="E266" s="13" t="s">
        <v>802</v>
      </c>
      <c r="F266" s="13"/>
      <c r="G266" s="13" t="s">
        <v>207</v>
      </c>
      <c r="H266" s="31"/>
      <c r="I266" s="33" t="n">
        <v>46104.7125190394</v>
      </c>
      <c r="J266" s="33" t="n">
        <v>45818.5564780671</v>
      </c>
      <c r="K266" s="13" t="s">
        <v>153</v>
      </c>
      <c r="L266" s="13"/>
      <c r="M266" s="13" t="s">
        <v>1084</v>
      </c>
      <c r="N266" s="33" t="n">
        <v>46308.7264460648</v>
      </c>
    </row>
    <row r="267" customFormat="false" ht="15" hidden="false" customHeight="false" outlineLevel="0" collapsed="false">
      <c r="A267" s="13" t="s">
        <v>1085</v>
      </c>
      <c r="B267" s="13" t="s">
        <v>57</v>
      </c>
      <c r="C267" s="13" t="s">
        <v>1086</v>
      </c>
      <c r="D267" s="13" t="s">
        <v>166</v>
      </c>
      <c r="E267" s="13" t="s">
        <v>802</v>
      </c>
      <c r="F267" s="13"/>
      <c r="G267" s="13"/>
      <c r="H267" s="31"/>
      <c r="I267" s="33" t="n">
        <v>46104.7125190394</v>
      </c>
      <c r="J267" s="33" t="n">
        <v>45808.8865525463</v>
      </c>
      <c r="K267" s="13" t="s">
        <v>153</v>
      </c>
      <c r="L267" s="13"/>
      <c r="M267" s="13" t="s">
        <v>1087</v>
      </c>
      <c r="N267" s="33" t="n">
        <v>46308.7264460648</v>
      </c>
    </row>
    <row r="268" customFormat="false" ht="15" hidden="false" customHeight="false" outlineLevel="0" collapsed="false">
      <c r="A268" s="13" t="s">
        <v>1088</v>
      </c>
      <c r="B268" s="13" t="s">
        <v>57</v>
      </c>
      <c r="C268" s="13" t="s">
        <v>1089</v>
      </c>
      <c r="D268" s="13" t="s">
        <v>166</v>
      </c>
      <c r="E268" s="13" t="s">
        <v>259</v>
      </c>
      <c r="F268" s="13"/>
      <c r="G268" s="13"/>
      <c r="H268" s="31"/>
      <c r="I268" s="33" t="n">
        <v>46104.7125190394</v>
      </c>
      <c r="J268" s="33" t="n">
        <v>45800.4059868519</v>
      </c>
      <c r="K268" s="13" t="s">
        <v>153</v>
      </c>
      <c r="L268" s="13"/>
      <c r="M268" s="13" t="s">
        <v>1090</v>
      </c>
      <c r="N268" s="33" t="n">
        <v>46308.7264460648</v>
      </c>
    </row>
    <row r="269" customFormat="false" ht="15" hidden="false" customHeight="false" outlineLevel="0" collapsed="false">
      <c r="A269" s="13" t="s">
        <v>1091</v>
      </c>
      <c r="B269" s="13" t="s">
        <v>57</v>
      </c>
      <c r="C269" s="13" t="s">
        <v>1092</v>
      </c>
      <c r="D269" s="13" t="s">
        <v>166</v>
      </c>
      <c r="E269" s="13" t="s">
        <v>802</v>
      </c>
      <c r="F269" s="13"/>
      <c r="G269" s="13"/>
      <c r="H269" s="31"/>
      <c r="I269" s="33" t="n">
        <v>46104.7125190394</v>
      </c>
      <c r="J269" s="33" t="n">
        <v>45803.3688697338</v>
      </c>
      <c r="K269" s="13" t="s">
        <v>153</v>
      </c>
      <c r="L269" s="13"/>
      <c r="M269" s="13" t="s">
        <v>1093</v>
      </c>
      <c r="N269" s="33" t="n">
        <v>46308.7264460648</v>
      </c>
    </row>
    <row r="270" customFormat="false" ht="15" hidden="false" customHeight="false" outlineLevel="0" collapsed="false">
      <c r="A270" s="13" t="s">
        <v>1094</v>
      </c>
      <c r="B270" s="13" t="s">
        <v>57</v>
      </c>
      <c r="C270" s="13" t="s">
        <v>1095</v>
      </c>
      <c r="D270" s="13" t="s">
        <v>166</v>
      </c>
      <c r="E270" s="13" t="s">
        <v>802</v>
      </c>
      <c r="F270" s="13"/>
      <c r="G270" s="13" t="s">
        <v>189</v>
      </c>
      <c r="H270" s="31"/>
      <c r="I270" s="33" t="n">
        <v>46104.7125190394</v>
      </c>
      <c r="J270" s="33" t="n">
        <v>45824.6848190625</v>
      </c>
      <c r="K270" s="13" t="s">
        <v>153</v>
      </c>
      <c r="L270" s="13"/>
      <c r="M270" s="13" t="s">
        <v>1096</v>
      </c>
      <c r="N270" s="33" t="n">
        <v>46308.7264460648</v>
      </c>
    </row>
    <row r="271" customFormat="false" ht="15" hidden="false" customHeight="false" outlineLevel="0" collapsed="false">
      <c r="A271" s="13" t="s">
        <v>1097</v>
      </c>
      <c r="B271" s="13" t="s">
        <v>57</v>
      </c>
      <c r="C271" s="13" t="s">
        <v>1098</v>
      </c>
      <c r="D271" s="13" t="s">
        <v>166</v>
      </c>
      <c r="E271" s="13" t="s">
        <v>95</v>
      </c>
      <c r="F271" s="13"/>
      <c r="G271" s="13"/>
      <c r="H271" s="31"/>
      <c r="I271" s="33" t="n">
        <v>46104.7125190394</v>
      </c>
      <c r="J271" s="33" t="n">
        <v>45982.6088873148</v>
      </c>
      <c r="K271" s="13" t="s">
        <v>153</v>
      </c>
      <c r="L271" s="13"/>
      <c r="M271" s="13" t="s">
        <v>1099</v>
      </c>
      <c r="N271" s="33" t="n">
        <v>46308.7264460648</v>
      </c>
    </row>
    <row r="272" customFormat="false" ht="15" hidden="false" customHeight="false" outlineLevel="0" collapsed="false">
      <c r="A272" s="13" t="s">
        <v>1100</v>
      </c>
      <c r="B272" s="13" t="s">
        <v>57</v>
      </c>
      <c r="C272" s="13" t="s">
        <v>1101</v>
      </c>
      <c r="D272" s="13" t="s">
        <v>166</v>
      </c>
      <c r="E272" s="13" t="s">
        <v>981</v>
      </c>
      <c r="F272" s="13"/>
      <c r="G272" s="13"/>
      <c r="H272" s="31"/>
      <c r="I272" s="33" t="n">
        <v>46104.7124914583</v>
      </c>
      <c r="J272" s="33" t="n">
        <v>45979.5986563079</v>
      </c>
      <c r="K272" s="13" t="s">
        <v>153</v>
      </c>
      <c r="L272" s="13"/>
      <c r="M272" s="13" t="s">
        <v>1102</v>
      </c>
      <c r="N272" s="33" t="n">
        <v>46308.7264460648</v>
      </c>
    </row>
    <row r="273" customFormat="false" ht="15" hidden="false" customHeight="false" outlineLevel="0" collapsed="false">
      <c r="A273" s="13" t="s">
        <v>1103</v>
      </c>
      <c r="B273" s="13" t="s">
        <v>57</v>
      </c>
      <c r="C273" s="13" t="s">
        <v>1104</v>
      </c>
      <c r="D273" s="13" t="s">
        <v>166</v>
      </c>
      <c r="E273" s="13" t="s">
        <v>981</v>
      </c>
      <c r="F273" s="13"/>
      <c r="G273" s="13"/>
      <c r="H273" s="31"/>
      <c r="I273" s="33" t="n">
        <v>46104.7124914583</v>
      </c>
      <c r="J273" s="33" t="n">
        <v>45972.6716211574</v>
      </c>
      <c r="K273" s="13" t="s">
        <v>153</v>
      </c>
      <c r="L273" s="13"/>
      <c r="M273" s="13" t="s">
        <v>1105</v>
      </c>
      <c r="N273" s="33" t="n">
        <v>46308.7264460648</v>
      </c>
    </row>
    <row r="274" customFormat="false" ht="15" hidden="false" customHeight="false" outlineLevel="0" collapsed="false">
      <c r="A274" s="13" t="s">
        <v>1106</v>
      </c>
      <c r="B274" s="13" t="s">
        <v>57</v>
      </c>
      <c r="C274" s="13" t="s">
        <v>1107</v>
      </c>
      <c r="D274" s="13" t="s">
        <v>166</v>
      </c>
      <c r="E274" s="13" t="s">
        <v>928</v>
      </c>
      <c r="F274" s="13" t="s">
        <v>736</v>
      </c>
      <c r="G274" s="13" t="s">
        <v>159</v>
      </c>
      <c r="H274" s="31"/>
      <c r="I274" s="33" t="n">
        <v>46104.7124914583</v>
      </c>
      <c r="J274" s="33" t="n">
        <v>45978.5813641204</v>
      </c>
      <c r="K274" s="13" t="s">
        <v>153</v>
      </c>
      <c r="L274" s="13" t="s">
        <v>117</v>
      </c>
      <c r="M274" s="13" t="s">
        <v>1108</v>
      </c>
      <c r="N274" s="33" t="n">
        <v>46308.7264460648</v>
      </c>
    </row>
    <row r="275" customFormat="false" ht="15" hidden="false" customHeight="false" outlineLevel="0" collapsed="false">
      <c r="A275" s="13" t="s">
        <v>1109</v>
      </c>
      <c r="B275" s="13" t="s">
        <v>57</v>
      </c>
      <c r="C275" s="13" t="s">
        <v>1110</v>
      </c>
      <c r="D275" s="13" t="s">
        <v>166</v>
      </c>
      <c r="E275" s="13" t="s">
        <v>95</v>
      </c>
      <c r="F275" s="13"/>
      <c r="G275" s="13"/>
      <c r="H275" s="31"/>
      <c r="I275" s="33" t="n">
        <v>46104.7079387269</v>
      </c>
      <c r="J275" s="33" t="n">
        <v>46104.7079387269</v>
      </c>
      <c r="K275" s="13" t="s">
        <v>153</v>
      </c>
      <c r="L275" s="13"/>
      <c r="M275" s="13" t="s">
        <v>1111</v>
      </c>
      <c r="N275" s="33" t="n">
        <v>46308.7264460648</v>
      </c>
    </row>
    <row r="276" customFormat="false" ht="15" hidden="false" customHeight="false" outlineLevel="0" collapsed="false">
      <c r="A276" s="13" t="s">
        <v>1112</v>
      </c>
      <c r="B276" s="13" t="s">
        <v>57</v>
      </c>
      <c r="C276" s="13" t="s">
        <v>1113</v>
      </c>
      <c r="D276" s="13" t="s">
        <v>166</v>
      </c>
      <c r="E276" s="13" t="s">
        <v>237</v>
      </c>
      <c r="F276" s="13"/>
      <c r="G276" s="13"/>
      <c r="H276" s="31"/>
      <c r="I276" s="33" t="n">
        <v>46104.6590297801</v>
      </c>
      <c r="J276" s="33" t="n">
        <v>46104.6590297801</v>
      </c>
      <c r="K276" s="13" t="s">
        <v>153</v>
      </c>
      <c r="L276" s="13"/>
      <c r="M276" s="13" t="s">
        <v>1114</v>
      </c>
      <c r="N276" s="33" t="n">
        <v>46308.7264460648</v>
      </c>
    </row>
    <row r="277" customFormat="false" ht="15" hidden="false" customHeight="false" outlineLevel="0" collapsed="false">
      <c r="A277" s="13" t="s">
        <v>1115</v>
      </c>
      <c r="B277" s="13" t="s">
        <v>57</v>
      </c>
      <c r="C277" s="13" t="s">
        <v>1116</v>
      </c>
      <c r="D277" s="13" t="s">
        <v>166</v>
      </c>
      <c r="E277" s="13" t="s">
        <v>901</v>
      </c>
      <c r="F277" s="13"/>
      <c r="G277" s="13"/>
      <c r="H277" s="31"/>
      <c r="I277" s="33" t="n">
        <v>46104.3855679514</v>
      </c>
      <c r="J277" s="33" t="n">
        <v>46104.3855679514</v>
      </c>
      <c r="K277" s="13" t="s">
        <v>153</v>
      </c>
      <c r="L277" s="13"/>
      <c r="M277" s="13" t="s">
        <v>1117</v>
      </c>
      <c r="N277" s="33" t="n">
        <v>46308.7264460648</v>
      </c>
    </row>
    <row r="278" customFormat="false" ht="15" hidden="false" customHeight="false" outlineLevel="0" collapsed="false">
      <c r="A278" s="13" t="s">
        <v>1118</v>
      </c>
      <c r="B278" s="13" t="s">
        <v>57</v>
      </c>
      <c r="C278" s="13" t="s">
        <v>1119</v>
      </c>
      <c r="D278" s="13" t="s">
        <v>166</v>
      </c>
      <c r="E278" s="13"/>
      <c r="F278" s="13"/>
      <c r="G278" s="13"/>
      <c r="H278" s="31"/>
      <c r="I278" s="33" t="n">
        <v>46104.3598205208</v>
      </c>
      <c r="J278" s="33" t="n">
        <v>46104.3598205208</v>
      </c>
      <c r="K278" s="13" t="s">
        <v>153</v>
      </c>
      <c r="L278" s="13"/>
      <c r="M278" s="13" t="s">
        <v>1120</v>
      </c>
      <c r="N278" s="33" t="n">
        <v>46308.7264460648</v>
      </c>
    </row>
    <row r="279" customFormat="false" ht="15" hidden="false" customHeight="false" outlineLevel="0" collapsed="false">
      <c r="A279" s="13" t="s">
        <v>1121</v>
      </c>
      <c r="B279" s="13" t="s">
        <v>57</v>
      </c>
      <c r="C279" s="13" t="s">
        <v>578</v>
      </c>
      <c r="D279" s="13" t="s">
        <v>166</v>
      </c>
      <c r="E279" s="13" t="s">
        <v>1122</v>
      </c>
      <c r="F279" s="13"/>
      <c r="G279" s="13"/>
      <c r="H279" s="31"/>
      <c r="I279" s="33" t="n">
        <v>46101.6011904977</v>
      </c>
      <c r="J279" s="33" t="n">
        <v>46101.6011904977</v>
      </c>
      <c r="K279" s="13" t="s">
        <v>153</v>
      </c>
      <c r="L279" s="13"/>
      <c r="M279" s="13" t="s">
        <v>1123</v>
      </c>
      <c r="N279" s="33" t="n">
        <v>46308.7264460648</v>
      </c>
    </row>
    <row r="280" customFormat="false" ht="15" hidden="false" customHeight="false" outlineLevel="0" collapsed="false">
      <c r="A280" s="13" t="s">
        <v>1124</v>
      </c>
      <c r="B280" s="13" t="s">
        <v>57</v>
      </c>
      <c r="C280" s="13" t="s">
        <v>1125</v>
      </c>
      <c r="D280" s="13" t="s">
        <v>166</v>
      </c>
      <c r="E280" s="13" t="s">
        <v>675</v>
      </c>
      <c r="F280" s="13"/>
      <c r="G280" s="13" t="s">
        <v>189</v>
      </c>
      <c r="H280" s="31"/>
      <c r="I280" s="33" t="n">
        <v>46101.4862909144</v>
      </c>
      <c r="J280" s="33" t="n">
        <v>46101.4862909144</v>
      </c>
      <c r="K280" s="13" t="s">
        <v>153</v>
      </c>
      <c r="L280" s="13"/>
      <c r="M280" s="13" t="s">
        <v>1126</v>
      </c>
      <c r="N280" s="33" t="n">
        <v>46308.7264460648</v>
      </c>
    </row>
    <row r="281" customFormat="false" ht="15" hidden="false" customHeight="false" outlineLevel="0" collapsed="false">
      <c r="A281" s="13" t="s">
        <v>1127</v>
      </c>
      <c r="B281" s="13" t="s">
        <v>57</v>
      </c>
      <c r="C281" s="13" t="s">
        <v>1128</v>
      </c>
      <c r="D281" s="13" t="s">
        <v>166</v>
      </c>
      <c r="E281" s="13" t="s">
        <v>1129</v>
      </c>
      <c r="F281" s="13"/>
      <c r="G281" s="13" t="s">
        <v>189</v>
      </c>
      <c r="H281" s="31"/>
      <c r="I281" s="33" t="n">
        <v>46101.4425190741</v>
      </c>
      <c r="J281" s="33" t="n">
        <v>46101.4425190741</v>
      </c>
      <c r="K281" s="13" t="s">
        <v>153</v>
      </c>
      <c r="L281" s="13"/>
      <c r="M281" s="13" t="s">
        <v>1130</v>
      </c>
      <c r="N281" s="33" t="n">
        <v>46308.7264460648</v>
      </c>
    </row>
    <row r="282" customFormat="false" ht="15" hidden="false" customHeight="false" outlineLevel="0" collapsed="false">
      <c r="A282" s="13" t="s">
        <v>1131</v>
      </c>
      <c r="B282" s="13" t="s">
        <v>57</v>
      </c>
      <c r="C282" s="13" t="s">
        <v>1132</v>
      </c>
      <c r="D282" s="13" t="s">
        <v>166</v>
      </c>
      <c r="E282" s="13" t="s">
        <v>1133</v>
      </c>
      <c r="F282" s="13"/>
      <c r="G282" s="13"/>
      <c r="H282" s="31"/>
      <c r="I282" s="33" t="n">
        <v>46100.601461412</v>
      </c>
      <c r="J282" s="33" t="n">
        <v>46080.6591207523</v>
      </c>
      <c r="K282" s="13" t="s">
        <v>153</v>
      </c>
      <c r="L282" s="13"/>
      <c r="M282" s="13" t="s">
        <v>1134</v>
      </c>
      <c r="N282" s="33" t="n">
        <v>46308.7264460648</v>
      </c>
    </row>
    <row r="283" customFormat="false" ht="15" hidden="false" customHeight="false" outlineLevel="0" collapsed="false">
      <c r="A283" s="13" t="s">
        <v>1135</v>
      </c>
      <c r="B283" s="13" t="s">
        <v>57</v>
      </c>
      <c r="C283" s="13" t="s">
        <v>1136</v>
      </c>
      <c r="D283" s="13" t="s">
        <v>166</v>
      </c>
      <c r="E283" s="13" t="s">
        <v>1044</v>
      </c>
      <c r="F283" s="13"/>
      <c r="G283" s="13" t="s">
        <v>189</v>
      </c>
      <c r="H283" s="31"/>
      <c r="I283" s="33" t="n">
        <v>46097.7340907639</v>
      </c>
      <c r="J283" s="33" t="n">
        <v>46097.7340907639</v>
      </c>
      <c r="K283" s="13" t="s">
        <v>153</v>
      </c>
      <c r="L283" s="13"/>
      <c r="M283" s="13" t="s">
        <v>1137</v>
      </c>
      <c r="N283" s="33" t="n">
        <v>46308.7264460648</v>
      </c>
    </row>
    <row r="284" customFormat="false" ht="15" hidden="false" customHeight="false" outlineLevel="0" collapsed="false">
      <c r="A284" s="13" t="s">
        <v>1138</v>
      </c>
      <c r="B284" s="13" t="s">
        <v>57</v>
      </c>
      <c r="C284" s="13" t="s">
        <v>1139</v>
      </c>
      <c r="D284" s="13" t="s">
        <v>166</v>
      </c>
      <c r="E284" s="13" t="s">
        <v>1140</v>
      </c>
      <c r="F284" s="13"/>
      <c r="G284" s="13"/>
      <c r="H284" s="31"/>
      <c r="I284" s="33" t="n">
        <v>46097.7278004745</v>
      </c>
      <c r="J284" s="33" t="n">
        <v>46097.69083625</v>
      </c>
      <c r="K284" s="13" t="s">
        <v>153</v>
      </c>
      <c r="L284" s="13"/>
      <c r="M284" s="13" t="s">
        <v>1141</v>
      </c>
      <c r="N284" s="33" t="n">
        <v>46308.7264460648</v>
      </c>
    </row>
    <row r="285" customFormat="false" ht="15" hidden="false" customHeight="false" outlineLevel="0" collapsed="false">
      <c r="A285" s="13" t="s">
        <v>1142</v>
      </c>
      <c r="B285" s="13" t="s">
        <v>57</v>
      </c>
      <c r="C285" s="13" t="s">
        <v>1143</v>
      </c>
      <c r="D285" s="13" t="s">
        <v>166</v>
      </c>
      <c r="E285" s="13" t="s">
        <v>620</v>
      </c>
      <c r="F285" s="13"/>
      <c r="G285" s="13" t="s">
        <v>189</v>
      </c>
      <c r="H285" s="31"/>
      <c r="I285" s="33" t="n">
        <v>46094.3782745949</v>
      </c>
      <c r="J285" s="33" t="n">
        <v>46094.3782745949</v>
      </c>
      <c r="K285" s="13" t="s">
        <v>153</v>
      </c>
      <c r="L285" s="13"/>
      <c r="M285" s="13" t="s">
        <v>1144</v>
      </c>
      <c r="N285" s="33" t="n">
        <v>46308.7264460648</v>
      </c>
    </row>
    <row r="286" customFormat="false" ht="15" hidden="false" customHeight="false" outlineLevel="0" collapsed="false">
      <c r="A286" s="13" t="s">
        <v>1145</v>
      </c>
      <c r="B286" s="13" t="s">
        <v>57</v>
      </c>
      <c r="C286" s="13" t="s">
        <v>1146</v>
      </c>
      <c r="D286" s="13" t="s">
        <v>166</v>
      </c>
      <c r="E286" s="13" t="s">
        <v>620</v>
      </c>
      <c r="F286" s="13"/>
      <c r="G286" s="13"/>
      <c r="H286" s="31"/>
      <c r="I286" s="33" t="n">
        <v>46093.6372359028</v>
      </c>
      <c r="J286" s="33" t="n">
        <v>46093.6372359028</v>
      </c>
      <c r="K286" s="13" t="s">
        <v>153</v>
      </c>
      <c r="L286" s="13"/>
      <c r="M286" s="13" t="s">
        <v>1147</v>
      </c>
      <c r="N286" s="33" t="n">
        <v>46308.7264460648</v>
      </c>
    </row>
    <row r="287" customFormat="false" ht="15" hidden="false" customHeight="false" outlineLevel="0" collapsed="false">
      <c r="A287" s="13" t="s">
        <v>1148</v>
      </c>
      <c r="B287" s="13" t="s">
        <v>57</v>
      </c>
      <c r="C287" s="13" t="s">
        <v>1149</v>
      </c>
      <c r="D287" s="13" t="s">
        <v>166</v>
      </c>
      <c r="E287" s="13" t="s">
        <v>348</v>
      </c>
      <c r="F287" s="13"/>
      <c r="G287" s="13"/>
      <c r="H287" s="31"/>
      <c r="I287" s="33" t="n">
        <v>46091.3789776852</v>
      </c>
      <c r="J287" s="33" t="n">
        <v>46091.3789776852</v>
      </c>
      <c r="K287" s="13" t="s">
        <v>153</v>
      </c>
      <c r="L287" s="13"/>
      <c r="M287" s="13" t="s">
        <v>1150</v>
      </c>
      <c r="N287" s="33" t="n">
        <v>46308.7264460648</v>
      </c>
    </row>
    <row r="288" customFormat="false" ht="15" hidden="false" customHeight="false" outlineLevel="0" collapsed="false">
      <c r="A288" s="13" t="s">
        <v>1151</v>
      </c>
      <c r="B288" s="13" t="s">
        <v>57</v>
      </c>
      <c r="C288" s="13" t="s">
        <v>1152</v>
      </c>
      <c r="D288" s="13" t="s">
        <v>166</v>
      </c>
      <c r="E288" s="13" t="s">
        <v>348</v>
      </c>
      <c r="F288" s="13"/>
      <c r="G288" s="13"/>
      <c r="H288" s="31"/>
      <c r="I288" s="33" t="n">
        <v>46085.3642107755</v>
      </c>
      <c r="J288" s="33" t="n">
        <v>46085.3642107755</v>
      </c>
      <c r="K288" s="13" t="s">
        <v>153</v>
      </c>
      <c r="L288" s="13"/>
      <c r="M288" s="13" t="s">
        <v>1153</v>
      </c>
      <c r="N288" s="33" t="n">
        <v>46308.7264460648</v>
      </c>
    </row>
    <row r="289" customFormat="false" ht="15" hidden="false" customHeight="false" outlineLevel="0" collapsed="false">
      <c r="A289" s="13" t="s">
        <v>1154</v>
      </c>
      <c r="B289" s="13" t="s">
        <v>57</v>
      </c>
      <c r="C289" s="13" t="s">
        <v>1155</v>
      </c>
      <c r="D289" s="13" t="s">
        <v>166</v>
      </c>
      <c r="E289" s="13" t="s">
        <v>1156</v>
      </c>
      <c r="F289" s="13"/>
      <c r="G289" s="13"/>
      <c r="H289" s="31"/>
      <c r="I289" s="33" t="n">
        <v>46080.6635962847</v>
      </c>
      <c r="J289" s="33" t="n">
        <v>46080.6635962847</v>
      </c>
      <c r="K289" s="13" t="s">
        <v>153</v>
      </c>
      <c r="L289" s="13"/>
      <c r="M289" s="13" t="s">
        <v>1157</v>
      </c>
      <c r="N289" s="33" t="n">
        <v>46308.7264460648</v>
      </c>
    </row>
    <row r="290" customFormat="false" ht="15" hidden="false" customHeight="false" outlineLevel="0" collapsed="false">
      <c r="A290" s="13" t="s">
        <v>1158</v>
      </c>
      <c r="B290" s="13" t="s">
        <v>57</v>
      </c>
      <c r="C290" s="13" t="s">
        <v>1159</v>
      </c>
      <c r="D290" s="13" t="s">
        <v>166</v>
      </c>
      <c r="E290" s="13" t="s">
        <v>1160</v>
      </c>
      <c r="F290" s="13"/>
      <c r="G290" s="13"/>
      <c r="H290" s="31"/>
      <c r="I290" s="33" t="n">
        <v>46080.6605063773</v>
      </c>
      <c r="J290" s="33" t="n">
        <v>46080.6605063773</v>
      </c>
      <c r="K290" s="13" t="s">
        <v>153</v>
      </c>
      <c r="L290" s="13"/>
      <c r="M290" s="13" t="s">
        <v>1161</v>
      </c>
      <c r="N290" s="33" t="n">
        <v>46308.7264460648</v>
      </c>
    </row>
    <row r="291" customFormat="false" ht="15" hidden="false" customHeight="false" outlineLevel="0" collapsed="false">
      <c r="A291" s="13" t="s">
        <v>1162</v>
      </c>
      <c r="B291" s="13" t="s">
        <v>57</v>
      </c>
      <c r="C291" s="13" t="s">
        <v>1163</v>
      </c>
      <c r="D291" s="13" t="s">
        <v>166</v>
      </c>
      <c r="E291" s="13" t="s">
        <v>1164</v>
      </c>
      <c r="F291" s="13"/>
      <c r="G291" s="13"/>
      <c r="H291" s="31"/>
      <c r="I291" s="33" t="n">
        <v>46080.3866405903</v>
      </c>
      <c r="J291" s="33" t="n">
        <v>46080.3866405903</v>
      </c>
      <c r="K291" s="13" t="s">
        <v>153</v>
      </c>
      <c r="L291" s="13"/>
      <c r="M291" s="13" t="s">
        <v>1165</v>
      </c>
      <c r="N291" s="33" t="n">
        <v>46308.7264460648</v>
      </c>
    </row>
    <row r="292" customFormat="false" ht="15" hidden="false" customHeight="false" outlineLevel="0" collapsed="false">
      <c r="A292" s="13" t="s">
        <v>1166</v>
      </c>
      <c r="B292" s="13" t="s">
        <v>57</v>
      </c>
      <c r="C292" s="13" t="s">
        <v>1167</v>
      </c>
      <c r="D292" s="13" t="s">
        <v>166</v>
      </c>
      <c r="E292" s="13" t="s">
        <v>1168</v>
      </c>
      <c r="F292" s="13"/>
      <c r="G292" s="13"/>
      <c r="H292" s="31"/>
      <c r="I292" s="33" t="n">
        <v>46080.3828854514</v>
      </c>
      <c r="J292" s="33" t="n">
        <v>46080.3828854514</v>
      </c>
      <c r="K292" s="13" t="s">
        <v>153</v>
      </c>
      <c r="L292" s="13"/>
      <c r="M292" s="13" t="s">
        <v>1169</v>
      </c>
      <c r="N292" s="33" t="n">
        <v>46308.7264460648</v>
      </c>
    </row>
    <row r="293" customFormat="false" ht="15" hidden="false" customHeight="false" outlineLevel="0" collapsed="false">
      <c r="A293" s="13" t="s">
        <v>1170</v>
      </c>
      <c r="B293" s="13" t="s">
        <v>57</v>
      </c>
      <c r="C293" s="13" t="s">
        <v>1171</v>
      </c>
      <c r="D293" s="13" t="s">
        <v>166</v>
      </c>
      <c r="E293" s="13" t="s">
        <v>620</v>
      </c>
      <c r="F293" s="13"/>
      <c r="G293" s="13" t="s">
        <v>189</v>
      </c>
      <c r="H293" s="31"/>
      <c r="I293" s="33" t="n">
        <v>46079.6509665162</v>
      </c>
      <c r="J293" s="33" t="n">
        <v>46079.6509665162</v>
      </c>
      <c r="K293" s="13" t="s">
        <v>153</v>
      </c>
      <c r="L293" s="13"/>
      <c r="M293" s="13" t="s">
        <v>1172</v>
      </c>
      <c r="N293" s="33" t="n">
        <v>46308.7264460648</v>
      </c>
    </row>
    <row r="294" customFormat="false" ht="15" hidden="false" customHeight="false" outlineLevel="0" collapsed="false">
      <c r="A294" s="13" t="s">
        <v>1173</v>
      </c>
      <c r="B294" s="13" t="s">
        <v>57</v>
      </c>
      <c r="C294" s="13" t="s">
        <v>1174</v>
      </c>
      <c r="D294" s="13" t="s">
        <v>166</v>
      </c>
      <c r="E294" s="13" t="s">
        <v>1175</v>
      </c>
      <c r="F294" s="13"/>
      <c r="G294" s="13"/>
      <c r="H294" s="31"/>
      <c r="I294" s="33" t="n">
        <v>46073.5085305208</v>
      </c>
      <c r="J294" s="33" t="n">
        <v>46073.5085305208</v>
      </c>
      <c r="K294" s="13" t="s">
        <v>153</v>
      </c>
      <c r="L294" s="13"/>
      <c r="M294" s="13" t="s">
        <v>1176</v>
      </c>
      <c r="N294" s="33" t="n">
        <v>46308.7264460648</v>
      </c>
    </row>
    <row r="295" customFormat="false" ht="15" hidden="false" customHeight="false" outlineLevel="0" collapsed="false">
      <c r="A295" s="13" t="s">
        <v>1177</v>
      </c>
      <c r="B295" s="13" t="s">
        <v>57</v>
      </c>
      <c r="C295" s="13" t="s">
        <v>1178</v>
      </c>
      <c r="D295" s="13" t="s">
        <v>166</v>
      </c>
      <c r="E295" s="13" t="s">
        <v>1179</v>
      </c>
      <c r="F295" s="13"/>
      <c r="G295" s="13"/>
      <c r="H295" s="31"/>
      <c r="I295" s="33" t="n">
        <v>46057.424233044</v>
      </c>
      <c r="J295" s="33" t="n">
        <v>46057.424233044</v>
      </c>
      <c r="K295" s="13" t="s">
        <v>153</v>
      </c>
      <c r="L295" s="13"/>
      <c r="M295" s="13" t="s">
        <v>1180</v>
      </c>
      <c r="N295" s="33" t="n">
        <v>46308.7264460648</v>
      </c>
    </row>
    <row r="296" customFormat="false" ht="15" hidden="false" customHeight="false" outlineLevel="0" collapsed="false">
      <c r="A296" s="13" t="s">
        <v>1181</v>
      </c>
      <c r="B296" s="13" t="s">
        <v>57</v>
      </c>
      <c r="C296" s="13" t="s">
        <v>1182</v>
      </c>
      <c r="D296" s="13" t="s">
        <v>166</v>
      </c>
      <c r="E296" s="13" t="s">
        <v>1183</v>
      </c>
      <c r="F296" s="13"/>
      <c r="G296" s="13"/>
      <c r="H296" s="31"/>
      <c r="I296" s="33" t="n">
        <v>46057.4074733912</v>
      </c>
      <c r="J296" s="33" t="n">
        <v>46057.4074733912</v>
      </c>
      <c r="K296" s="13" t="s">
        <v>153</v>
      </c>
      <c r="L296" s="13"/>
      <c r="M296" s="13" t="s">
        <v>1184</v>
      </c>
      <c r="N296" s="33" t="n">
        <v>46308.7264460648</v>
      </c>
    </row>
    <row r="297" customFormat="false" ht="15" hidden="false" customHeight="false" outlineLevel="0" collapsed="false">
      <c r="A297" s="13" t="s">
        <v>1185</v>
      </c>
      <c r="B297" s="13" t="s">
        <v>57</v>
      </c>
      <c r="C297" s="13" t="s">
        <v>1186</v>
      </c>
      <c r="D297" s="13" t="s">
        <v>166</v>
      </c>
      <c r="E297" s="13" t="s">
        <v>1187</v>
      </c>
      <c r="F297" s="13"/>
      <c r="G297" s="13" t="s">
        <v>189</v>
      </c>
      <c r="H297" s="31" t="n">
        <v>46044</v>
      </c>
      <c r="I297" s="33" t="n">
        <v>46057.4056329398</v>
      </c>
      <c r="J297" s="33" t="n">
        <v>46057.4056329398</v>
      </c>
      <c r="K297" s="13" t="s">
        <v>153</v>
      </c>
      <c r="L297" s="13"/>
      <c r="M297" s="13" t="s">
        <v>1188</v>
      </c>
      <c r="N297" s="33" t="n">
        <v>46308.7264460648</v>
      </c>
    </row>
    <row r="298" customFormat="false" ht="15" hidden="false" customHeight="false" outlineLevel="0" collapsed="false">
      <c r="A298" s="13" t="s">
        <v>1189</v>
      </c>
      <c r="B298" s="13" t="s">
        <v>57</v>
      </c>
      <c r="C298" s="13" t="s">
        <v>1190</v>
      </c>
      <c r="D298" s="13" t="s">
        <v>166</v>
      </c>
      <c r="E298" s="13" t="s">
        <v>95</v>
      </c>
      <c r="F298" s="13"/>
      <c r="G298" s="13"/>
      <c r="H298" s="31"/>
      <c r="I298" s="33" t="n">
        <v>46050.3905591898</v>
      </c>
      <c r="J298" s="33" t="n">
        <v>46050.3905591898</v>
      </c>
      <c r="K298" s="13" t="s">
        <v>153</v>
      </c>
      <c r="L298" s="13"/>
      <c r="M298" s="13" t="s">
        <v>1191</v>
      </c>
      <c r="N298" s="33" t="n">
        <v>46308.7264460648</v>
      </c>
    </row>
    <row r="299" customFormat="false" ht="15" hidden="false" customHeight="false" outlineLevel="0" collapsed="false">
      <c r="A299" s="13" t="s">
        <v>1192</v>
      </c>
      <c r="B299" s="13" t="s">
        <v>57</v>
      </c>
      <c r="C299" s="13" t="s">
        <v>1193</v>
      </c>
      <c r="D299" s="13" t="s">
        <v>166</v>
      </c>
      <c r="E299" s="13" t="s">
        <v>981</v>
      </c>
      <c r="F299" s="13"/>
      <c r="G299" s="13"/>
      <c r="H299" s="31"/>
      <c r="I299" s="33" t="n">
        <v>46048.657810625</v>
      </c>
      <c r="J299" s="33" t="n">
        <v>46048.657810625</v>
      </c>
      <c r="K299" s="13" t="s">
        <v>153</v>
      </c>
      <c r="L299" s="13"/>
      <c r="M299" s="13" t="s">
        <v>1194</v>
      </c>
      <c r="N299" s="33" t="n">
        <v>46308.7264460648</v>
      </c>
    </row>
    <row r="300" customFormat="false" ht="15" hidden="false" customHeight="false" outlineLevel="0" collapsed="false">
      <c r="A300" s="13" t="s">
        <v>1195</v>
      </c>
      <c r="B300" s="13" t="s">
        <v>57</v>
      </c>
      <c r="C300" s="13" t="s">
        <v>1196</v>
      </c>
      <c r="D300" s="13" t="s">
        <v>166</v>
      </c>
      <c r="E300" s="13" t="s">
        <v>1197</v>
      </c>
      <c r="F300" s="13"/>
      <c r="G300" s="13"/>
      <c r="H300" s="31"/>
      <c r="I300" s="33" t="n">
        <v>46027.4404555671</v>
      </c>
      <c r="J300" s="33" t="n">
        <v>46021.439790081</v>
      </c>
      <c r="K300" s="13" t="s">
        <v>153</v>
      </c>
      <c r="L300" s="13"/>
      <c r="M300" s="13" t="s">
        <v>1198</v>
      </c>
      <c r="N300" s="33" t="n">
        <v>46308.7264460648</v>
      </c>
    </row>
    <row r="301" customFormat="false" ht="15" hidden="false" customHeight="false" outlineLevel="0" collapsed="false">
      <c r="A301" s="13" t="s">
        <v>1199</v>
      </c>
      <c r="B301" s="13" t="s">
        <v>57</v>
      </c>
      <c r="C301" s="13" t="s">
        <v>1200</v>
      </c>
      <c r="D301" s="13" t="s">
        <v>166</v>
      </c>
      <c r="E301" s="13" t="s">
        <v>1201</v>
      </c>
      <c r="F301" s="13" t="s">
        <v>60</v>
      </c>
      <c r="G301" s="13"/>
      <c r="H301" s="31"/>
      <c r="I301" s="33" t="n">
        <v>46021.4409986227</v>
      </c>
      <c r="J301" s="33" t="n">
        <v>46021.4409986227</v>
      </c>
      <c r="K301" s="13" t="s">
        <v>153</v>
      </c>
      <c r="L301" s="13" t="s">
        <v>280</v>
      </c>
      <c r="M301" s="13" t="s">
        <v>1202</v>
      </c>
      <c r="N301" s="33" t="n">
        <v>46308.7264460648</v>
      </c>
    </row>
    <row r="302" customFormat="false" ht="15" hidden="false" customHeight="false" outlineLevel="0" collapsed="false">
      <c r="A302" s="13" t="s">
        <v>1203</v>
      </c>
      <c r="B302" s="13" t="s">
        <v>57</v>
      </c>
      <c r="C302" s="13" t="s">
        <v>1204</v>
      </c>
      <c r="D302" s="13" t="s">
        <v>166</v>
      </c>
      <c r="E302" s="13" t="s">
        <v>1179</v>
      </c>
      <c r="F302" s="13"/>
      <c r="G302" s="13"/>
      <c r="H302" s="31"/>
      <c r="I302" s="33" t="n">
        <v>46020.4941591435</v>
      </c>
      <c r="J302" s="33" t="n">
        <v>46020.4941591435</v>
      </c>
      <c r="K302" s="13" t="s">
        <v>153</v>
      </c>
      <c r="L302" s="13"/>
      <c r="M302" s="13" t="s">
        <v>1205</v>
      </c>
      <c r="N302" s="33" t="n">
        <v>46308.7264460648</v>
      </c>
    </row>
    <row r="303" customFormat="false" ht="15" hidden="false" customHeight="false" outlineLevel="0" collapsed="false">
      <c r="A303" s="13" t="s">
        <v>1206</v>
      </c>
      <c r="B303" s="13" t="s">
        <v>57</v>
      </c>
      <c r="C303" s="13" t="s">
        <v>1207</v>
      </c>
      <c r="D303" s="13" t="s">
        <v>166</v>
      </c>
      <c r="E303" s="13" t="s">
        <v>1208</v>
      </c>
      <c r="F303" s="13"/>
      <c r="G303" s="13"/>
      <c r="H303" s="31"/>
      <c r="I303" s="33" t="n">
        <v>46020.3647002083</v>
      </c>
      <c r="J303" s="33" t="n">
        <v>46020.3647002083</v>
      </c>
      <c r="K303" s="13" t="s">
        <v>153</v>
      </c>
      <c r="L303" s="13"/>
      <c r="M303" s="13" t="s">
        <v>1209</v>
      </c>
      <c r="N303" s="33" t="n">
        <v>46308.7264460648</v>
      </c>
    </row>
    <row r="304" customFormat="false" ht="15" hidden="false" customHeight="false" outlineLevel="0" collapsed="false">
      <c r="A304" s="13" t="s">
        <v>1210</v>
      </c>
      <c r="B304" s="13" t="s">
        <v>57</v>
      </c>
      <c r="C304" s="13" t="s">
        <v>1211</v>
      </c>
      <c r="D304" s="13" t="s">
        <v>166</v>
      </c>
      <c r="E304" s="13" t="s">
        <v>981</v>
      </c>
      <c r="F304" s="13"/>
      <c r="G304" s="13"/>
      <c r="H304" s="31"/>
      <c r="I304" s="33" t="n">
        <v>46014.3925614583</v>
      </c>
      <c r="J304" s="33" t="n">
        <v>46014.3925614583</v>
      </c>
      <c r="K304" s="13" t="s">
        <v>153</v>
      </c>
      <c r="L304" s="13"/>
      <c r="M304" s="13" t="s">
        <v>1212</v>
      </c>
      <c r="N304" s="33" t="n">
        <v>46308.7264460648</v>
      </c>
    </row>
    <row r="305" customFormat="false" ht="15" hidden="false" customHeight="false" outlineLevel="0" collapsed="false">
      <c r="A305" s="13" t="s">
        <v>1213</v>
      </c>
      <c r="B305" s="13" t="s">
        <v>57</v>
      </c>
      <c r="C305" s="13" t="s">
        <v>1214</v>
      </c>
      <c r="D305" s="13" t="s">
        <v>166</v>
      </c>
      <c r="E305" s="13" t="s">
        <v>1044</v>
      </c>
      <c r="F305" s="13"/>
      <c r="G305" s="13"/>
      <c r="H305" s="31"/>
      <c r="I305" s="33" t="n">
        <v>46014.3719907176</v>
      </c>
      <c r="J305" s="33" t="n">
        <v>46014.3719907176</v>
      </c>
      <c r="K305" s="13" t="s">
        <v>153</v>
      </c>
      <c r="L305" s="13"/>
      <c r="M305" s="13" t="s">
        <v>1215</v>
      </c>
      <c r="N305" s="33" t="n">
        <v>46308.7264460648</v>
      </c>
    </row>
    <row r="306" customFormat="false" ht="15" hidden="false" customHeight="false" outlineLevel="0" collapsed="false">
      <c r="A306" s="13" t="s">
        <v>1216</v>
      </c>
      <c r="B306" s="13" t="s">
        <v>57</v>
      </c>
      <c r="C306" s="13" t="s">
        <v>1217</v>
      </c>
      <c r="D306" s="13" t="s">
        <v>166</v>
      </c>
      <c r="E306" s="13" t="s">
        <v>95</v>
      </c>
      <c r="F306" s="13" t="s">
        <v>59</v>
      </c>
      <c r="G306" s="13"/>
      <c r="H306" s="31"/>
      <c r="I306" s="33" t="n">
        <v>46013.4718915857</v>
      </c>
      <c r="J306" s="33" t="n">
        <v>46013.4718915857</v>
      </c>
      <c r="K306" s="13" t="s">
        <v>153</v>
      </c>
      <c r="L306" s="13" t="s">
        <v>117</v>
      </c>
      <c r="M306" s="13" t="s">
        <v>1218</v>
      </c>
      <c r="N306" s="33" t="n">
        <v>46308.7264460648</v>
      </c>
    </row>
    <row r="307" customFormat="false" ht="15" hidden="false" customHeight="false" outlineLevel="0" collapsed="false">
      <c r="A307" s="13" t="s">
        <v>1219</v>
      </c>
      <c r="B307" s="13" t="s">
        <v>57</v>
      </c>
      <c r="C307" s="13" t="s">
        <v>1220</v>
      </c>
      <c r="D307" s="13" t="s">
        <v>166</v>
      </c>
      <c r="E307" s="13" t="s">
        <v>1221</v>
      </c>
      <c r="F307" s="13"/>
      <c r="G307" s="13"/>
      <c r="H307" s="31"/>
      <c r="I307" s="33" t="n">
        <v>46009.3536040162</v>
      </c>
      <c r="J307" s="33" t="n">
        <v>46009.3536040162</v>
      </c>
      <c r="K307" s="13" t="s">
        <v>153</v>
      </c>
      <c r="L307" s="13"/>
      <c r="M307" s="13" t="s">
        <v>1222</v>
      </c>
      <c r="N307" s="33" t="n">
        <v>46308.7264460648</v>
      </c>
    </row>
    <row r="308" customFormat="false" ht="15" hidden="false" customHeight="false" outlineLevel="0" collapsed="false">
      <c r="A308" s="13" t="s">
        <v>1223</v>
      </c>
      <c r="B308" s="13" t="s">
        <v>57</v>
      </c>
      <c r="C308" s="13" t="s">
        <v>1224</v>
      </c>
      <c r="D308" s="13" t="s">
        <v>166</v>
      </c>
      <c r="E308" s="13" t="s">
        <v>1061</v>
      </c>
      <c r="F308" s="13"/>
      <c r="G308" s="13"/>
      <c r="H308" s="31"/>
      <c r="I308" s="33" t="n">
        <v>46002.4001404051</v>
      </c>
      <c r="J308" s="33" t="n">
        <v>46002.4001404051</v>
      </c>
      <c r="K308" s="13" t="s">
        <v>153</v>
      </c>
      <c r="L308" s="13"/>
      <c r="M308" s="13" t="s">
        <v>1225</v>
      </c>
      <c r="N308" s="33" t="n">
        <v>46308.7264460648</v>
      </c>
    </row>
    <row r="309" customFormat="false" ht="15" hidden="false" customHeight="false" outlineLevel="0" collapsed="false">
      <c r="A309" s="13" t="s">
        <v>1226</v>
      </c>
      <c r="B309" s="13" t="s">
        <v>57</v>
      </c>
      <c r="C309" s="13" t="s">
        <v>1227</v>
      </c>
      <c r="D309" s="13" t="s">
        <v>166</v>
      </c>
      <c r="E309" s="13" t="s">
        <v>1228</v>
      </c>
      <c r="F309" s="13"/>
      <c r="G309" s="13"/>
      <c r="H309" s="31"/>
      <c r="I309" s="33" t="n">
        <v>46002.3981571644</v>
      </c>
      <c r="J309" s="33" t="n">
        <v>46002.3981571644</v>
      </c>
      <c r="K309" s="13" t="s">
        <v>153</v>
      </c>
      <c r="L309" s="13"/>
      <c r="M309" s="13" t="s">
        <v>1229</v>
      </c>
      <c r="N309" s="33" t="n">
        <v>46308.7264460648</v>
      </c>
    </row>
    <row r="310" customFormat="false" ht="15" hidden="false" customHeight="false" outlineLevel="0" collapsed="false">
      <c r="A310" s="13" t="s">
        <v>1230</v>
      </c>
      <c r="B310" s="13" t="s">
        <v>57</v>
      </c>
      <c r="C310" s="13" t="s">
        <v>1231</v>
      </c>
      <c r="D310" s="13" t="s">
        <v>166</v>
      </c>
      <c r="E310" s="13" t="s">
        <v>95</v>
      </c>
      <c r="F310" s="13"/>
      <c r="G310" s="13"/>
      <c r="H310" s="31"/>
      <c r="I310" s="33" t="n">
        <v>45996.4340171759</v>
      </c>
      <c r="J310" s="33" t="n">
        <v>45996.4340171759</v>
      </c>
      <c r="K310" s="13" t="s">
        <v>153</v>
      </c>
      <c r="L310" s="13"/>
      <c r="M310" s="13" t="s">
        <v>1232</v>
      </c>
      <c r="N310" s="33" t="n">
        <v>46308.7264460648</v>
      </c>
    </row>
    <row r="311" customFormat="false" ht="15" hidden="false" customHeight="false" outlineLevel="0" collapsed="false">
      <c r="A311" s="13" t="s">
        <v>1233</v>
      </c>
      <c r="B311" s="13" t="s">
        <v>57</v>
      </c>
      <c r="C311" s="13" t="s">
        <v>1234</v>
      </c>
      <c r="D311" s="13" t="s">
        <v>166</v>
      </c>
      <c r="E311" s="13" t="s">
        <v>1235</v>
      </c>
      <c r="F311" s="13"/>
      <c r="G311" s="13"/>
      <c r="H311" s="31"/>
      <c r="I311" s="33" t="n">
        <v>45996.4304921065</v>
      </c>
      <c r="J311" s="33" t="n">
        <v>45996.4304921065</v>
      </c>
      <c r="K311" s="13" t="s">
        <v>153</v>
      </c>
      <c r="L311" s="13"/>
      <c r="M311" s="13" t="s">
        <v>1236</v>
      </c>
      <c r="N311" s="33" t="n">
        <v>46308.7264460648</v>
      </c>
    </row>
    <row r="312" customFormat="false" ht="15" hidden="false" customHeight="false" outlineLevel="0" collapsed="false">
      <c r="A312" s="13" t="s">
        <v>1237</v>
      </c>
      <c r="B312" s="13" t="s">
        <v>57</v>
      </c>
      <c r="C312" s="13" t="s">
        <v>1238</v>
      </c>
      <c r="D312" s="13" t="s">
        <v>166</v>
      </c>
      <c r="E312" s="13" t="s">
        <v>1044</v>
      </c>
      <c r="F312" s="13"/>
      <c r="G312" s="13"/>
      <c r="H312" s="31"/>
      <c r="I312" s="33" t="n">
        <v>45996.4299382523</v>
      </c>
      <c r="J312" s="33" t="n">
        <v>45996.4299382523</v>
      </c>
      <c r="K312" s="13" t="s">
        <v>153</v>
      </c>
      <c r="L312" s="13"/>
      <c r="M312" s="13" t="s">
        <v>1239</v>
      </c>
      <c r="N312" s="33" t="n">
        <v>46308.7264460648</v>
      </c>
    </row>
    <row r="313" customFormat="false" ht="15" hidden="false" customHeight="false" outlineLevel="0" collapsed="false">
      <c r="A313" s="13" t="s">
        <v>1240</v>
      </c>
      <c r="B313" s="13" t="s">
        <v>57</v>
      </c>
      <c r="C313" s="13" t="s">
        <v>852</v>
      </c>
      <c r="D313" s="13" t="s">
        <v>166</v>
      </c>
      <c r="E313" s="13"/>
      <c r="F313" s="13"/>
      <c r="G313" s="13"/>
      <c r="H313" s="31"/>
      <c r="I313" s="33" t="n">
        <v>45993.618172662</v>
      </c>
      <c r="J313" s="33" t="n">
        <v>45993.618172662</v>
      </c>
      <c r="K313" s="13" t="s">
        <v>153</v>
      </c>
      <c r="L313" s="13"/>
      <c r="M313" s="13" t="s">
        <v>1241</v>
      </c>
      <c r="N313" s="33" t="n">
        <v>46308.7264460648</v>
      </c>
    </row>
    <row r="314" customFormat="false" ht="15" hidden="false" customHeight="false" outlineLevel="0" collapsed="false">
      <c r="A314" s="13" t="s">
        <v>1242</v>
      </c>
      <c r="B314" s="13" t="s">
        <v>57</v>
      </c>
      <c r="C314" s="13" t="s">
        <v>1167</v>
      </c>
      <c r="D314" s="13" t="s">
        <v>166</v>
      </c>
      <c r="E314" s="13" t="s">
        <v>1243</v>
      </c>
      <c r="F314" s="13"/>
      <c r="G314" s="13"/>
      <c r="H314" s="31"/>
      <c r="I314" s="33" t="n">
        <v>45993.618172662</v>
      </c>
      <c r="J314" s="33" t="n">
        <v>45993.618172662</v>
      </c>
      <c r="K314" s="13" t="s">
        <v>153</v>
      </c>
      <c r="L314" s="13"/>
      <c r="M314" s="13" t="s">
        <v>1244</v>
      </c>
      <c r="N314" s="33" t="n">
        <v>46308.7264460648</v>
      </c>
    </row>
    <row r="315" customFormat="false" ht="15" hidden="false" customHeight="false" outlineLevel="0" collapsed="false">
      <c r="A315" s="13" t="s">
        <v>1245</v>
      </c>
      <c r="B315" s="13" t="s">
        <v>57</v>
      </c>
      <c r="C315" s="13" t="s">
        <v>1246</v>
      </c>
      <c r="D315" s="13" t="s">
        <v>166</v>
      </c>
      <c r="E315" s="13" t="s">
        <v>981</v>
      </c>
      <c r="F315" s="13"/>
      <c r="G315" s="13"/>
      <c r="H315" s="31"/>
      <c r="I315" s="33" t="n">
        <v>45989.507443831</v>
      </c>
      <c r="J315" s="33" t="n">
        <v>45989.507443831</v>
      </c>
      <c r="K315" s="13" t="s">
        <v>153</v>
      </c>
      <c r="L315" s="13"/>
      <c r="M315" s="13" t="s">
        <v>1247</v>
      </c>
      <c r="N315" s="33" t="n">
        <v>46308.7264460648</v>
      </c>
    </row>
    <row r="316" customFormat="false" ht="15" hidden="false" customHeight="false" outlineLevel="0" collapsed="false">
      <c r="A316" s="13" t="s">
        <v>1248</v>
      </c>
      <c r="B316" s="13" t="s">
        <v>57</v>
      </c>
      <c r="C316" s="13" t="s">
        <v>1249</v>
      </c>
      <c r="D316" s="13" t="s">
        <v>166</v>
      </c>
      <c r="E316" s="13" t="s">
        <v>95</v>
      </c>
      <c r="F316" s="13"/>
      <c r="G316" s="13"/>
      <c r="H316" s="31"/>
      <c r="I316" s="33" t="n">
        <v>45988.4223618519</v>
      </c>
      <c r="J316" s="33" t="n">
        <v>45988.3740930324</v>
      </c>
      <c r="K316" s="13" t="s">
        <v>153</v>
      </c>
      <c r="L316" s="13"/>
      <c r="M316" s="13" t="s">
        <v>1250</v>
      </c>
      <c r="N316" s="33" t="n">
        <v>46308.7264460648</v>
      </c>
    </row>
    <row r="317" customFormat="false" ht="15" hidden="false" customHeight="false" outlineLevel="0" collapsed="false">
      <c r="A317" s="13" t="s">
        <v>1251</v>
      </c>
      <c r="B317" s="13" t="s">
        <v>57</v>
      </c>
      <c r="C317" s="13" t="s">
        <v>1252</v>
      </c>
      <c r="D317" s="13" t="s">
        <v>166</v>
      </c>
      <c r="E317" s="13" t="s">
        <v>1253</v>
      </c>
      <c r="F317" s="13"/>
      <c r="G317" s="13"/>
      <c r="H317" s="31"/>
      <c r="I317" s="33" t="n">
        <v>45982.6252253472</v>
      </c>
      <c r="J317" s="33" t="n">
        <v>45982.6252253472</v>
      </c>
      <c r="K317" s="13" t="s">
        <v>153</v>
      </c>
      <c r="L317" s="13"/>
      <c r="M317" s="13" t="s">
        <v>1254</v>
      </c>
      <c r="N317" s="33" t="n">
        <v>46308.7264460648</v>
      </c>
    </row>
    <row r="318" customFormat="false" ht="15" hidden="false" customHeight="false" outlineLevel="0" collapsed="false">
      <c r="A318" s="13" t="s">
        <v>1255</v>
      </c>
      <c r="B318" s="13" t="s">
        <v>57</v>
      </c>
      <c r="C318" s="13" t="s">
        <v>152</v>
      </c>
      <c r="D318" s="13" t="s">
        <v>166</v>
      </c>
      <c r="E318" s="13" t="s">
        <v>1256</v>
      </c>
      <c r="F318" s="13"/>
      <c r="G318" s="13"/>
      <c r="H318" s="31"/>
      <c r="I318" s="33" t="n">
        <v>45982.4706138542</v>
      </c>
      <c r="J318" s="33" t="n">
        <v>45982.4706138542</v>
      </c>
      <c r="K318" s="13" t="s">
        <v>153</v>
      </c>
      <c r="L318" s="13"/>
      <c r="M318" s="13" t="s">
        <v>1257</v>
      </c>
      <c r="N318" s="33" t="n">
        <v>46308.7264460648</v>
      </c>
    </row>
    <row r="319" customFormat="false" ht="15" hidden="false" customHeight="false" outlineLevel="0" collapsed="false">
      <c r="A319" s="13" t="s">
        <v>1258</v>
      </c>
      <c r="B319" s="13" t="s">
        <v>57</v>
      </c>
      <c r="C319" s="13" t="s">
        <v>852</v>
      </c>
      <c r="D319" s="13" t="s">
        <v>166</v>
      </c>
      <c r="E319" s="13"/>
      <c r="F319" s="13"/>
      <c r="G319" s="13"/>
      <c r="H319" s="31"/>
      <c r="I319" s="33" t="n">
        <v>45982.4706138542</v>
      </c>
      <c r="J319" s="33" t="n">
        <v>45982.4706138542</v>
      </c>
      <c r="K319" s="13" t="s">
        <v>153</v>
      </c>
      <c r="L319" s="13"/>
      <c r="M319" s="13" t="s">
        <v>1259</v>
      </c>
      <c r="N319" s="33" t="n">
        <v>46308.7264460648</v>
      </c>
    </row>
    <row r="320" customFormat="false" ht="15" hidden="false" customHeight="false" outlineLevel="0" collapsed="false">
      <c r="A320" s="13" t="s">
        <v>1260</v>
      </c>
      <c r="B320" s="13" t="s">
        <v>57</v>
      </c>
      <c r="C320" s="13" t="s">
        <v>1261</v>
      </c>
      <c r="D320" s="13" t="s">
        <v>166</v>
      </c>
      <c r="E320" s="13" t="s">
        <v>1262</v>
      </c>
      <c r="F320" s="13"/>
      <c r="G320" s="13"/>
      <c r="H320" s="31"/>
      <c r="I320" s="33" t="n">
        <v>45982.4706138542</v>
      </c>
      <c r="J320" s="33" t="n">
        <v>45982.4706138542</v>
      </c>
      <c r="K320" s="13" t="s">
        <v>153</v>
      </c>
      <c r="L320" s="13"/>
      <c r="M320" s="13" t="s">
        <v>1263</v>
      </c>
      <c r="N320" s="33" t="n">
        <v>46308.7264460648</v>
      </c>
    </row>
    <row r="321" customFormat="false" ht="15" hidden="false" customHeight="false" outlineLevel="0" collapsed="false">
      <c r="A321" s="13" t="s">
        <v>1264</v>
      </c>
      <c r="B321" s="13" t="s">
        <v>57</v>
      </c>
      <c r="C321" s="13" t="s">
        <v>1265</v>
      </c>
      <c r="D321" s="13" t="s">
        <v>166</v>
      </c>
      <c r="E321" s="13" t="s">
        <v>853</v>
      </c>
      <c r="F321" s="13"/>
      <c r="G321" s="13"/>
      <c r="H321" s="31"/>
      <c r="I321" s="33" t="n">
        <v>45982.4690746528</v>
      </c>
      <c r="J321" s="33" t="n">
        <v>45982.4690746528</v>
      </c>
      <c r="K321" s="13" t="s">
        <v>153</v>
      </c>
      <c r="L321" s="13"/>
      <c r="M321" s="13" t="s">
        <v>1266</v>
      </c>
      <c r="N321" s="33" t="n">
        <v>46308.7264460648</v>
      </c>
    </row>
    <row r="322" customFormat="false" ht="15" hidden="false" customHeight="false" outlineLevel="0" collapsed="false">
      <c r="A322" s="13" t="s">
        <v>1267</v>
      </c>
      <c r="B322" s="13" t="s">
        <v>57</v>
      </c>
      <c r="C322" s="13" t="s">
        <v>152</v>
      </c>
      <c r="D322" s="13" t="s">
        <v>166</v>
      </c>
      <c r="E322" s="13"/>
      <c r="F322" s="13"/>
      <c r="G322" s="13"/>
      <c r="H322" s="31"/>
      <c r="I322" s="33" t="n">
        <v>45982.4690746528</v>
      </c>
      <c r="J322" s="33" t="n">
        <v>45982.4690746528</v>
      </c>
      <c r="K322" s="13" t="s">
        <v>153</v>
      </c>
      <c r="L322" s="13"/>
      <c r="M322" s="13" t="s">
        <v>1268</v>
      </c>
      <c r="N322" s="33" t="n">
        <v>46308.7264460648</v>
      </c>
    </row>
    <row r="323" customFormat="false" ht="15" hidden="false" customHeight="false" outlineLevel="0" collapsed="false">
      <c r="A323" s="13" t="s">
        <v>1269</v>
      </c>
      <c r="B323" s="13" t="s">
        <v>57</v>
      </c>
      <c r="C323" s="13" t="s">
        <v>852</v>
      </c>
      <c r="D323" s="13" t="s">
        <v>166</v>
      </c>
      <c r="E323" s="13"/>
      <c r="F323" s="13"/>
      <c r="G323" s="13"/>
      <c r="H323" s="31"/>
      <c r="I323" s="33" t="n">
        <v>45982.4690746528</v>
      </c>
      <c r="J323" s="33" t="n">
        <v>45982.4690746528</v>
      </c>
      <c r="K323" s="13" t="s">
        <v>153</v>
      </c>
      <c r="L323" s="13"/>
      <c r="M323" s="13" t="s">
        <v>1270</v>
      </c>
      <c r="N323" s="33" t="n">
        <v>46308.7264460648</v>
      </c>
    </row>
    <row r="324" customFormat="false" ht="15" hidden="false" customHeight="false" outlineLevel="0" collapsed="false">
      <c r="A324" s="13" t="s">
        <v>1271</v>
      </c>
      <c r="B324" s="13" t="s">
        <v>57</v>
      </c>
      <c r="C324" s="13" t="s">
        <v>1272</v>
      </c>
      <c r="D324" s="13" t="s">
        <v>166</v>
      </c>
      <c r="E324" s="13" t="s">
        <v>1273</v>
      </c>
      <c r="F324" s="13"/>
      <c r="G324" s="13"/>
      <c r="H324" s="31"/>
      <c r="I324" s="33" t="n">
        <v>45982.4690746528</v>
      </c>
      <c r="J324" s="33" t="n">
        <v>45982.4690746528</v>
      </c>
      <c r="K324" s="13" t="s">
        <v>153</v>
      </c>
      <c r="L324" s="13"/>
      <c r="M324" s="13" t="s">
        <v>1274</v>
      </c>
      <c r="N324" s="33" t="n">
        <v>46308.7264460648</v>
      </c>
    </row>
    <row r="325" customFormat="false" ht="15" hidden="false" customHeight="false" outlineLevel="0" collapsed="false">
      <c r="A325" s="13" t="s">
        <v>1275</v>
      </c>
      <c r="B325" s="13" t="s">
        <v>57</v>
      </c>
      <c r="C325" s="13" t="s">
        <v>152</v>
      </c>
      <c r="D325" s="13" t="s">
        <v>166</v>
      </c>
      <c r="E325" s="13"/>
      <c r="F325" s="13"/>
      <c r="G325" s="13"/>
      <c r="H325" s="31"/>
      <c r="I325" s="33" t="n">
        <v>45982.468156169</v>
      </c>
      <c r="J325" s="33" t="n">
        <v>45982.468156169</v>
      </c>
      <c r="K325" s="13" t="s">
        <v>153</v>
      </c>
      <c r="L325" s="13"/>
      <c r="M325" s="13" t="s">
        <v>1276</v>
      </c>
      <c r="N325" s="33" t="n">
        <v>46308.7264460648</v>
      </c>
    </row>
    <row r="326" customFormat="false" ht="15" hidden="false" customHeight="false" outlineLevel="0" collapsed="false">
      <c r="A326" s="13" t="s">
        <v>1277</v>
      </c>
      <c r="B326" s="13" t="s">
        <v>57</v>
      </c>
      <c r="C326" s="13" t="s">
        <v>1278</v>
      </c>
      <c r="D326" s="13" t="s">
        <v>166</v>
      </c>
      <c r="E326" s="13"/>
      <c r="F326" s="13"/>
      <c r="G326" s="13"/>
      <c r="H326" s="31"/>
      <c r="I326" s="33" t="n">
        <v>45982.468156169</v>
      </c>
      <c r="J326" s="33" t="n">
        <v>45982.468156169</v>
      </c>
      <c r="K326" s="13" t="s">
        <v>153</v>
      </c>
      <c r="L326" s="13"/>
      <c r="M326" s="13" t="s">
        <v>1279</v>
      </c>
      <c r="N326" s="33" t="n">
        <v>46308.7264460648</v>
      </c>
    </row>
    <row r="327" customFormat="false" ht="15" hidden="false" customHeight="false" outlineLevel="0" collapsed="false">
      <c r="A327" s="13" t="s">
        <v>1280</v>
      </c>
      <c r="B327" s="13" t="s">
        <v>57</v>
      </c>
      <c r="C327" s="13" t="s">
        <v>1281</v>
      </c>
      <c r="D327" s="13" t="s">
        <v>166</v>
      </c>
      <c r="E327" s="13" t="s">
        <v>1282</v>
      </c>
      <c r="F327" s="13"/>
      <c r="G327" s="13"/>
      <c r="H327" s="31"/>
      <c r="I327" s="33" t="n">
        <v>45982.468156169</v>
      </c>
      <c r="J327" s="33" t="n">
        <v>45982.468156169</v>
      </c>
      <c r="K327" s="13" t="s">
        <v>153</v>
      </c>
      <c r="L327" s="13"/>
      <c r="M327" s="13" t="s">
        <v>1283</v>
      </c>
      <c r="N327" s="33" t="n">
        <v>46308.7264460648</v>
      </c>
    </row>
    <row r="328" customFormat="false" ht="15" hidden="false" customHeight="false" outlineLevel="0" collapsed="false">
      <c r="A328" s="13" t="s">
        <v>1284</v>
      </c>
      <c r="B328" s="13" t="s">
        <v>57</v>
      </c>
      <c r="C328" s="13" t="s">
        <v>695</v>
      </c>
      <c r="D328" s="13" t="s">
        <v>166</v>
      </c>
      <c r="E328" s="13" t="s">
        <v>1285</v>
      </c>
      <c r="F328" s="13"/>
      <c r="G328" s="13"/>
      <c r="H328" s="31"/>
      <c r="I328" s="33" t="n">
        <v>45982.4680591435</v>
      </c>
      <c r="J328" s="33" t="n">
        <v>45982.4680517361</v>
      </c>
      <c r="K328" s="13" t="s">
        <v>153</v>
      </c>
      <c r="L328" s="13"/>
      <c r="M328" s="13" t="s">
        <v>1286</v>
      </c>
      <c r="N328" s="33" t="n">
        <v>46308.7264460648</v>
      </c>
    </row>
    <row r="329" customFormat="false" ht="15" hidden="false" customHeight="false" outlineLevel="0" collapsed="false">
      <c r="A329" s="13" t="s">
        <v>1287</v>
      </c>
      <c r="B329" s="13" t="s">
        <v>57</v>
      </c>
      <c r="C329" s="13" t="s">
        <v>702</v>
      </c>
      <c r="D329" s="13" t="s">
        <v>166</v>
      </c>
      <c r="E329" s="13"/>
      <c r="F329" s="13"/>
      <c r="G329" s="13"/>
      <c r="H329" s="31"/>
      <c r="I329" s="33" t="n">
        <v>45982.4680591435</v>
      </c>
      <c r="J329" s="33" t="n">
        <v>45982.4680517361</v>
      </c>
      <c r="K329" s="13" t="s">
        <v>153</v>
      </c>
      <c r="L329" s="13"/>
      <c r="M329" s="13" t="s">
        <v>1288</v>
      </c>
      <c r="N329" s="33" t="n">
        <v>46308.7264460648</v>
      </c>
    </row>
    <row r="330" customFormat="false" ht="15" hidden="false" customHeight="false" outlineLevel="0" collapsed="false">
      <c r="A330" s="13" t="s">
        <v>1289</v>
      </c>
      <c r="B330" s="13" t="s">
        <v>57</v>
      </c>
      <c r="C330" s="13" t="s">
        <v>1278</v>
      </c>
      <c r="D330" s="13" t="s">
        <v>166</v>
      </c>
      <c r="E330" s="13"/>
      <c r="F330" s="13"/>
      <c r="G330" s="13"/>
      <c r="H330" s="31"/>
      <c r="I330" s="33" t="n">
        <v>45982.4680591435</v>
      </c>
      <c r="J330" s="33" t="n">
        <v>45982.4680517361</v>
      </c>
      <c r="K330" s="13" t="s">
        <v>153</v>
      </c>
      <c r="L330" s="13"/>
      <c r="M330" s="13" t="s">
        <v>1290</v>
      </c>
      <c r="N330" s="33" t="n">
        <v>46308.7264460648</v>
      </c>
    </row>
    <row r="331" customFormat="false" ht="15" hidden="false" customHeight="false" outlineLevel="0" collapsed="false">
      <c r="A331" s="13" t="s">
        <v>1291</v>
      </c>
      <c r="B331" s="13" t="s">
        <v>57</v>
      </c>
      <c r="C331" s="13" t="s">
        <v>1292</v>
      </c>
      <c r="D331" s="13" t="s">
        <v>166</v>
      </c>
      <c r="E331" s="13" t="s">
        <v>1293</v>
      </c>
      <c r="F331" s="13"/>
      <c r="G331" s="13"/>
      <c r="H331" s="31"/>
      <c r="I331" s="33" t="n">
        <v>45982.4680591435</v>
      </c>
      <c r="J331" s="33" t="n">
        <v>45982.4680517361</v>
      </c>
      <c r="K331" s="13" t="s">
        <v>153</v>
      </c>
      <c r="L331" s="13"/>
      <c r="M331" s="13" t="s">
        <v>1294</v>
      </c>
      <c r="N331" s="33" t="n">
        <v>46308.7264460648</v>
      </c>
    </row>
    <row r="332" customFormat="false" ht="15" hidden="false" customHeight="false" outlineLevel="0" collapsed="false">
      <c r="A332" s="13" t="s">
        <v>1295</v>
      </c>
      <c r="B332" s="13" t="s">
        <v>57</v>
      </c>
      <c r="C332" s="13" t="s">
        <v>1296</v>
      </c>
      <c r="D332" s="13" t="s">
        <v>166</v>
      </c>
      <c r="E332" s="13"/>
      <c r="F332" s="13"/>
      <c r="G332" s="13"/>
      <c r="H332" s="31"/>
      <c r="I332" s="33" t="n">
        <v>45982.4451598843</v>
      </c>
      <c r="J332" s="33" t="n">
        <v>45982.4451598843</v>
      </c>
      <c r="K332" s="13" t="s">
        <v>153</v>
      </c>
      <c r="L332" s="13"/>
      <c r="M332" s="13" t="s">
        <v>1297</v>
      </c>
      <c r="N332" s="33" t="n">
        <v>46308.7264460648</v>
      </c>
    </row>
    <row r="333" customFormat="false" ht="15" hidden="false" customHeight="false" outlineLevel="0" collapsed="false">
      <c r="A333" s="13" t="s">
        <v>1298</v>
      </c>
      <c r="B333" s="13" t="s">
        <v>57</v>
      </c>
      <c r="C333" s="13" t="s">
        <v>1299</v>
      </c>
      <c r="D333" s="13" t="s">
        <v>166</v>
      </c>
      <c r="E333" s="13"/>
      <c r="F333" s="13"/>
      <c r="G333" s="13"/>
      <c r="H333" s="31"/>
      <c r="I333" s="33" t="n">
        <v>45982.4451598843</v>
      </c>
      <c r="J333" s="33" t="n">
        <v>45982.4451598843</v>
      </c>
      <c r="K333" s="13" t="s">
        <v>153</v>
      </c>
      <c r="L333" s="13"/>
      <c r="M333" s="13" t="s">
        <v>1300</v>
      </c>
      <c r="N333" s="33" t="n">
        <v>46308.7264460648</v>
      </c>
    </row>
    <row r="334" customFormat="false" ht="15" hidden="false" customHeight="false" outlineLevel="0" collapsed="false">
      <c r="A334" s="13" t="s">
        <v>1301</v>
      </c>
      <c r="B334" s="13" t="s">
        <v>57</v>
      </c>
      <c r="C334" s="13" t="s">
        <v>1302</v>
      </c>
      <c r="D334" s="13" t="s">
        <v>166</v>
      </c>
      <c r="E334" s="13" t="s">
        <v>1303</v>
      </c>
      <c r="F334" s="13" t="s">
        <v>736</v>
      </c>
      <c r="G334" s="13" t="s">
        <v>189</v>
      </c>
      <c r="H334" s="31"/>
      <c r="I334" s="33" t="n">
        <v>45982.4451598843</v>
      </c>
      <c r="J334" s="33" t="n">
        <v>45982.4451598843</v>
      </c>
      <c r="K334" s="13" t="s">
        <v>153</v>
      </c>
      <c r="L334" s="13" t="s">
        <v>117</v>
      </c>
      <c r="M334" s="13" t="s">
        <v>1304</v>
      </c>
      <c r="N334" s="33" t="n">
        <v>46308.7264460648</v>
      </c>
    </row>
    <row r="335" customFormat="false" ht="15" hidden="false" customHeight="false" outlineLevel="0" collapsed="false">
      <c r="A335" s="13" t="s">
        <v>1305</v>
      </c>
      <c r="B335" s="13" t="s">
        <v>57</v>
      </c>
      <c r="C335" s="13" t="s">
        <v>1306</v>
      </c>
      <c r="D335" s="13" t="s">
        <v>166</v>
      </c>
      <c r="E335" s="13" t="s">
        <v>1307</v>
      </c>
      <c r="F335" s="13"/>
      <c r="G335" s="13"/>
      <c r="H335" s="31"/>
      <c r="I335" s="33" t="n">
        <v>45980.7303315509</v>
      </c>
      <c r="J335" s="33" t="n">
        <v>45979.5838321644</v>
      </c>
      <c r="K335" s="13" t="s">
        <v>153</v>
      </c>
      <c r="L335" s="13"/>
      <c r="M335" s="13" t="s">
        <v>1308</v>
      </c>
      <c r="N335" s="33" t="n">
        <v>46308.7264460648</v>
      </c>
    </row>
    <row r="336" customFormat="false" ht="15" hidden="false" customHeight="false" outlineLevel="0" collapsed="false">
      <c r="A336" s="13" t="s">
        <v>1309</v>
      </c>
      <c r="B336" s="13" t="s">
        <v>57</v>
      </c>
      <c r="C336" s="13" t="s">
        <v>185</v>
      </c>
      <c r="D336" s="13" t="s">
        <v>166</v>
      </c>
      <c r="E336" s="13" t="s">
        <v>981</v>
      </c>
      <c r="F336" s="13"/>
      <c r="G336" s="13"/>
      <c r="H336" s="31"/>
      <c r="I336" s="33" t="n">
        <v>45979.6557922338</v>
      </c>
      <c r="J336" s="33" t="n">
        <v>45979.6557922338</v>
      </c>
      <c r="K336" s="13" t="s">
        <v>153</v>
      </c>
      <c r="L336" s="13"/>
      <c r="M336" s="13" t="s">
        <v>1310</v>
      </c>
      <c r="N336" s="33" t="n">
        <v>46308.7264460648</v>
      </c>
    </row>
    <row r="337" customFormat="false" ht="15" hidden="false" customHeight="false" outlineLevel="0" collapsed="false">
      <c r="A337" s="13" t="s">
        <v>1311</v>
      </c>
      <c r="B337" s="13" t="s">
        <v>57</v>
      </c>
      <c r="C337" s="13" t="s">
        <v>1312</v>
      </c>
      <c r="D337" s="13" t="s">
        <v>166</v>
      </c>
      <c r="E337" s="13" t="s">
        <v>928</v>
      </c>
      <c r="F337" s="13" t="s">
        <v>597</v>
      </c>
      <c r="G337" s="13" t="s">
        <v>189</v>
      </c>
      <c r="H337" s="31"/>
      <c r="I337" s="33" t="n">
        <v>45979.6063714236</v>
      </c>
      <c r="J337" s="33" t="n">
        <v>45979.6063714236</v>
      </c>
      <c r="K337" s="13" t="s">
        <v>153</v>
      </c>
      <c r="L337" s="13"/>
      <c r="M337" s="13" t="s">
        <v>1313</v>
      </c>
      <c r="N337" s="33" t="n">
        <v>46308.7264460648</v>
      </c>
    </row>
    <row r="338" customFormat="false" ht="15" hidden="false" customHeight="false" outlineLevel="0" collapsed="false">
      <c r="A338" s="13" t="s">
        <v>1314</v>
      </c>
      <c r="B338" s="13" t="s">
        <v>57</v>
      </c>
      <c r="C338" s="13" t="s">
        <v>258</v>
      </c>
      <c r="D338" s="13" t="s">
        <v>166</v>
      </c>
      <c r="E338" s="13" t="s">
        <v>1315</v>
      </c>
      <c r="F338" s="13"/>
      <c r="G338" s="13"/>
      <c r="H338" s="31"/>
      <c r="I338" s="33" t="n">
        <v>45979.5870356944</v>
      </c>
      <c r="J338" s="33" t="n">
        <v>45979.5870356944</v>
      </c>
      <c r="K338" s="13" t="s">
        <v>153</v>
      </c>
      <c r="L338" s="13"/>
      <c r="M338" s="13" t="s">
        <v>1316</v>
      </c>
      <c r="N338" s="33" t="n">
        <v>46308.7264460648</v>
      </c>
    </row>
    <row r="339" customFormat="false" ht="15" hidden="false" customHeight="false" outlineLevel="0" collapsed="false">
      <c r="A339" s="13" t="s">
        <v>1317</v>
      </c>
      <c r="B339" s="13" t="s">
        <v>57</v>
      </c>
      <c r="C339" s="13" t="s">
        <v>1318</v>
      </c>
      <c r="D339" s="13" t="s">
        <v>166</v>
      </c>
      <c r="E339" s="13" t="s">
        <v>928</v>
      </c>
      <c r="F339" s="13"/>
      <c r="G339" s="13"/>
      <c r="H339" s="31"/>
      <c r="I339" s="33" t="n">
        <v>45979.5870356944</v>
      </c>
      <c r="J339" s="33" t="n">
        <v>45979.5870356944</v>
      </c>
      <c r="K339" s="13" t="s">
        <v>153</v>
      </c>
      <c r="L339" s="13"/>
      <c r="M339" s="13" t="s">
        <v>1319</v>
      </c>
      <c r="N339" s="33" t="n">
        <v>46308.7264460648</v>
      </c>
    </row>
    <row r="340" customFormat="false" ht="15" hidden="false" customHeight="false" outlineLevel="0" collapsed="false">
      <c r="A340" s="13" t="s">
        <v>1320</v>
      </c>
      <c r="B340" s="13" t="s">
        <v>57</v>
      </c>
      <c r="C340" s="13" t="s">
        <v>1265</v>
      </c>
      <c r="D340" s="13" t="s">
        <v>166</v>
      </c>
      <c r="E340" s="13"/>
      <c r="F340" s="13"/>
      <c r="G340" s="13"/>
      <c r="H340" s="31"/>
      <c r="I340" s="33" t="n">
        <v>45979.5838321644</v>
      </c>
      <c r="J340" s="33" t="n">
        <v>45979.5838321644</v>
      </c>
      <c r="K340" s="13" t="s">
        <v>153</v>
      </c>
      <c r="L340" s="13"/>
      <c r="M340" s="13" t="s">
        <v>1321</v>
      </c>
      <c r="N340" s="33" t="n">
        <v>46308.7264460648</v>
      </c>
    </row>
    <row r="341" customFormat="false" ht="15" hidden="false" customHeight="false" outlineLevel="0" collapsed="false">
      <c r="A341" s="13" t="s">
        <v>1322</v>
      </c>
      <c r="B341" s="13" t="s">
        <v>57</v>
      </c>
      <c r="C341" s="13" t="s">
        <v>852</v>
      </c>
      <c r="D341" s="13" t="s">
        <v>166</v>
      </c>
      <c r="E341" s="13"/>
      <c r="F341" s="13"/>
      <c r="G341" s="13"/>
      <c r="H341" s="31"/>
      <c r="I341" s="33" t="n">
        <v>45979.5838321644</v>
      </c>
      <c r="J341" s="33" t="n">
        <v>45979.5838321644</v>
      </c>
      <c r="K341" s="13" t="s">
        <v>153</v>
      </c>
      <c r="L341" s="13"/>
      <c r="M341" s="13" t="s">
        <v>1323</v>
      </c>
      <c r="N341" s="33" t="n">
        <v>46308.7264460648</v>
      </c>
    </row>
    <row r="342" customFormat="false" ht="15" hidden="false" customHeight="false" outlineLevel="0" collapsed="false">
      <c r="A342" s="13" t="s">
        <v>1324</v>
      </c>
      <c r="B342" s="13" t="s">
        <v>57</v>
      </c>
      <c r="C342" s="13" t="s">
        <v>1325</v>
      </c>
      <c r="D342" s="13" t="s">
        <v>166</v>
      </c>
      <c r="E342" s="13" t="s">
        <v>1326</v>
      </c>
      <c r="F342" s="13"/>
      <c r="G342" s="13"/>
      <c r="H342" s="31"/>
      <c r="I342" s="33" t="n">
        <v>45975.6109668519</v>
      </c>
      <c r="J342" s="33" t="n">
        <v>45975.6109668519</v>
      </c>
      <c r="K342" s="13" t="s">
        <v>153</v>
      </c>
      <c r="L342" s="13"/>
      <c r="M342" s="13" t="s">
        <v>1327</v>
      </c>
      <c r="N342" s="33" t="n">
        <v>46308.7264460648</v>
      </c>
    </row>
    <row r="343" customFormat="false" ht="15" hidden="false" customHeight="false" outlineLevel="0" collapsed="false">
      <c r="A343" s="13" t="s">
        <v>1328</v>
      </c>
      <c r="B343" s="13" t="s">
        <v>57</v>
      </c>
      <c r="C343" s="13" t="s">
        <v>1299</v>
      </c>
      <c r="D343" s="13" t="s">
        <v>166</v>
      </c>
      <c r="E343" s="13"/>
      <c r="F343" s="13"/>
      <c r="G343" s="13"/>
      <c r="H343" s="31"/>
      <c r="I343" s="33" t="n">
        <v>45974.6900234259</v>
      </c>
      <c r="J343" s="33" t="n">
        <v>45974.6900234259</v>
      </c>
      <c r="K343" s="13" t="s">
        <v>153</v>
      </c>
      <c r="L343" s="13"/>
      <c r="M343" s="13" t="s">
        <v>1329</v>
      </c>
      <c r="N343" s="33" t="n">
        <v>46308.7264460648</v>
      </c>
    </row>
    <row r="344" customFormat="false" ht="15" hidden="false" customHeight="false" outlineLevel="0" collapsed="false">
      <c r="A344" s="13" t="s">
        <v>1330</v>
      </c>
      <c r="B344" s="13" t="s">
        <v>57</v>
      </c>
      <c r="C344" s="13" t="s">
        <v>1331</v>
      </c>
      <c r="D344" s="13" t="s">
        <v>166</v>
      </c>
      <c r="E344" s="13" t="s">
        <v>1332</v>
      </c>
      <c r="F344" s="13"/>
      <c r="G344" s="13"/>
      <c r="H344" s="31"/>
      <c r="I344" s="33" t="n">
        <v>45974.6900234259</v>
      </c>
      <c r="J344" s="33" t="n">
        <v>45974.6900234259</v>
      </c>
      <c r="K344" s="13" t="s">
        <v>153</v>
      </c>
      <c r="L344" s="13"/>
      <c r="M344" s="13" t="s">
        <v>1333</v>
      </c>
      <c r="N344" s="33" t="n">
        <v>46308.7264460648</v>
      </c>
    </row>
    <row r="345" customFormat="false" ht="15" hidden="false" customHeight="false" outlineLevel="0" collapsed="false">
      <c r="A345" s="13" t="s">
        <v>1334</v>
      </c>
      <c r="B345" s="13" t="s">
        <v>57</v>
      </c>
      <c r="C345" s="13" t="s">
        <v>1335</v>
      </c>
      <c r="D345" s="13" t="s">
        <v>166</v>
      </c>
      <c r="E345" s="13" t="s">
        <v>1336</v>
      </c>
      <c r="F345" s="13" t="s">
        <v>60</v>
      </c>
      <c r="G345" s="13"/>
      <c r="H345" s="31"/>
      <c r="I345" s="33" t="n">
        <v>45974.6779997685</v>
      </c>
      <c r="J345" s="33" t="n">
        <v>45974.6779997685</v>
      </c>
      <c r="K345" s="13" t="s">
        <v>153</v>
      </c>
      <c r="L345" s="13" t="s">
        <v>280</v>
      </c>
      <c r="M345" s="13" t="s">
        <v>1337</v>
      </c>
      <c r="N345" s="33" t="n">
        <v>46308.7264460648</v>
      </c>
    </row>
    <row r="346" customFormat="false" ht="15" hidden="false" customHeight="false" outlineLevel="0" collapsed="false">
      <c r="A346" s="13" t="s">
        <v>1338</v>
      </c>
      <c r="B346" s="13" t="s">
        <v>57</v>
      </c>
      <c r="C346" s="13" t="s">
        <v>695</v>
      </c>
      <c r="D346" s="13" t="s">
        <v>166</v>
      </c>
      <c r="E346" s="13"/>
      <c r="F346" s="13"/>
      <c r="G346" s="13"/>
      <c r="H346" s="31"/>
      <c r="I346" s="33" t="n">
        <v>45974.4186736111</v>
      </c>
      <c r="J346" s="33" t="n">
        <v>45974.4186736111</v>
      </c>
      <c r="K346" s="13" t="s">
        <v>153</v>
      </c>
      <c r="L346" s="13"/>
      <c r="M346" s="13" t="s">
        <v>1339</v>
      </c>
      <c r="N346" s="33" t="n">
        <v>46308.7264460648</v>
      </c>
    </row>
    <row r="347" customFormat="false" ht="15" hidden="false" customHeight="false" outlineLevel="0" collapsed="false">
      <c r="A347" s="13" t="s">
        <v>1340</v>
      </c>
      <c r="B347" s="13" t="s">
        <v>57</v>
      </c>
      <c r="C347" s="13" t="s">
        <v>702</v>
      </c>
      <c r="D347" s="13" t="s">
        <v>166</v>
      </c>
      <c r="E347" s="13"/>
      <c r="F347" s="13"/>
      <c r="G347" s="13"/>
      <c r="H347" s="31"/>
      <c r="I347" s="33" t="n">
        <v>45974.4186736111</v>
      </c>
      <c r="J347" s="33" t="n">
        <v>45974.4186736111</v>
      </c>
      <c r="K347" s="13" t="s">
        <v>153</v>
      </c>
      <c r="L347" s="13"/>
      <c r="M347" s="13" t="s">
        <v>1341</v>
      </c>
      <c r="N347" s="33" t="n">
        <v>46308.7264460648</v>
      </c>
    </row>
    <row r="348" customFormat="false" ht="15" hidden="false" customHeight="false" outlineLevel="0" collapsed="false">
      <c r="A348" s="13" t="s">
        <v>1342</v>
      </c>
      <c r="B348" s="13" t="s">
        <v>57</v>
      </c>
      <c r="C348" s="13" t="s">
        <v>1343</v>
      </c>
      <c r="D348" s="13" t="s">
        <v>166</v>
      </c>
      <c r="E348" s="13" t="s">
        <v>1044</v>
      </c>
      <c r="F348" s="13" t="s">
        <v>60</v>
      </c>
      <c r="G348" s="13"/>
      <c r="H348" s="31"/>
      <c r="I348" s="33" t="n">
        <v>45974.4186736111</v>
      </c>
      <c r="J348" s="33" t="n">
        <v>45974.4186736111</v>
      </c>
      <c r="K348" s="13" t="s">
        <v>153</v>
      </c>
      <c r="L348" s="13" t="s">
        <v>280</v>
      </c>
      <c r="M348" s="13" t="s">
        <v>1344</v>
      </c>
      <c r="N348" s="33" t="n">
        <v>46308.7264460648</v>
      </c>
    </row>
    <row r="349" customFormat="false" ht="15" hidden="false" customHeight="false" outlineLevel="0" collapsed="false">
      <c r="A349" s="13" t="s">
        <v>1345</v>
      </c>
      <c r="B349" s="13" t="s">
        <v>57</v>
      </c>
      <c r="C349" s="13" t="s">
        <v>258</v>
      </c>
      <c r="D349" s="13" t="s">
        <v>166</v>
      </c>
      <c r="E349" s="13"/>
      <c r="F349" s="13"/>
      <c r="G349" s="13"/>
      <c r="H349" s="31"/>
      <c r="I349" s="33" t="n">
        <v>45974.4173519097</v>
      </c>
      <c r="J349" s="33" t="n">
        <v>45923.4883808218</v>
      </c>
      <c r="K349" s="13" t="s">
        <v>153</v>
      </c>
      <c r="L349" s="13"/>
      <c r="M349" s="13" t="s">
        <v>1346</v>
      </c>
      <c r="N349" s="33" t="n">
        <v>46308.7264460648</v>
      </c>
    </row>
    <row r="350" customFormat="false" ht="15" hidden="false" customHeight="false" outlineLevel="0" collapsed="false">
      <c r="A350" s="13" t="s">
        <v>1347</v>
      </c>
      <c r="B350" s="13" t="s">
        <v>57</v>
      </c>
      <c r="C350" s="13" t="s">
        <v>1348</v>
      </c>
      <c r="D350" s="13" t="s">
        <v>166</v>
      </c>
      <c r="E350" s="13" t="s">
        <v>1349</v>
      </c>
      <c r="F350" s="13"/>
      <c r="G350" s="13"/>
      <c r="H350" s="31"/>
      <c r="I350" s="33" t="n">
        <v>45972.7070365278</v>
      </c>
      <c r="J350" s="33" t="n">
        <v>45972.697805382</v>
      </c>
      <c r="K350" s="13" t="s">
        <v>153</v>
      </c>
      <c r="L350" s="13"/>
      <c r="M350" s="13" t="s">
        <v>1350</v>
      </c>
      <c r="N350" s="33" t="n">
        <v>46308.7264460648</v>
      </c>
    </row>
    <row r="351" customFormat="false" ht="15" hidden="false" customHeight="false" outlineLevel="0" collapsed="false">
      <c r="A351" s="13" t="s">
        <v>1351</v>
      </c>
      <c r="B351" s="13" t="s">
        <v>57</v>
      </c>
      <c r="C351" s="13" t="s">
        <v>1265</v>
      </c>
      <c r="D351" s="13" t="s">
        <v>166</v>
      </c>
      <c r="E351" s="13" t="s">
        <v>853</v>
      </c>
      <c r="F351" s="13"/>
      <c r="G351" s="13"/>
      <c r="H351" s="31"/>
      <c r="I351" s="33" t="n">
        <v>45972.6991328357</v>
      </c>
      <c r="J351" s="33" t="n">
        <v>45972.6991328357</v>
      </c>
      <c r="K351" s="13" t="s">
        <v>153</v>
      </c>
      <c r="L351" s="13"/>
      <c r="M351" s="13" t="s">
        <v>1352</v>
      </c>
      <c r="N351" s="33" t="n">
        <v>46308.7264460648</v>
      </c>
    </row>
    <row r="352" customFormat="false" ht="15" hidden="false" customHeight="false" outlineLevel="0" collapsed="false">
      <c r="A352" s="13" t="s">
        <v>1353</v>
      </c>
      <c r="B352" s="13" t="s">
        <v>57</v>
      </c>
      <c r="C352" s="13" t="s">
        <v>852</v>
      </c>
      <c r="D352" s="13" t="s">
        <v>166</v>
      </c>
      <c r="E352" s="13"/>
      <c r="F352" s="13"/>
      <c r="G352" s="13"/>
      <c r="H352" s="31"/>
      <c r="I352" s="33" t="n">
        <v>45972.6991328357</v>
      </c>
      <c r="J352" s="33" t="n">
        <v>45972.6991328357</v>
      </c>
      <c r="K352" s="13" t="s">
        <v>153</v>
      </c>
      <c r="L352" s="13"/>
      <c r="M352" s="13" t="s">
        <v>1354</v>
      </c>
      <c r="N352" s="33" t="n">
        <v>46308.7264460648</v>
      </c>
    </row>
    <row r="353" customFormat="false" ht="15" hidden="false" customHeight="false" outlineLevel="0" collapsed="false">
      <c r="A353" s="13" t="s">
        <v>1355</v>
      </c>
      <c r="B353" s="13" t="s">
        <v>57</v>
      </c>
      <c r="C353" s="13" t="s">
        <v>1356</v>
      </c>
      <c r="D353" s="13" t="s">
        <v>166</v>
      </c>
      <c r="E353" s="13" t="s">
        <v>853</v>
      </c>
      <c r="F353" s="13"/>
      <c r="G353" s="13"/>
      <c r="H353" s="31"/>
      <c r="I353" s="33" t="n">
        <v>45972.6991328357</v>
      </c>
      <c r="J353" s="33" t="n">
        <v>45972.6991328357</v>
      </c>
      <c r="K353" s="13" t="s">
        <v>153</v>
      </c>
      <c r="L353" s="13"/>
      <c r="M353" s="13" t="s">
        <v>1357</v>
      </c>
      <c r="N353" s="33" t="n">
        <v>46308.7264460648</v>
      </c>
    </row>
    <row r="354" customFormat="false" ht="15" hidden="false" customHeight="false" outlineLevel="0" collapsed="false">
      <c r="A354" s="13" t="s">
        <v>1358</v>
      </c>
      <c r="B354" s="13" t="s">
        <v>57</v>
      </c>
      <c r="C354" s="13" t="s">
        <v>185</v>
      </c>
      <c r="D354" s="13" t="s">
        <v>166</v>
      </c>
      <c r="E354" s="13" t="s">
        <v>981</v>
      </c>
      <c r="F354" s="13"/>
      <c r="G354" s="13"/>
      <c r="H354" s="31"/>
      <c r="I354" s="33" t="n">
        <v>45972.697805382</v>
      </c>
      <c r="J354" s="33" t="n">
        <v>45972.697805382</v>
      </c>
      <c r="K354" s="13" t="s">
        <v>153</v>
      </c>
      <c r="L354" s="13"/>
      <c r="M354" s="13" t="s">
        <v>1359</v>
      </c>
      <c r="N354" s="33" t="n">
        <v>46308.7264460648</v>
      </c>
    </row>
    <row r="355" customFormat="false" ht="15" hidden="false" customHeight="false" outlineLevel="0" collapsed="false">
      <c r="A355" s="13" t="s">
        <v>1360</v>
      </c>
      <c r="B355" s="13" t="s">
        <v>57</v>
      </c>
      <c r="C355" s="13" t="s">
        <v>1278</v>
      </c>
      <c r="D355" s="13" t="s">
        <v>166</v>
      </c>
      <c r="E355" s="13"/>
      <c r="F355" s="13"/>
      <c r="G355" s="13"/>
      <c r="H355" s="31"/>
      <c r="I355" s="33" t="n">
        <v>45972.697805382</v>
      </c>
      <c r="J355" s="33" t="n">
        <v>45972.697805382</v>
      </c>
      <c r="K355" s="13" t="s">
        <v>153</v>
      </c>
      <c r="L355" s="13"/>
      <c r="M355" s="13" t="s">
        <v>1361</v>
      </c>
      <c r="N355" s="33" t="n">
        <v>46308.7264460648</v>
      </c>
    </row>
    <row r="356" customFormat="false" ht="15" hidden="false" customHeight="false" outlineLevel="0" collapsed="false">
      <c r="A356" s="13" t="s">
        <v>1362</v>
      </c>
      <c r="B356" s="13" t="s">
        <v>57</v>
      </c>
      <c r="C356" s="13" t="s">
        <v>258</v>
      </c>
      <c r="D356" s="13" t="s">
        <v>166</v>
      </c>
      <c r="E356" s="13" t="s">
        <v>1363</v>
      </c>
      <c r="F356" s="13"/>
      <c r="G356" s="13"/>
      <c r="H356" s="31"/>
      <c r="I356" s="33" t="n">
        <v>45972.6865413426</v>
      </c>
      <c r="J356" s="33" t="n">
        <v>45972.6865413426</v>
      </c>
      <c r="K356" s="13" t="s">
        <v>153</v>
      </c>
      <c r="L356" s="13"/>
      <c r="M356" s="13" t="s">
        <v>1364</v>
      </c>
      <c r="N356" s="33" t="n">
        <v>46308.7264460648</v>
      </c>
    </row>
    <row r="357" customFormat="false" ht="15" hidden="false" customHeight="false" outlineLevel="0" collapsed="false">
      <c r="A357" s="13" t="s">
        <v>1365</v>
      </c>
      <c r="B357" s="13" t="s">
        <v>57</v>
      </c>
      <c r="C357" s="13" t="s">
        <v>702</v>
      </c>
      <c r="D357" s="13" t="s">
        <v>166</v>
      </c>
      <c r="E357" s="13"/>
      <c r="F357" s="13"/>
      <c r="G357" s="13"/>
      <c r="H357" s="31"/>
      <c r="I357" s="33" t="n">
        <v>45972.6865413426</v>
      </c>
      <c r="J357" s="33" t="n">
        <v>45972.6865413426</v>
      </c>
      <c r="K357" s="13" t="s">
        <v>153</v>
      </c>
      <c r="L357" s="13"/>
      <c r="M357" s="13" t="s">
        <v>1366</v>
      </c>
      <c r="N357" s="33" t="n">
        <v>46308.7264460648</v>
      </c>
    </row>
    <row r="358" customFormat="false" ht="15" hidden="false" customHeight="false" outlineLevel="0" collapsed="false">
      <c r="A358" s="13" t="s">
        <v>1367</v>
      </c>
      <c r="B358" s="13" t="s">
        <v>57</v>
      </c>
      <c r="C358" s="13" t="s">
        <v>1299</v>
      </c>
      <c r="D358" s="13" t="s">
        <v>166</v>
      </c>
      <c r="E358" s="13"/>
      <c r="F358" s="13"/>
      <c r="G358" s="13"/>
      <c r="H358" s="31"/>
      <c r="I358" s="33" t="n">
        <v>45972.6865413426</v>
      </c>
      <c r="J358" s="33" t="n">
        <v>45972.6865413426</v>
      </c>
      <c r="K358" s="13" t="s">
        <v>153</v>
      </c>
      <c r="L358" s="13"/>
      <c r="M358" s="13" t="s">
        <v>1368</v>
      </c>
      <c r="N358" s="33" t="n">
        <v>46308.7264460648</v>
      </c>
    </row>
    <row r="359" customFormat="false" ht="15" hidden="false" customHeight="false" outlineLevel="0" collapsed="false">
      <c r="A359" s="13" t="s">
        <v>1369</v>
      </c>
      <c r="B359" s="13" t="s">
        <v>57</v>
      </c>
      <c r="C359" s="13" t="s">
        <v>1370</v>
      </c>
      <c r="D359" s="13" t="s">
        <v>166</v>
      </c>
      <c r="E359" s="13" t="s">
        <v>1349</v>
      </c>
      <c r="F359" s="13"/>
      <c r="G359" s="13"/>
      <c r="H359" s="31"/>
      <c r="I359" s="33" t="n">
        <v>45972.6865413426</v>
      </c>
      <c r="J359" s="33" t="n">
        <v>45972.6865413426</v>
      </c>
      <c r="K359" s="13" t="s">
        <v>153</v>
      </c>
      <c r="L359" s="13"/>
      <c r="M359" s="13" t="s">
        <v>1371</v>
      </c>
      <c r="N359" s="33" t="n">
        <v>46308.7264460648</v>
      </c>
    </row>
    <row r="360" customFormat="false" ht="15" hidden="false" customHeight="false" outlineLevel="0" collapsed="false">
      <c r="A360" s="13" t="s">
        <v>1372</v>
      </c>
      <c r="B360" s="13" t="s">
        <v>57</v>
      </c>
      <c r="C360" s="13" t="s">
        <v>1373</v>
      </c>
      <c r="D360" s="13" t="s">
        <v>166</v>
      </c>
      <c r="E360" s="13" t="s">
        <v>1374</v>
      </c>
      <c r="F360" s="13"/>
      <c r="G360" s="13"/>
      <c r="H360" s="31"/>
      <c r="I360" s="33" t="n">
        <v>45972.6483896296</v>
      </c>
      <c r="J360" s="33" t="n">
        <v>45972.6483896296</v>
      </c>
      <c r="K360" s="13" t="s">
        <v>153</v>
      </c>
      <c r="L360" s="13"/>
      <c r="M360" s="13" t="s">
        <v>1375</v>
      </c>
      <c r="N360" s="33" t="n">
        <v>46308.7264460648</v>
      </c>
    </row>
    <row r="361" customFormat="false" ht="15" hidden="false" customHeight="false" outlineLevel="0" collapsed="false">
      <c r="A361" s="13" t="s">
        <v>1376</v>
      </c>
      <c r="B361" s="13" t="s">
        <v>57</v>
      </c>
      <c r="C361" s="13" t="s">
        <v>185</v>
      </c>
      <c r="D361" s="13" t="s">
        <v>166</v>
      </c>
      <c r="E361" s="13" t="s">
        <v>981</v>
      </c>
      <c r="F361" s="13"/>
      <c r="G361" s="13"/>
      <c r="H361" s="31"/>
      <c r="I361" s="33" t="n">
        <v>45972.6467115509</v>
      </c>
      <c r="J361" s="33" t="n">
        <v>45972.6467115509</v>
      </c>
      <c r="K361" s="13" t="s">
        <v>153</v>
      </c>
      <c r="L361" s="13"/>
      <c r="M361" s="13" t="s">
        <v>1377</v>
      </c>
      <c r="N361" s="33" t="n">
        <v>46308.7264460648</v>
      </c>
    </row>
    <row r="362" customFormat="false" ht="15" hidden="false" customHeight="false" outlineLevel="0" collapsed="false">
      <c r="A362" s="13" t="s">
        <v>1378</v>
      </c>
      <c r="B362" s="13" t="s">
        <v>57</v>
      </c>
      <c r="C362" s="13" t="s">
        <v>185</v>
      </c>
      <c r="D362" s="13" t="s">
        <v>166</v>
      </c>
      <c r="E362" s="13" t="s">
        <v>981</v>
      </c>
      <c r="F362" s="13"/>
      <c r="G362" s="13"/>
      <c r="H362" s="31"/>
      <c r="I362" s="33" t="n">
        <v>45972.6317367245</v>
      </c>
      <c r="J362" s="33" t="n">
        <v>45972.6317367245</v>
      </c>
      <c r="K362" s="13" t="s">
        <v>153</v>
      </c>
      <c r="L362" s="13"/>
      <c r="M362" s="13" t="s">
        <v>1379</v>
      </c>
      <c r="N362" s="33" t="n">
        <v>46308.7264460648</v>
      </c>
    </row>
    <row r="363" customFormat="false" ht="15" hidden="false" customHeight="false" outlineLevel="0" collapsed="false">
      <c r="A363" s="13" t="s">
        <v>1380</v>
      </c>
      <c r="B363" s="13" t="s">
        <v>57</v>
      </c>
      <c r="C363" s="13" t="s">
        <v>1381</v>
      </c>
      <c r="D363" s="13" t="s">
        <v>166</v>
      </c>
      <c r="E363" s="13" t="s">
        <v>95</v>
      </c>
      <c r="F363" s="13"/>
      <c r="G363" s="13"/>
      <c r="H363" s="31"/>
      <c r="I363" s="33" t="n">
        <v>45972.4096143634</v>
      </c>
      <c r="J363" s="33" t="n">
        <v>45972.4096143634</v>
      </c>
      <c r="K363" s="13" t="s">
        <v>153</v>
      </c>
      <c r="L363" s="13"/>
      <c r="M363" s="13" t="s">
        <v>1382</v>
      </c>
      <c r="N363" s="33" t="n">
        <v>46308.7264460648</v>
      </c>
    </row>
    <row r="364" customFormat="false" ht="15" hidden="false" customHeight="false" outlineLevel="0" collapsed="false">
      <c r="A364" s="13" t="s">
        <v>1383</v>
      </c>
      <c r="B364" s="13" t="s">
        <v>57</v>
      </c>
      <c r="C364" s="13" t="s">
        <v>1278</v>
      </c>
      <c r="D364" s="13" t="s">
        <v>166</v>
      </c>
      <c r="E364" s="13"/>
      <c r="F364" s="13"/>
      <c r="G364" s="13"/>
      <c r="H364" s="31"/>
      <c r="I364" s="33" t="n">
        <v>45966.7122798843</v>
      </c>
      <c r="J364" s="33" t="n">
        <v>45966.7122798843</v>
      </c>
      <c r="K364" s="13" t="s">
        <v>153</v>
      </c>
      <c r="L364" s="13"/>
      <c r="M364" s="13" t="s">
        <v>1384</v>
      </c>
      <c r="N364" s="33" t="n">
        <v>46308.7264460648</v>
      </c>
    </row>
    <row r="365" customFormat="false" ht="15" hidden="false" customHeight="false" outlineLevel="0" collapsed="false">
      <c r="A365" s="13" t="s">
        <v>1385</v>
      </c>
      <c r="B365" s="13" t="s">
        <v>57</v>
      </c>
      <c r="C365" s="13" t="s">
        <v>1386</v>
      </c>
      <c r="D365" s="13" t="s">
        <v>166</v>
      </c>
      <c r="E365" s="13" t="s">
        <v>1387</v>
      </c>
      <c r="F365" s="13"/>
      <c r="G365" s="13" t="s">
        <v>189</v>
      </c>
      <c r="H365" s="31"/>
      <c r="I365" s="33" t="n">
        <v>45966.7122798843</v>
      </c>
      <c r="J365" s="33" t="n">
        <v>45966.7122798843</v>
      </c>
      <c r="K365" s="13" t="s">
        <v>153</v>
      </c>
      <c r="L365" s="13"/>
      <c r="M365" s="13" t="s">
        <v>1388</v>
      </c>
      <c r="N365" s="33" t="n">
        <v>46308.7264460648</v>
      </c>
    </row>
    <row r="366" customFormat="false" ht="15" hidden="false" customHeight="false" outlineLevel="0" collapsed="false">
      <c r="A366" s="13" t="s">
        <v>1389</v>
      </c>
      <c r="B366" s="13" t="s">
        <v>57</v>
      </c>
      <c r="C366" s="13" t="s">
        <v>1390</v>
      </c>
      <c r="D366" s="13" t="s">
        <v>166</v>
      </c>
      <c r="E366" s="13" t="s">
        <v>1391</v>
      </c>
      <c r="F366" s="13"/>
      <c r="G366" s="13"/>
      <c r="H366" s="31"/>
      <c r="I366" s="33" t="n">
        <v>45965.3875557292</v>
      </c>
      <c r="J366" s="33" t="n">
        <v>45965.3875557292</v>
      </c>
      <c r="K366" s="13" t="s">
        <v>153</v>
      </c>
      <c r="L366" s="13"/>
      <c r="M366" s="13" t="s">
        <v>1392</v>
      </c>
      <c r="N366" s="33" t="n">
        <v>46308.7264460648</v>
      </c>
    </row>
    <row r="367" customFormat="false" ht="15" hidden="false" customHeight="false" outlineLevel="0" collapsed="false">
      <c r="A367" s="13" t="s">
        <v>1393</v>
      </c>
      <c r="B367" s="13" t="s">
        <v>57</v>
      </c>
      <c r="C367" s="13" t="s">
        <v>1394</v>
      </c>
      <c r="D367" s="13" t="s">
        <v>166</v>
      </c>
      <c r="E367" s="13" t="s">
        <v>95</v>
      </c>
      <c r="F367" s="13"/>
      <c r="G367" s="13" t="s">
        <v>207</v>
      </c>
      <c r="H367" s="31"/>
      <c r="I367" s="33" t="n">
        <v>45961.4638696644</v>
      </c>
      <c r="J367" s="33" t="n">
        <v>45961.4638696644</v>
      </c>
      <c r="K367" s="13" t="s">
        <v>153</v>
      </c>
      <c r="L367" s="13"/>
      <c r="M367" s="13" t="s">
        <v>1395</v>
      </c>
      <c r="N367" s="33" t="n">
        <v>46308.7264460648</v>
      </c>
    </row>
    <row r="368" customFormat="false" ht="15" hidden="false" customHeight="false" outlineLevel="0" collapsed="false">
      <c r="A368" s="13" t="s">
        <v>1396</v>
      </c>
      <c r="B368" s="13" t="s">
        <v>57</v>
      </c>
      <c r="C368" s="13" t="s">
        <v>185</v>
      </c>
      <c r="D368" s="13" t="s">
        <v>166</v>
      </c>
      <c r="E368" s="13" t="s">
        <v>981</v>
      </c>
      <c r="F368" s="13"/>
      <c r="G368" s="13"/>
      <c r="H368" s="31"/>
      <c r="I368" s="33" t="n">
        <v>45960.6857750232</v>
      </c>
      <c r="J368" s="33" t="n">
        <v>45960.6857750232</v>
      </c>
      <c r="K368" s="13" t="s">
        <v>153</v>
      </c>
      <c r="L368" s="13"/>
      <c r="M368" s="13" t="s">
        <v>1397</v>
      </c>
      <c r="N368" s="33" t="n">
        <v>46308.7264460648</v>
      </c>
    </row>
    <row r="369" customFormat="false" ht="15" hidden="false" customHeight="false" outlineLevel="0" collapsed="false">
      <c r="A369" s="13" t="s">
        <v>1398</v>
      </c>
      <c r="B369" s="13" t="s">
        <v>57</v>
      </c>
      <c r="C369" s="13" t="s">
        <v>1193</v>
      </c>
      <c r="D369" s="13" t="s">
        <v>166</v>
      </c>
      <c r="E369" s="13" t="s">
        <v>981</v>
      </c>
      <c r="F369" s="13"/>
      <c r="G369" s="13"/>
      <c r="H369" s="31"/>
      <c r="I369" s="33" t="n">
        <v>45960.4667558796</v>
      </c>
      <c r="J369" s="33" t="n">
        <v>45960.4667558796</v>
      </c>
      <c r="K369" s="13" t="s">
        <v>153</v>
      </c>
      <c r="L369" s="13"/>
      <c r="M369" s="13" t="s">
        <v>1399</v>
      </c>
      <c r="N369" s="33" t="n">
        <v>46308.7264460648</v>
      </c>
    </row>
    <row r="370" customFormat="false" ht="15" hidden="false" customHeight="false" outlineLevel="0" collapsed="false">
      <c r="A370" s="13" t="s">
        <v>1400</v>
      </c>
      <c r="B370" s="13" t="s">
        <v>57</v>
      </c>
      <c r="C370" s="13" t="s">
        <v>152</v>
      </c>
      <c r="D370" s="13" t="s">
        <v>166</v>
      </c>
      <c r="E370" s="13"/>
      <c r="F370" s="13"/>
      <c r="G370" s="13"/>
      <c r="H370" s="31"/>
      <c r="I370" s="33" t="n">
        <v>45960.3861448727</v>
      </c>
      <c r="J370" s="33" t="n">
        <v>45960.3861448727</v>
      </c>
      <c r="K370" s="13" t="s">
        <v>153</v>
      </c>
      <c r="L370" s="13"/>
      <c r="M370" s="13" t="s">
        <v>1401</v>
      </c>
      <c r="N370" s="33" t="n">
        <v>46308.7264460648</v>
      </c>
    </row>
    <row r="371" customFormat="false" ht="15" hidden="false" customHeight="false" outlineLevel="0" collapsed="false">
      <c r="A371" s="13" t="s">
        <v>1402</v>
      </c>
      <c r="B371" s="13" t="s">
        <v>57</v>
      </c>
      <c r="C371" s="13" t="s">
        <v>852</v>
      </c>
      <c r="D371" s="13" t="s">
        <v>166</v>
      </c>
      <c r="E371" s="13"/>
      <c r="F371" s="13"/>
      <c r="G371" s="13"/>
      <c r="H371" s="31"/>
      <c r="I371" s="33" t="n">
        <v>45960.3861448727</v>
      </c>
      <c r="J371" s="33" t="n">
        <v>45960.3861448727</v>
      </c>
      <c r="K371" s="13" t="s">
        <v>153</v>
      </c>
      <c r="L371" s="13"/>
      <c r="M371" s="13" t="s">
        <v>1403</v>
      </c>
      <c r="N371" s="33" t="n">
        <v>46308.7264460648</v>
      </c>
    </row>
    <row r="372" customFormat="false" ht="15" hidden="false" customHeight="false" outlineLevel="0" collapsed="false">
      <c r="A372" s="13" t="s">
        <v>1404</v>
      </c>
      <c r="B372" s="13" t="s">
        <v>57</v>
      </c>
      <c r="C372" s="13" t="s">
        <v>1405</v>
      </c>
      <c r="D372" s="13" t="s">
        <v>166</v>
      </c>
      <c r="E372" s="13" t="s">
        <v>1406</v>
      </c>
      <c r="F372" s="13"/>
      <c r="G372" s="13" t="s">
        <v>189</v>
      </c>
      <c r="H372" s="31"/>
      <c r="I372" s="33" t="n">
        <v>45960.3861448727</v>
      </c>
      <c r="J372" s="33" t="n">
        <v>45960.3861448727</v>
      </c>
      <c r="K372" s="13" t="s">
        <v>153</v>
      </c>
      <c r="L372" s="13"/>
      <c r="M372" s="13" t="s">
        <v>1407</v>
      </c>
      <c r="N372" s="33" t="n">
        <v>46308.7264460648</v>
      </c>
    </row>
    <row r="373" customFormat="false" ht="15" hidden="false" customHeight="false" outlineLevel="0" collapsed="false">
      <c r="A373" s="13" t="s">
        <v>1408</v>
      </c>
      <c r="B373" s="13" t="s">
        <v>57</v>
      </c>
      <c r="C373" s="13" t="s">
        <v>852</v>
      </c>
      <c r="D373" s="13" t="s">
        <v>166</v>
      </c>
      <c r="E373" s="13"/>
      <c r="F373" s="13"/>
      <c r="G373" s="13"/>
      <c r="H373" s="31"/>
      <c r="I373" s="33" t="n">
        <v>45960.3727502778</v>
      </c>
      <c r="J373" s="33" t="n">
        <v>45960.3727502778</v>
      </c>
      <c r="K373" s="13" t="s">
        <v>153</v>
      </c>
      <c r="L373" s="13"/>
      <c r="M373" s="13" t="s">
        <v>1409</v>
      </c>
      <c r="N373" s="33" t="n">
        <v>46308.7264460648</v>
      </c>
    </row>
    <row r="374" customFormat="false" ht="15" hidden="false" customHeight="false" outlineLevel="0" collapsed="false">
      <c r="A374" s="13" t="s">
        <v>1410</v>
      </c>
      <c r="B374" s="13" t="s">
        <v>57</v>
      </c>
      <c r="C374" s="13" t="s">
        <v>1411</v>
      </c>
      <c r="D374" s="13" t="s">
        <v>166</v>
      </c>
      <c r="E374" s="13" t="s">
        <v>95</v>
      </c>
      <c r="F374" s="13"/>
      <c r="G374" s="13" t="s">
        <v>207</v>
      </c>
      <c r="H374" s="31"/>
      <c r="I374" s="33" t="n">
        <v>45960.3727502778</v>
      </c>
      <c r="J374" s="33" t="n">
        <v>45960.3727502778</v>
      </c>
      <c r="K374" s="13" t="s">
        <v>153</v>
      </c>
      <c r="L374" s="13"/>
      <c r="M374" s="13" t="s">
        <v>1412</v>
      </c>
      <c r="N374" s="33" t="n">
        <v>46308.7264460648</v>
      </c>
    </row>
    <row r="375" customFormat="false" ht="15" hidden="false" customHeight="false" outlineLevel="0" collapsed="false">
      <c r="A375" s="13" t="s">
        <v>1413</v>
      </c>
      <c r="B375" s="13" t="s">
        <v>57</v>
      </c>
      <c r="C375" s="13" t="s">
        <v>258</v>
      </c>
      <c r="D375" s="13" t="s">
        <v>166</v>
      </c>
      <c r="E375" s="13" t="s">
        <v>1414</v>
      </c>
      <c r="F375" s="13"/>
      <c r="G375" s="13"/>
      <c r="H375" s="31"/>
      <c r="I375" s="33" t="n">
        <v>45959.6989032407</v>
      </c>
      <c r="J375" s="33" t="n">
        <v>45959.6989032407</v>
      </c>
      <c r="K375" s="13" t="s">
        <v>153</v>
      </c>
      <c r="L375" s="13"/>
      <c r="M375" s="13" t="s">
        <v>1415</v>
      </c>
      <c r="N375" s="33" t="n">
        <v>46308.7264460648</v>
      </c>
    </row>
    <row r="376" customFormat="false" ht="15" hidden="false" customHeight="false" outlineLevel="0" collapsed="false">
      <c r="A376" s="13" t="s">
        <v>1416</v>
      </c>
      <c r="B376" s="13" t="s">
        <v>57</v>
      </c>
      <c r="C376" s="13" t="s">
        <v>702</v>
      </c>
      <c r="D376" s="13" t="s">
        <v>166</v>
      </c>
      <c r="E376" s="13"/>
      <c r="F376" s="13"/>
      <c r="G376" s="13"/>
      <c r="H376" s="31"/>
      <c r="I376" s="33" t="n">
        <v>45959.6989032407</v>
      </c>
      <c r="J376" s="33" t="n">
        <v>45959.6989032407</v>
      </c>
      <c r="K376" s="13" t="s">
        <v>153</v>
      </c>
      <c r="L376" s="13"/>
      <c r="M376" s="13" t="s">
        <v>1417</v>
      </c>
      <c r="N376" s="33" t="n">
        <v>46308.7264460648</v>
      </c>
    </row>
    <row r="377" customFormat="false" ht="15" hidden="false" customHeight="false" outlineLevel="0" collapsed="false">
      <c r="A377" s="13" t="s">
        <v>1418</v>
      </c>
      <c r="B377" s="13" t="s">
        <v>57</v>
      </c>
      <c r="C377" s="13" t="s">
        <v>1265</v>
      </c>
      <c r="D377" s="13" t="s">
        <v>166</v>
      </c>
      <c r="E377" s="13" t="s">
        <v>853</v>
      </c>
      <c r="F377" s="13"/>
      <c r="G377" s="13"/>
      <c r="H377" s="31"/>
      <c r="I377" s="33" t="n">
        <v>45959.6989032407</v>
      </c>
      <c r="J377" s="33" t="n">
        <v>45959.6989032407</v>
      </c>
      <c r="K377" s="13" t="s">
        <v>153</v>
      </c>
      <c r="L377" s="13"/>
      <c r="M377" s="13" t="s">
        <v>1419</v>
      </c>
      <c r="N377" s="33" t="n">
        <v>46308.7264460648</v>
      </c>
    </row>
    <row r="378" customFormat="false" ht="15" hidden="false" customHeight="false" outlineLevel="0" collapsed="false">
      <c r="A378" s="13" t="s">
        <v>1420</v>
      </c>
      <c r="B378" s="13" t="s">
        <v>57</v>
      </c>
      <c r="C378" s="13" t="s">
        <v>152</v>
      </c>
      <c r="D378" s="13" t="s">
        <v>166</v>
      </c>
      <c r="E378" s="13"/>
      <c r="F378" s="13"/>
      <c r="G378" s="13"/>
      <c r="H378" s="31"/>
      <c r="I378" s="33" t="n">
        <v>45959.6989032407</v>
      </c>
      <c r="J378" s="33" t="n">
        <v>45959.6989032407</v>
      </c>
      <c r="K378" s="13" t="s">
        <v>153</v>
      </c>
      <c r="L378" s="13"/>
      <c r="M378" s="13" t="s">
        <v>1421</v>
      </c>
      <c r="N378" s="33" t="n">
        <v>46308.7264460648</v>
      </c>
    </row>
    <row r="379" customFormat="false" ht="15" hidden="false" customHeight="false" outlineLevel="0" collapsed="false">
      <c r="A379" s="13" t="s">
        <v>1422</v>
      </c>
      <c r="B379" s="13" t="s">
        <v>57</v>
      </c>
      <c r="C379" s="13" t="s">
        <v>852</v>
      </c>
      <c r="D379" s="13" t="s">
        <v>166</v>
      </c>
      <c r="E379" s="13"/>
      <c r="F379" s="13"/>
      <c r="G379" s="13"/>
      <c r="H379" s="31"/>
      <c r="I379" s="33" t="n">
        <v>45959.6989032407</v>
      </c>
      <c r="J379" s="33" t="n">
        <v>45959.6989032407</v>
      </c>
      <c r="K379" s="13" t="s">
        <v>153</v>
      </c>
      <c r="L379" s="13"/>
      <c r="M379" s="13" t="s">
        <v>1423</v>
      </c>
      <c r="N379" s="33" t="n">
        <v>46308.7264460648</v>
      </c>
    </row>
    <row r="380" customFormat="false" ht="15" hidden="false" customHeight="false" outlineLevel="0" collapsed="false">
      <c r="A380" s="13" t="s">
        <v>1424</v>
      </c>
      <c r="B380" s="13" t="s">
        <v>57</v>
      </c>
      <c r="C380" s="13" t="s">
        <v>1425</v>
      </c>
      <c r="D380" s="13" t="s">
        <v>166</v>
      </c>
      <c r="E380" s="13" t="s">
        <v>977</v>
      </c>
      <c r="F380" s="13" t="s">
        <v>736</v>
      </c>
      <c r="G380" s="13"/>
      <c r="H380" s="31"/>
      <c r="I380" s="33" t="n">
        <v>45959.6989032407</v>
      </c>
      <c r="J380" s="33" t="n">
        <v>45959.6989032407</v>
      </c>
      <c r="K380" s="13" t="s">
        <v>153</v>
      </c>
      <c r="L380" s="13" t="s">
        <v>117</v>
      </c>
      <c r="M380" s="13" t="s">
        <v>1426</v>
      </c>
      <c r="N380" s="33" t="n">
        <v>46308.7264460648</v>
      </c>
    </row>
    <row r="381" customFormat="false" ht="15" hidden="false" customHeight="false" outlineLevel="0" collapsed="false">
      <c r="A381" s="13" t="s">
        <v>1427</v>
      </c>
      <c r="B381" s="13" t="s">
        <v>57</v>
      </c>
      <c r="C381" s="13" t="s">
        <v>1428</v>
      </c>
      <c r="D381" s="13" t="s">
        <v>166</v>
      </c>
      <c r="E381" s="13" t="s">
        <v>1028</v>
      </c>
      <c r="F381" s="13"/>
      <c r="G381" s="13"/>
      <c r="H381" s="31"/>
      <c r="I381" s="33" t="n">
        <v>45957.4699738542</v>
      </c>
      <c r="J381" s="33" t="n">
        <v>45957.4699738542</v>
      </c>
      <c r="K381" s="13" t="s">
        <v>153</v>
      </c>
      <c r="L381" s="13"/>
      <c r="M381" s="13" t="s">
        <v>1429</v>
      </c>
      <c r="N381" s="33" t="n">
        <v>46308.7264460648</v>
      </c>
    </row>
    <row r="382" customFormat="false" ht="15" hidden="false" customHeight="false" outlineLevel="0" collapsed="false">
      <c r="A382" s="13" t="s">
        <v>1430</v>
      </c>
      <c r="B382" s="13" t="s">
        <v>57</v>
      </c>
      <c r="C382" s="13" t="s">
        <v>1431</v>
      </c>
      <c r="D382" s="13" t="s">
        <v>166</v>
      </c>
      <c r="E382" s="13" t="s">
        <v>1432</v>
      </c>
      <c r="F382" s="13"/>
      <c r="G382" s="13"/>
      <c r="H382" s="31"/>
      <c r="I382" s="33" t="n">
        <v>45957.3554383681</v>
      </c>
      <c r="J382" s="33" t="n">
        <v>45957.3554383681</v>
      </c>
      <c r="K382" s="13" t="s">
        <v>153</v>
      </c>
      <c r="L382" s="13"/>
      <c r="M382" s="13" t="s">
        <v>1433</v>
      </c>
      <c r="N382" s="33" t="n">
        <v>46308.7264460648</v>
      </c>
    </row>
    <row r="383" customFormat="false" ht="15" hidden="false" customHeight="false" outlineLevel="0" collapsed="false">
      <c r="A383" s="13" t="s">
        <v>1434</v>
      </c>
      <c r="B383" s="13" t="s">
        <v>57</v>
      </c>
      <c r="C383" s="13" t="s">
        <v>1435</v>
      </c>
      <c r="D383" s="13" t="s">
        <v>166</v>
      </c>
      <c r="E383" s="13"/>
      <c r="F383" s="13"/>
      <c r="G383" s="13"/>
      <c r="H383" s="31"/>
      <c r="I383" s="33" t="n">
        <v>45953.6052332176</v>
      </c>
      <c r="J383" s="33" t="n">
        <v>45953.6049890509</v>
      </c>
      <c r="K383" s="13" t="s">
        <v>153</v>
      </c>
      <c r="L383" s="13"/>
      <c r="M383" s="13" t="s">
        <v>1436</v>
      </c>
      <c r="N383" s="33" t="n">
        <v>46308.7264460648</v>
      </c>
    </row>
    <row r="384" customFormat="false" ht="15" hidden="false" customHeight="false" outlineLevel="0" collapsed="false">
      <c r="A384" s="13" t="s">
        <v>1437</v>
      </c>
      <c r="B384" s="13" t="s">
        <v>57</v>
      </c>
      <c r="C384" s="13" t="s">
        <v>185</v>
      </c>
      <c r="D384" s="13" t="s">
        <v>166</v>
      </c>
      <c r="E384" s="13" t="s">
        <v>981</v>
      </c>
      <c r="F384" s="13"/>
      <c r="G384" s="13"/>
      <c r="H384" s="31"/>
      <c r="I384" s="33" t="n">
        <v>45952.714333669</v>
      </c>
      <c r="J384" s="33" t="n">
        <v>45952.714333669</v>
      </c>
      <c r="K384" s="13" t="s">
        <v>153</v>
      </c>
      <c r="L384" s="13"/>
      <c r="M384" s="13" t="s">
        <v>1438</v>
      </c>
      <c r="N384" s="33" t="n">
        <v>46308.7264460648</v>
      </c>
    </row>
    <row r="385" customFormat="false" ht="15" hidden="false" customHeight="false" outlineLevel="0" collapsed="false">
      <c r="A385" s="13" t="s">
        <v>1439</v>
      </c>
      <c r="B385" s="13" t="s">
        <v>57</v>
      </c>
      <c r="C385" s="13" t="s">
        <v>185</v>
      </c>
      <c r="D385" s="13" t="s">
        <v>166</v>
      </c>
      <c r="E385" s="13" t="s">
        <v>981</v>
      </c>
      <c r="F385" s="13"/>
      <c r="G385" s="13"/>
      <c r="H385" s="31"/>
      <c r="I385" s="33" t="n">
        <v>45952.7141869676</v>
      </c>
      <c r="J385" s="33" t="n">
        <v>45952.7141869676</v>
      </c>
      <c r="K385" s="13" t="s">
        <v>153</v>
      </c>
      <c r="L385" s="13"/>
      <c r="M385" s="13" t="s">
        <v>1440</v>
      </c>
      <c r="N385" s="33" t="n">
        <v>46308.7264460648</v>
      </c>
    </row>
    <row r="386" customFormat="false" ht="15" hidden="false" customHeight="false" outlineLevel="0" collapsed="false">
      <c r="A386" s="13" t="s">
        <v>1441</v>
      </c>
      <c r="B386" s="13" t="s">
        <v>57</v>
      </c>
      <c r="C386" s="13" t="s">
        <v>185</v>
      </c>
      <c r="D386" s="13" t="s">
        <v>166</v>
      </c>
      <c r="E386" s="13" t="s">
        <v>981</v>
      </c>
      <c r="F386" s="13"/>
      <c r="G386" s="13"/>
      <c r="H386" s="31"/>
      <c r="I386" s="33" t="n">
        <v>45947.6982433333</v>
      </c>
      <c r="J386" s="33" t="n">
        <v>45947.6982433333</v>
      </c>
      <c r="K386" s="13" t="s">
        <v>153</v>
      </c>
      <c r="L386" s="13"/>
      <c r="M386" s="13" t="s">
        <v>1442</v>
      </c>
      <c r="N386" s="33" t="n">
        <v>46308.7264460648</v>
      </c>
    </row>
    <row r="387" customFormat="false" ht="15" hidden="false" customHeight="false" outlineLevel="0" collapsed="false">
      <c r="A387" s="13" t="s">
        <v>1443</v>
      </c>
      <c r="B387" s="13" t="s">
        <v>57</v>
      </c>
      <c r="C387" s="13" t="s">
        <v>1444</v>
      </c>
      <c r="D387" s="13" t="s">
        <v>166</v>
      </c>
      <c r="E387" s="13" t="s">
        <v>1445</v>
      </c>
      <c r="F387" s="13"/>
      <c r="G387" s="13"/>
      <c r="H387" s="31"/>
      <c r="I387" s="33" t="n">
        <v>45947.6924626736</v>
      </c>
      <c r="J387" s="33" t="n">
        <v>45947.6924626736</v>
      </c>
      <c r="K387" s="13" t="s">
        <v>153</v>
      </c>
      <c r="L387" s="13"/>
      <c r="M387" s="13" t="s">
        <v>1446</v>
      </c>
      <c r="N387" s="33" t="n">
        <v>46308.7264460648</v>
      </c>
    </row>
    <row r="388" customFormat="false" ht="15" hidden="false" customHeight="false" outlineLevel="0" collapsed="false">
      <c r="A388" s="13" t="s">
        <v>1447</v>
      </c>
      <c r="B388" s="13" t="s">
        <v>57</v>
      </c>
      <c r="C388" s="13" t="s">
        <v>316</v>
      </c>
      <c r="D388" s="13" t="s">
        <v>166</v>
      </c>
      <c r="E388" s="13" t="s">
        <v>1028</v>
      </c>
      <c r="F388" s="13"/>
      <c r="G388" s="13"/>
      <c r="H388" s="31"/>
      <c r="I388" s="33" t="n">
        <v>45946.477048831</v>
      </c>
      <c r="J388" s="33" t="n">
        <v>45946.4738791204</v>
      </c>
      <c r="K388" s="13" t="s">
        <v>153</v>
      </c>
      <c r="L388" s="13"/>
      <c r="M388" s="13" t="s">
        <v>1448</v>
      </c>
      <c r="N388" s="33" t="n">
        <v>46308.7264460648</v>
      </c>
    </row>
    <row r="389" customFormat="false" ht="15" hidden="false" customHeight="false" outlineLevel="0" collapsed="false">
      <c r="A389" s="13" t="s">
        <v>1449</v>
      </c>
      <c r="B389" s="13" t="s">
        <v>57</v>
      </c>
      <c r="C389" s="13" t="s">
        <v>1450</v>
      </c>
      <c r="D389" s="13" t="s">
        <v>166</v>
      </c>
      <c r="E389" s="13" t="s">
        <v>1451</v>
      </c>
      <c r="F389" s="13"/>
      <c r="G389" s="13"/>
      <c r="H389" s="31"/>
      <c r="I389" s="33" t="n">
        <v>45946.4769967477</v>
      </c>
      <c r="J389" s="33" t="n">
        <v>45946.4769967477</v>
      </c>
      <c r="K389" s="13" t="s">
        <v>153</v>
      </c>
      <c r="L389" s="13"/>
      <c r="M389" s="13" t="s">
        <v>1452</v>
      </c>
      <c r="N389" s="33" t="n">
        <v>46308.7264460648</v>
      </c>
    </row>
    <row r="390" customFormat="false" ht="15" hidden="false" customHeight="false" outlineLevel="0" collapsed="false">
      <c r="A390" s="13" t="s">
        <v>1453</v>
      </c>
      <c r="B390" s="13" t="s">
        <v>57</v>
      </c>
      <c r="C390" s="13" t="s">
        <v>1193</v>
      </c>
      <c r="D390" s="13" t="s">
        <v>166</v>
      </c>
      <c r="E390" s="13" t="s">
        <v>981</v>
      </c>
      <c r="F390" s="13"/>
      <c r="G390" s="13"/>
      <c r="H390" s="31"/>
      <c r="I390" s="33" t="n">
        <v>45946.3690983333</v>
      </c>
      <c r="J390" s="33" t="n">
        <v>45946.3690983333</v>
      </c>
      <c r="K390" s="13" t="s">
        <v>153</v>
      </c>
      <c r="L390" s="13"/>
      <c r="M390" s="13" t="s">
        <v>1454</v>
      </c>
      <c r="N390" s="33" t="n">
        <v>46308.7264460648</v>
      </c>
    </row>
    <row r="391" customFormat="false" ht="15" hidden="false" customHeight="false" outlineLevel="0" collapsed="false">
      <c r="A391" s="13" t="s">
        <v>1455</v>
      </c>
      <c r="B391" s="13" t="s">
        <v>57</v>
      </c>
      <c r="C391" s="13" t="s">
        <v>1299</v>
      </c>
      <c r="D391" s="13" t="s">
        <v>166</v>
      </c>
      <c r="E391" s="13"/>
      <c r="F391" s="13"/>
      <c r="G391" s="13"/>
      <c r="H391" s="31"/>
      <c r="I391" s="33" t="n">
        <v>45946.3690983333</v>
      </c>
      <c r="J391" s="33" t="n">
        <v>45946.3690983333</v>
      </c>
      <c r="K391" s="13" t="s">
        <v>153</v>
      </c>
      <c r="L391" s="13"/>
      <c r="M391" s="13" t="s">
        <v>1456</v>
      </c>
      <c r="N391" s="33" t="n">
        <v>46308.7264460648</v>
      </c>
    </row>
    <row r="392" customFormat="false" ht="15" hidden="false" customHeight="false" outlineLevel="0" collapsed="false">
      <c r="A392" s="13" t="s">
        <v>1457</v>
      </c>
      <c r="B392" s="13" t="s">
        <v>57</v>
      </c>
      <c r="C392" s="13" t="s">
        <v>1458</v>
      </c>
      <c r="D392" s="13" t="s">
        <v>166</v>
      </c>
      <c r="E392" s="13" t="s">
        <v>1459</v>
      </c>
      <c r="F392" s="13"/>
      <c r="G392" s="13"/>
      <c r="H392" s="31"/>
      <c r="I392" s="33" t="n">
        <v>45946.3690983333</v>
      </c>
      <c r="J392" s="33" t="n">
        <v>45946.3690983333</v>
      </c>
      <c r="K392" s="13" t="s">
        <v>153</v>
      </c>
      <c r="L392" s="13"/>
      <c r="M392" s="13" t="s">
        <v>1460</v>
      </c>
      <c r="N392" s="33" t="n">
        <v>46308.7264460648</v>
      </c>
    </row>
    <row r="393" customFormat="false" ht="15" hidden="false" customHeight="false" outlineLevel="0" collapsed="false">
      <c r="A393" s="13" t="s">
        <v>1461</v>
      </c>
      <c r="B393" s="13" t="s">
        <v>57</v>
      </c>
      <c r="C393" s="13" t="s">
        <v>185</v>
      </c>
      <c r="D393" s="13" t="s">
        <v>166</v>
      </c>
      <c r="E393" s="13" t="s">
        <v>981</v>
      </c>
      <c r="F393" s="13"/>
      <c r="G393" s="13"/>
      <c r="H393" s="31"/>
      <c r="I393" s="33" t="n">
        <v>45945.6575290972</v>
      </c>
      <c r="J393" s="33" t="n">
        <v>45945.6575290972</v>
      </c>
      <c r="K393" s="13" t="s">
        <v>153</v>
      </c>
      <c r="L393" s="13"/>
      <c r="M393" s="13" t="s">
        <v>1462</v>
      </c>
      <c r="N393" s="33" t="n">
        <v>46308.7264460648</v>
      </c>
    </row>
    <row r="394" customFormat="false" ht="15" hidden="false" customHeight="false" outlineLevel="0" collapsed="false">
      <c r="A394" s="13" t="s">
        <v>1463</v>
      </c>
      <c r="B394" s="13" t="s">
        <v>57</v>
      </c>
      <c r="C394" s="13" t="s">
        <v>185</v>
      </c>
      <c r="D394" s="13" t="s">
        <v>166</v>
      </c>
      <c r="E394" s="13" t="s">
        <v>981</v>
      </c>
      <c r="F394" s="13"/>
      <c r="G394" s="13"/>
      <c r="H394" s="31"/>
      <c r="I394" s="33" t="n">
        <v>45945.6574193287</v>
      </c>
      <c r="J394" s="33" t="n">
        <v>45945.6574193287</v>
      </c>
      <c r="K394" s="13" t="s">
        <v>153</v>
      </c>
      <c r="L394" s="13"/>
      <c r="M394" s="13" t="s">
        <v>1464</v>
      </c>
      <c r="N394" s="33" t="n">
        <v>46308.7264460648</v>
      </c>
    </row>
    <row r="395" customFormat="false" ht="15" hidden="false" customHeight="false" outlineLevel="0" collapsed="false">
      <c r="A395" s="13" t="s">
        <v>1465</v>
      </c>
      <c r="B395" s="13" t="s">
        <v>57</v>
      </c>
      <c r="C395" s="13" t="s">
        <v>185</v>
      </c>
      <c r="D395" s="13" t="s">
        <v>166</v>
      </c>
      <c r="E395" s="13" t="s">
        <v>981</v>
      </c>
      <c r="F395" s="13"/>
      <c r="G395" s="13"/>
      <c r="H395" s="31"/>
      <c r="I395" s="33" t="n">
        <v>45945.6573361921</v>
      </c>
      <c r="J395" s="33" t="n">
        <v>45945.6573361921</v>
      </c>
      <c r="K395" s="13" t="s">
        <v>153</v>
      </c>
      <c r="L395" s="13"/>
      <c r="M395" s="13" t="s">
        <v>1466</v>
      </c>
      <c r="N395" s="33" t="n">
        <v>46308.7264460648</v>
      </c>
    </row>
    <row r="396" customFormat="false" ht="15" hidden="false" customHeight="false" outlineLevel="0" collapsed="false">
      <c r="A396" s="13" t="s">
        <v>1467</v>
      </c>
      <c r="B396" s="13" t="s">
        <v>57</v>
      </c>
      <c r="C396" s="13" t="s">
        <v>152</v>
      </c>
      <c r="D396" s="13" t="s">
        <v>166</v>
      </c>
      <c r="E396" s="13" t="s">
        <v>1468</v>
      </c>
      <c r="F396" s="13"/>
      <c r="G396" s="13"/>
      <c r="H396" s="31"/>
      <c r="I396" s="33" t="n">
        <v>45944.7135007755</v>
      </c>
      <c r="J396" s="33" t="n">
        <v>45944.7135007755</v>
      </c>
      <c r="K396" s="13" t="s">
        <v>153</v>
      </c>
      <c r="L396" s="13"/>
      <c r="M396" s="13" t="s">
        <v>1469</v>
      </c>
      <c r="N396" s="33" t="n">
        <v>46308.7264460648</v>
      </c>
    </row>
    <row r="397" customFormat="false" ht="15" hidden="false" customHeight="false" outlineLevel="0" collapsed="false">
      <c r="A397" s="13" t="s">
        <v>1470</v>
      </c>
      <c r="B397" s="13" t="s">
        <v>57</v>
      </c>
      <c r="C397" s="13" t="s">
        <v>1471</v>
      </c>
      <c r="D397" s="13" t="s">
        <v>166</v>
      </c>
      <c r="E397" s="13" t="s">
        <v>853</v>
      </c>
      <c r="F397" s="13"/>
      <c r="G397" s="13"/>
      <c r="H397" s="31"/>
      <c r="I397" s="33" t="n">
        <v>45944.7044259954</v>
      </c>
      <c r="J397" s="33" t="n">
        <v>45944.7044259954</v>
      </c>
      <c r="K397" s="13" t="s">
        <v>153</v>
      </c>
      <c r="L397" s="13"/>
      <c r="M397" s="13" t="s">
        <v>1472</v>
      </c>
      <c r="N397" s="33" t="n">
        <v>46308.7264460648</v>
      </c>
    </row>
    <row r="398" customFormat="false" ht="15" hidden="false" customHeight="false" outlineLevel="0" collapsed="false">
      <c r="A398" s="13" t="s">
        <v>1473</v>
      </c>
      <c r="B398" s="13" t="s">
        <v>57</v>
      </c>
      <c r="C398" s="13" t="s">
        <v>1296</v>
      </c>
      <c r="D398" s="13" t="s">
        <v>166</v>
      </c>
      <c r="E398" s="13" t="s">
        <v>1474</v>
      </c>
      <c r="F398" s="13"/>
      <c r="G398" s="13"/>
      <c r="H398" s="31"/>
      <c r="I398" s="33" t="n">
        <v>45944.6542345949</v>
      </c>
      <c r="J398" s="33" t="n">
        <v>45944.6542345949</v>
      </c>
      <c r="K398" s="13" t="s">
        <v>153</v>
      </c>
      <c r="L398" s="13"/>
      <c r="M398" s="13" t="s">
        <v>1475</v>
      </c>
      <c r="N398" s="33" t="n">
        <v>46308.7264460648</v>
      </c>
    </row>
    <row r="399" customFormat="false" ht="15" hidden="false" customHeight="false" outlineLevel="0" collapsed="false">
      <c r="A399" s="13" t="s">
        <v>1476</v>
      </c>
      <c r="B399" s="13" t="s">
        <v>57</v>
      </c>
      <c r="C399" s="13" t="s">
        <v>597</v>
      </c>
      <c r="D399" s="13" t="s">
        <v>166</v>
      </c>
      <c r="E399" s="13" t="s">
        <v>696</v>
      </c>
      <c r="F399" s="13"/>
      <c r="G399" s="13"/>
      <c r="H399" s="31"/>
      <c r="I399" s="33" t="n">
        <v>45944.6504158218</v>
      </c>
      <c r="J399" s="33" t="n">
        <v>45944.6504158218</v>
      </c>
      <c r="K399" s="13" t="s">
        <v>153</v>
      </c>
      <c r="L399" s="13"/>
      <c r="M399" s="13" t="s">
        <v>1477</v>
      </c>
      <c r="N399" s="33" t="n">
        <v>46308.7264460648</v>
      </c>
    </row>
    <row r="400" customFormat="false" ht="15" hidden="false" customHeight="false" outlineLevel="0" collapsed="false">
      <c r="A400" s="13" t="s">
        <v>1478</v>
      </c>
      <c r="B400" s="13" t="s">
        <v>57</v>
      </c>
      <c r="C400" s="13" t="s">
        <v>1479</v>
      </c>
      <c r="D400" s="13" t="s">
        <v>166</v>
      </c>
      <c r="E400" s="13" t="s">
        <v>853</v>
      </c>
      <c r="F400" s="13"/>
      <c r="G400" s="13"/>
      <c r="H400" s="31"/>
      <c r="I400" s="33" t="n">
        <v>45944.4666674306</v>
      </c>
      <c r="J400" s="33" t="n">
        <v>45944.4666674306</v>
      </c>
      <c r="K400" s="13" t="s">
        <v>153</v>
      </c>
      <c r="L400" s="13"/>
      <c r="M400" s="13" t="s">
        <v>1480</v>
      </c>
      <c r="N400" s="33" t="n">
        <v>46308.7264460648</v>
      </c>
    </row>
    <row r="401" customFormat="false" ht="15" hidden="false" customHeight="false" outlineLevel="0" collapsed="false">
      <c r="A401" s="13" t="s">
        <v>1481</v>
      </c>
      <c r="B401" s="13" t="s">
        <v>57</v>
      </c>
      <c r="C401" s="13" t="s">
        <v>1482</v>
      </c>
      <c r="D401" s="13" t="s">
        <v>166</v>
      </c>
      <c r="E401" s="13" t="s">
        <v>1483</v>
      </c>
      <c r="F401" s="13"/>
      <c r="G401" s="13"/>
      <c r="H401" s="31"/>
      <c r="I401" s="33" t="n">
        <v>45944.4121838195</v>
      </c>
      <c r="J401" s="33" t="n">
        <v>45944.4121838195</v>
      </c>
      <c r="K401" s="13" t="s">
        <v>153</v>
      </c>
      <c r="L401" s="13"/>
      <c r="M401" s="13" t="s">
        <v>1484</v>
      </c>
      <c r="N401" s="33" t="n">
        <v>46308.7264460648</v>
      </c>
    </row>
    <row r="402" customFormat="false" ht="15" hidden="false" customHeight="false" outlineLevel="0" collapsed="false">
      <c r="A402" s="13" t="s">
        <v>1485</v>
      </c>
      <c r="B402" s="13" t="s">
        <v>57</v>
      </c>
      <c r="C402" s="13" t="s">
        <v>152</v>
      </c>
      <c r="D402" s="13" t="s">
        <v>166</v>
      </c>
      <c r="E402" s="13"/>
      <c r="F402" s="13"/>
      <c r="G402" s="13"/>
      <c r="H402" s="31"/>
      <c r="I402" s="33" t="n">
        <v>45944.4121838195</v>
      </c>
      <c r="J402" s="33" t="n">
        <v>45944.4121838195</v>
      </c>
      <c r="K402" s="13" t="s">
        <v>153</v>
      </c>
      <c r="L402" s="13"/>
      <c r="M402" s="13" t="s">
        <v>1486</v>
      </c>
      <c r="N402" s="33" t="n">
        <v>46308.7264460648</v>
      </c>
    </row>
    <row r="403" customFormat="false" ht="15" hidden="false" customHeight="false" outlineLevel="0" collapsed="false">
      <c r="A403" s="13" t="s">
        <v>1487</v>
      </c>
      <c r="B403" s="13" t="s">
        <v>57</v>
      </c>
      <c r="C403" s="13" t="s">
        <v>852</v>
      </c>
      <c r="D403" s="13" t="s">
        <v>166</v>
      </c>
      <c r="E403" s="13"/>
      <c r="F403" s="13"/>
      <c r="G403" s="13"/>
      <c r="H403" s="31"/>
      <c r="I403" s="33" t="n">
        <v>45944.4121838195</v>
      </c>
      <c r="J403" s="33" t="n">
        <v>45944.4121838195</v>
      </c>
      <c r="K403" s="13" t="s">
        <v>153</v>
      </c>
      <c r="L403" s="13"/>
      <c r="M403" s="13" t="s">
        <v>1488</v>
      </c>
      <c r="N403" s="33" t="n">
        <v>46308.7264460648</v>
      </c>
    </row>
    <row r="404" customFormat="false" ht="15" hidden="false" customHeight="false" outlineLevel="0" collapsed="false">
      <c r="A404" s="13" t="s">
        <v>1489</v>
      </c>
      <c r="B404" s="13" t="s">
        <v>57</v>
      </c>
      <c r="C404" s="13" t="s">
        <v>1490</v>
      </c>
      <c r="D404" s="13" t="s">
        <v>166</v>
      </c>
      <c r="E404" s="13" t="s">
        <v>853</v>
      </c>
      <c r="F404" s="13"/>
      <c r="G404" s="13"/>
      <c r="H404" s="31"/>
      <c r="I404" s="33" t="n">
        <v>45944.4121838195</v>
      </c>
      <c r="J404" s="33" t="n">
        <v>45944.4121838195</v>
      </c>
      <c r="K404" s="13" t="s">
        <v>153</v>
      </c>
      <c r="L404" s="13"/>
      <c r="M404" s="13" t="s">
        <v>1491</v>
      </c>
      <c r="N404" s="33" t="n">
        <v>46308.7264460648</v>
      </c>
    </row>
    <row r="405" customFormat="false" ht="15" hidden="false" customHeight="false" outlineLevel="0" collapsed="false">
      <c r="A405" s="13" t="s">
        <v>1492</v>
      </c>
      <c r="B405" s="13" t="s">
        <v>57</v>
      </c>
      <c r="C405" s="13" t="s">
        <v>152</v>
      </c>
      <c r="D405" s="13" t="s">
        <v>166</v>
      </c>
      <c r="E405" s="13" t="s">
        <v>1363</v>
      </c>
      <c r="F405" s="13"/>
      <c r="G405" s="13"/>
      <c r="H405" s="31"/>
      <c r="I405" s="33" t="n">
        <v>45944.3994893519</v>
      </c>
      <c r="J405" s="33" t="n">
        <v>45944.3994893519</v>
      </c>
      <c r="K405" s="13" t="s">
        <v>153</v>
      </c>
      <c r="L405" s="13"/>
      <c r="M405" s="13" t="s">
        <v>1493</v>
      </c>
      <c r="N405" s="33" t="n">
        <v>46308.7264460648</v>
      </c>
    </row>
    <row r="406" customFormat="false" ht="15" hidden="false" customHeight="false" outlineLevel="0" collapsed="false">
      <c r="A406" s="13" t="s">
        <v>1494</v>
      </c>
      <c r="B406" s="13" t="s">
        <v>57</v>
      </c>
      <c r="C406" s="13" t="s">
        <v>852</v>
      </c>
      <c r="D406" s="13" t="s">
        <v>166</v>
      </c>
      <c r="E406" s="13"/>
      <c r="F406" s="13"/>
      <c r="G406" s="13"/>
      <c r="H406" s="31"/>
      <c r="I406" s="33" t="n">
        <v>45944.3994893519</v>
      </c>
      <c r="J406" s="33" t="n">
        <v>45944.3994893519</v>
      </c>
      <c r="K406" s="13" t="s">
        <v>153</v>
      </c>
      <c r="L406" s="13"/>
      <c r="M406" s="13" t="s">
        <v>1495</v>
      </c>
      <c r="N406" s="33" t="n">
        <v>46308.7264460648</v>
      </c>
    </row>
    <row r="407" customFormat="false" ht="15" hidden="false" customHeight="false" outlineLevel="0" collapsed="false">
      <c r="A407" s="13" t="s">
        <v>1496</v>
      </c>
      <c r="B407" s="13" t="s">
        <v>57</v>
      </c>
      <c r="C407" s="13" t="s">
        <v>1497</v>
      </c>
      <c r="D407" s="13" t="s">
        <v>166</v>
      </c>
      <c r="E407" s="13" t="s">
        <v>1498</v>
      </c>
      <c r="F407" s="13"/>
      <c r="G407" s="13"/>
      <c r="H407" s="31"/>
      <c r="I407" s="33" t="n">
        <v>45944.3994893519</v>
      </c>
      <c r="J407" s="33" t="n">
        <v>45944.3994893519</v>
      </c>
      <c r="K407" s="13" t="s">
        <v>153</v>
      </c>
      <c r="L407" s="13"/>
      <c r="M407" s="13" t="s">
        <v>1499</v>
      </c>
      <c r="N407" s="33" t="n">
        <v>46308.7264460648</v>
      </c>
    </row>
    <row r="408" customFormat="false" ht="15" hidden="false" customHeight="false" outlineLevel="0" collapsed="false">
      <c r="A408" s="13" t="s">
        <v>1500</v>
      </c>
      <c r="B408" s="13" t="s">
        <v>57</v>
      </c>
      <c r="C408" s="13" t="s">
        <v>185</v>
      </c>
      <c r="D408" s="13" t="s">
        <v>166</v>
      </c>
      <c r="E408" s="13"/>
      <c r="F408" s="13"/>
      <c r="G408" s="13"/>
      <c r="H408" s="31"/>
      <c r="I408" s="33" t="n">
        <v>45944.3742797338</v>
      </c>
      <c r="J408" s="33" t="n">
        <v>45944.3742797338</v>
      </c>
      <c r="K408" s="13" t="s">
        <v>153</v>
      </c>
      <c r="L408" s="13"/>
      <c r="M408" s="13" t="s">
        <v>1501</v>
      </c>
      <c r="N408" s="33" t="n">
        <v>46308.7264460648</v>
      </c>
    </row>
    <row r="409" customFormat="false" ht="15" hidden="false" customHeight="false" outlineLevel="0" collapsed="false">
      <c r="A409" s="13" t="s">
        <v>1502</v>
      </c>
      <c r="B409" s="13" t="s">
        <v>57</v>
      </c>
      <c r="C409" s="13" t="s">
        <v>852</v>
      </c>
      <c r="D409" s="13" t="s">
        <v>166</v>
      </c>
      <c r="E409" s="13"/>
      <c r="F409" s="13"/>
      <c r="G409" s="13"/>
      <c r="H409" s="31"/>
      <c r="I409" s="33" t="n">
        <v>45944.3742797338</v>
      </c>
      <c r="J409" s="33" t="n">
        <v>45944.3742797338</v>
      </c>
      <c r="K409" s="13" t="s">
        <v>153</v>
      </c>
      <c r="L409" s="13"/>
      <c r="M409" s="13" t="s">
        <v>1503</v>
      </c>
      <c r="N409" s="33" t="n">
        <v>46308.7264460648</v>
      </c>
    </row>
    <row r="410" customFormat="false" ht="15" hidden="false" customHeight="false" outlineLevel="0" collapsed="false">
      <c r="A410" s="13" t="s">
        <v>1504</v>
      </c>
      <c r="B410" s="13" t="s">
        <v>57</v>
      </c>
      <c r="C410" s="13" t="s">
        <v>1505</v>
      </c>
      <c r="D410" s="13" t="s">
        <v>166</v>
      </c>
      <c r="E410" s="13" t="s">
        <v>1506</v>
      </c>
      <c r="F410" s="13"/>
      <c r="G410" s="13"/>
      <c r="H410" s="31"/>
      <c r="I410" s="33" t="n">
        <v>45944.3742797338</v>
      </c>
      <c r="J410" s="33" t="n">
        <v>45944.3742797338</v>
      </c>
      <c r="K410" s="13" t="s">
        <v>153</v>
      </c>
      <c r="L410" s="13"/>
      <c r="M410" s="13" t="s">
        <v>1507</v>
      </c>
      <c r="N410" s="33" t="n">
        <v>46308.7264460648</v>
      </c>
    </row>
    <row r="411" customFormat="false" ht="15" hidden="false" customHeight="false" outlineLevel="0" collapsed="false">
      <c r="A411" s="13" t="s">
        <v>1508</v>
      </c>
      <c r="B411" s="13" t="s">
        <v>57</v>
      </c>
      <c r="C411" s="13" t="s">
        <v>695</v>
      </c>
      <c r="D411" s="13" t="s">
        <v>166</v>
      </c>
      <c r="E411" s="13" t="s">
        <v>1285</v>
      </c>
      <c r="F411" s="13"/>
      <c r="G411" s="13"/>
      <c r="H411" s="31"/>
      <c r="I411" s="33" t="n">
        <v>45943.6063691782</v>
      </c>
      <c r="J411" s="33" t="n">
        <v>45943.6063691782</v>
      </c>
      <c r="K411" s="13" t="s">
        <v>153</v>
      </c>
      <c r="L411" s="13"/>
      <c r="M411" s="13" t="s">
        <v>1509</v>
      </c>
      <c r="N411" s="33" t="n">
        <v>46308.7264460648</v>
      </c>
    </row>
    <row r="412" customFormat="false" ht="15" hidden="false" customHeight="false" outlineLevel="0" collapsed="false">
      <c r="A412" s="13" t="s">
        <v>1510</v>
      </c>
      <c r="B412" s="13" t="s">
        <v>57</v>
      </c>
      <c r="C412" s="13" t="s">
        <v>1511</v>
      </c>
      <c r="D412" s="13" t="s">
        <v>166</v>
      </c>
      <c r="E412" s="13" t="s">
        <v>95</v>
      </c>
      <c r="F412" s="13"/>
      <c r="G412" s="13"/>
      <c r="H412" s="31"/>
      <c r="I412" s="33" t="n">
        <v>45943.4394887847</v>
      </c>
      <c r="J412" s="33" t="n">
        <v>45943.4394887847</v>
      </c>
      <c r="K412" s="13" t="s">
        <v>153</v>
      </c>
      <c r="L412" s="13"/>
      <c r="M412" s="13" t="s">
        <v>1512</v>
      </c>
      <c r="N412" s="33" t="n">
        <v>46308.7264460648</v>
      </c>
    </row>
    <row r="413" customFormat="false" ht="15" hidden="false" customHeight="false" outlineLevel="0" collapsed="false">
      <c r="A413" s="13" t="s">
        <v>1513</v>
      </c>
      <c r="B413" s="13" t="s">
        <v>57</v>
      </c>
      <c r="C413" s="13" t="s">
        <v>152</v>
      </c>
      <c r="D413" s="13" t="s">
        <v>166</v>
      </c>
      <c r="E413" s="13" t="s">
        <v>1468</v>
      </c>
      <c r="F413" s="13"/>
      <c r="G413" s="13"/>
      <c r="H413" s="31"/>
      <c r="I413" s="33" t="n">
        <v>45943.4167938426</v>
      </c>
      <c r="J413" s="33" t="n">
        <v>45943.4167938426</v>
      </c>
      <c r="K413" s="13" t="s">
        <v>153</v>
      </c>
      <c r="L413" s="13"/>
      <c r="M413" s="13" t="s">
        <v>1514</v>
      </c>
      <c r="N413" s="33" t="n">
        <v>46308.7264460648</v>
      </c>
    </row>
    <row r="414" customFormat="false" ht="15" hidden="false" customHeight="false" outlineLevel="0" collapsed="false">
      <c r="A414" s="13" t="s">
        <v>1515</v>
      </c>
      <c r="B414" s="13" t="s">
        <v>57</v>
      </c>
      <c r="C414" s="13" t="s">
        <v>1278</v>
      </c>
      <c r="D414" s="13" t="s">
        <v>166</v>
      </c>
      <c r="E414" s="13"/>
      <c r="F414" s="13"/>
      <c r="G414" s="13"/>
      <c r="H414" s="31"/>
      <c r="I414" s="33" t="n">
        <v>45943.4167938426</v>
      </c>
      <c r="J414" s="33" t="n">
        <v>45943.4167938426</v>
      </c>
      <c r="K414" s="13" t="s">
        <v>153</v>
      </c>
      <c r="L414" s="13"/>
      <c r="M414" s="13" t="s">
        <v>1516</v>
      </c>
      <c r="N414" s="33" t="n">
        <v>46308.7264460648</v>
      </c>
    </row>
    <row r="415" customFormat="false" ht="15" hidden="false" customHeight="false" outlineLevel="0" collapsed="false">
      <c r="A415" s="13" t="s">
        <v>1517</v>
      </c>
      <c r="B415" s="13" t="s">
        <v>57</v>
      </c>
      <c r="C415" s="13" t="s">
        <v>1518</v>
      </c>
      <c r="D415" s="13" t="s">
        <v>166</v>
      </c>
      <c r="E415" s="13" t="s">
        <v>853</v>
      </c>
      <c r="F415" s="13"/>
      <c r="G415" s="13"/>
      <c r="H415" s="31"/>
      <c r="I415" s="33" t="n">
        <v>45943.4167938426</v>
      </c>
      <c r="J415" s="33" t="n">
        <v>45943.4167938426</v>
      </c>
      <c r="K415" s="13" t="s">
        <v>153</v>
      </c>
      <c r="L415" s="13"/>
      <c r="M415" s="13" t="s">
        <v>1519</v>
      </c>
      <c r="N415" s="33" t="n">
        <v>46308.7264460648</v>
      </c>
    </row>
    <row r="416" customFormat="false" ht="15" hidden="false" customHeight="false" outlineLevel="0" collapsed="false">
      <c r="A416" s="13" t="s">
        <v>1520</v>
      </c>
      <c r="B416" s="13" t="s">
        <v>57</v>
      </c>
      <c r="C416" s="13" t="s">
        <v>852</v>
      </c>
      <c r="D416" s="13" t="s">
        <v>166</v>
      </c>
      <c r="E416" s="13"/>
      <c r="F416" s="13"/>
      <c r="G416" s="13"/>
      <c r="H416" s="31"/>
      <c r="I416" s="33" t="n">
        <v>45940.3756394676</v>
      </c>
      <c r="J416" s="33" t="n">
        <v>45940.3756394676</v>
      </c>
      <c r="K416" s="13" t="s">
        <v>153</v>
      </c>
      <c r="L416" s="13"/>
      <c r="M416" s="13" t="s">
        <v>1521</v>
      </c>
      <c r="N416" s="33" t="n">
        <v>46308.7264460648</v>
      </c>
    </row>
    <row r="417" customFormat="false" ht="15" hidden="false" customHeight="false" outlineLevel="0" collapsed="false">
      <c r="A417" s="13" t="s">
        <v>1522</v>
      </c>
      <c r="B417" s="13" t="s">
        <v>57</v>
      </c>
      <c r="C417" s="13" t="s">
        <v>695</v>
      </c>
      <c r="D417" s="13" t="s">
        <v>166</v>
      </c>
      <c r="E417" s="13" t="s">
        <v>1285</v>
      </c>
      <c r="F417" s="13"/>
      <c r="G417" s="13"/>
      <c r="H417" s="31"/>
      <c r="I417" s="33" t="n">
        <v>45940.3756394676</v>
      </c>
      <c r="J417" s="33" t="n">
        <v>45940.3756394676</v>
      </c>
      <c r="K417" s="13" t="s">
        <v>153</v>
      </c>
      <c r="L417" s="13"/>
      <c r="M417" s="13" t="s">
        <v>1523</v>
      </c>
      <c r="N417" s="33" t="n">
        <v>46308.7264460648</v>
      </c>
    </row>
    <row r="418" customFormat="false" ht="15" hidden="false" customHeight="false" outlineLevel="0" collapsed="false">
      <c r="A418" s="13" t="s">
        <v>1524</v>
      </c>
      <c r="B418" s="13" t="s">
        <v>57</v>
      </c>
      <c r="C418" s="13" t="s">
        <v>258</v>
      </c>
      <c r="D418" s="13" t="s">
        <v>166</v>
      </c>
      <c r="E418" s="13" t="s">
        <v>1414</v>
      </c>
      <c r="F418" s="13"/>
      <c r="G418" s="13"/>
      <c r="H418" s="31"/>
      <c r="I418" s="33" t="n">
        <v>45940.3756394676</v>
      </c>
      <c r="J418" s="33" t="n">
        <v>45940.3756394676</v>
      </c>
      <c r="K418" s="13" t="s">
        <v>153</v>
      </c>
      <c r="L418" s="13"/>
      <c r="M418" s="13" t="s">
        <v>1525</v>
      </c>
      <c r="N418" s="33" t="n">
        <v>46308.7264460648</v>
      </c>
    </row>
    <row r="419" customFormat="false" ht="15" hidden="false" customHeight="false" outlineLevel="0" collapsed="false">
      <c r="A419" s="13" t="s">
        <v>1526</v>
      </c>
      <c r="B419" s="13" t="s">
        <v>57</v>
      </c>
      <c r="C419" s="13" t="s">
        <v>702</v>
      </c>
      <c r="D419" s="13" t="s">
        <v>166</v>
      </c>
      <c r="E419" s="13"/>
      <c r="F419" s="13"/>
      <c r="G419" s="13"/>
      <c r="H419" s="31"/>
      <c r="I419" s="33" t="n">
        <v>45940.3756394676</v>
      </c>
      <c r="J419" s="33" t="n">
        <v>45940.3756394676</v>
      </c>
      <c r="K419" s="13" t="s">
        <v>153</v>
      </c>
      <c r="L419" s="13"/>
      <c r="M419" s="13" t="s">
        <v>1527</v>
      </c>
      <c r="N419" s="33" t="n">
        <v>46308.7264460648</v>
      </c>
    </row>
    <row r="420" customFormat="false" ht="15" hidden="false" customHeight="false" outlineLevel="0" collapsed="false">
      <c r="A420" s="13" t="s">
        <v>1528</v>
      </c>
      <c r="B420" s="13" t="s">
        <v>57</v>
      </c>
      <c r="C420" s="13" t="s">
        <v>1529</v>
      </c>
      <c r="D420" s="13" t="s">
        <v>166</v>
      </c>
      <c r="E420" s="13" t="s">
        <v>1349</v>
      </c>
      <c r="F420" s="13"/>
      <c r="G420" s="13"/>
      <c r="H420" s="31"/>
      <c r="I420" s="33" t="n">
        <v>45940.3756394676</v>
      </c>
      <c r="J420" s="33" t="n">
        <v>45940.3756394676</v>
      </c>
      <c r="K420" s="13" t="s">
        <v>153</v>
      </c>
      <c r="L420" s="13"/>
      <c r="M420" s="13" t="s">
        <v>1530</v>
      </c>
      <c r="N420" s="33" t="n">
        <v>46308.7264460648</v>
      </c>
    </row>
    <row r="421" customFormat="false" ht="15" hidden="false" customHeight="false" outlineLevel="0" collapsed="false">
      <c r="A421" s="13" t="s">
        <v>1531</v>
      </c>
      <c r="B421" s="13" t="s">
        <v>57</v>
      </c>
      <c r="C421" s="13" t="s">
        <v>1265</v>
      </c>
      <c r="D421" s="13" t="s">
        <v>166</v>
      </c>
      <c r="E421" s="13" t="s">
        <v>853</v>
      </c>
      <c r="F421" s="13"/>
      <c r="G421" s="13"/>
      <c r="H421" s="31"/>
      <c r="I421" s="33" t="n">
        <v>45939.4314046759</v>
      </c>
      <c r="J421" s="33" t="n">
        <v>45939.4314046759</v>
      </c>
      <c r="K421" s="13" t="s">
        <v>153</v>
      </c>
      <c r="L421" s="13"/>
      <c r="M421" s="13" t="s">
        <v>1532</v>
      </c>
      <c r="N421" s="33" t="n">
        <v>46308.7264460648</v>
      </c>
    </row>
    <row r="422" customFormat="false" ht="15" hidden="false" customHeight="false" outlineLevel="0" collapsed="false">
      <c r="A422" s="13" t="s">
        <v>1533</v>
      </c>
      <c r="B422" s="13" t="s">
        <v>57</v>
      </c>
      <c r="C422" s="13" t="s">
        <v>152</v>
      </c>
      <c r="D422" s="13" t="s">
        <v>401</v>
      </c>
      <c r="E422" s="13"/>
      <c r="F422" s="13"/>
      <c r="G422" s="13"/>
      <c r="H422" s="31"/>
      <c r="I422" s="33" t="n">
        <v>45939.4308563542</v>
      </c>
      <c r="J422" s="33"/>
      <c r="K422" s="13" t="s">
        <v>153</v>
      </c>
      <c r="L422" s="13"/>
      <c r="M422" s="13" t="s">
        <v>1534</v>
      </c>
      <c r="N422" s="33" t="n">
        <v>46308.7264460648</v>
      </c>
    </row>
    <row r="423" customFormat="false" ht="15" hidden="false" customHeight="false" outlineLevel="0" collapsed="false">
      <c r="A423" s="13" t="s">
        <v>1535</v>
      </c>
      <c r="B423" s="13" t="s">
        <v>57</v>
      </c>
      <c r="C423" s="13" t="s">
        <v>852</v>
      </c>
      <c r="D423" s="13" t="s">
        <v>401</v>
      </c>
      <c r="E423" s="13"/>
      <c r="F423" s="13"/>
      <c r="G423" s="13"/>
      <c r="H423" s="31"/>
      <c r="I423" s="33" t="n">
        <v>45939.4272243519</v>
      </c>
      <c r="J423" s="33"/>
      <c r="K423" s="13" t="s">
        <v>153</v>
      </c>
      <c r="L423" s="13"/>
      <c r="M423" s="13" t="s">
        <v>1536</v>
      </c>
      <c r="N423" s="33" t="n">
        <v>46308.7264460648</v>
      </c>
    </row>
    <row r="424" customFormat="false" ht="15" hidden="false" customHeight="false" outlineLevel="0" collapsed="false">
      <c r="A424" s="13" t="s">
        <v>1537</v>
      </c>
      <c r="B424" s="13" t="s">
        <v>57</v>
      </c>
      <c r="C424" s="13" t="s">
        <v>185</v>
      </c>
      <c r="D424" s="13" t="s">
        <v>166</v>
      </c>
      <c r="E424" s="13" t="s">
        <v>981</v>
      </c>
      <c r="F424" s="13"/>
      <c r="G424" s="13"/>
      <c r="H424" s="31"/>
      <c r="I424" s="33" t="n">
        <v>45938.7505159259</v>
      </c>
      <c r="J424" s="33" t="n">
        <v>45938.7505159259</v>
      </c>
      <c r="K424" s="13" t="s">
        <v>153</v>
      </c>
      <c r="L424" s="13"/>
      <c r="M424" s="13" t="s">
        <v>1538</v>
      </c>
      <c r="N424" s="33" t="n">
        <v>46308.7264460648</v>
      </c>
    </row>
    <row r="425" customFormat="false" ht="15" hidden="false" customHeight="false" outlineLevel="0" collapsed="false">
      <c r="A425" s="13" t="s">
        <v>1539</v>
      </c>
      <c r="B425" s="13" t="s">
        <v>57</v>
      </c>
      <c r="C425" s="13" t="s">
        <v>185</v>
      </c>
      <c r="D425" s="13" t="s">
        <v>166</v>
      </c>
      <c r="E425" s="13" t="s">
        <v>981</v>
      </c>
      <c r="F425" s="13"/>
      <c r="G425" s="13"/>
      <c r="H425" s="31"/>
      <c r="I425" s="33" t="n">
        <v>45938.7007783102</v>
      </c>
      <c r="J425" s="33" t="n">
        <v>45938.7007783102</v>
      </c>
      <c r="K425" s="13" t="s">
        <v>153</v>
      </c>
      <c r="L425" s="13"/>
      <c r="M425" s="13" t="s">
        <v>1540</v>
      </c>
      <c r="N425" s="33" t="n">
        <v>46308.7264460648</v>
      </c>
    </row>
    <row r="426" customFormat="false" ht="15" hidden="false" customHeight="false" outlineLevel="0" collapsed="false">
      <c r="A426" s="13" t="s">
        <v>1541</v>
      </c>
      <c r="B426" s="13" t="s">
        <v>57</v>
      </c>
      <c r="C426" s="13" t="s">
        <v>1296</v>
      </c>
      <c r="D426" s="13" t="s">
        <v>166</v>
      </c>
      <c r="E426" s="13" t="s">
        <v>1542</v>
      </c>
      <c r="F426" s="13"/>
      <c r="G426" s="13"/>
      <c r="H426" s="31"/>
      <c r="I426" s="33" t="n">
        <v>45938.7007783102</v>
      </c>
      <c r="J426" s="33" t="n">
        <v>45938.7007783102</v>
      </c>
      <c r="K426" s="13" t="s">
        <v>153</v>
      </c>
      <c r="L426" s="13"/>
      <c r="M426" s="13" t="s">
        <v>1543</v>
      </c>
      <c r="N426" s="33" t="n">
        <v>46308.7264460648</v>
      </c>
    </row>
    <row r="427" customFormat="false" ht="15" hidden="false" customHeight="false" outlineLevel="0" collapsed="false">
      <c r="A427" s="13" t="s">
        <v>1544</v>
      </c>
      <c r="B427" s="13" t="s">
        <v>57</v>
      </c>
      <c r="C427" s="13" t="s">
        <v>1299</v>
      </c>
      <c r="D427" s="13" t="s">
        <v>166</v>
      </c>
      <c r="E427" s="13"/>
      <c r="F427" s="13"/>
      <c r="G427" s="13"/>
      <c r="H427" s="31"/>
      <c r="I427" s="33" t="n">
        <v>45938.7007783102</v>
      </c>
      <c r="J427" s="33" t="n">
        <v>45938.7007783102</v>
      </c>
      <c r="K427" s="13" t="s">
        <v>153</v>
      </c>
      <c r="L427" s="13"/>
      <c r="M427" s="13" t="s">
        <v>1545</v>
      </c>
      <c r="N427" s="33" t="n">
        <v>46308.7264460648</v>
      </c>
    </row>
    <row r="428" customFormat="false" ht="15" hidden="false" customHeight="false" outlineLevel="0" collapsed="false">
      <c r="A428" s="13" t="s">
        <v>1546</v>
      </c>
      <c r="B428" s="13" t="s">
        <v>57</v>
      </c>
      <c r="C428" s="13" t="s">
        <v>1547</v>
      </c>
      <c r="D428" s="13" t="s">
        <v>166</v>
      </c>
      <c r="E428" s="13" t="s">
        <v>1349</v>
      </c>
      <c r="F428" s="13" t="s">
        <v>60</v>
      </c>
      <c r="G428" s="13"/>
      <c r="H428" s="31"/>
      <c r="I428" s="33" t="n">
        <v>45938.7007783102</v>
      </c>
      <c r="J428" s="33" t="n">
        <v>45938.7007783102</v>
      </c>
      <c r="K428" s="13" t="s">
        <v>153</v>
      </c>
      <c r="L428" s="13" t="s">
        <v>280</v>
      </c>
      <c r="M428" s="13" t="s">
        <v>1548</v>
      </c>
      <c r="N428" s="33" t="n">
        <v>46308.7264460648</v>
      </c>
    </row>
    <row r="429" customFormat="false" ht="15" hidden="false" customHeight="false" outlineLevel="0" collapsed="false">
      <c r="A429" s="13" t="s">
        <v>1549</v>
      </c>
      <c r="B429" s="13" t="s">
        <v>57</v>
      </c>
      <c r="C429" s="13" t="s">
        <v>185</v>
      </c>
      <c r="D429" s="13" t="s">
        <v>166</v>
      </c>
      <c r="E429" s="13" t="s">
        <v>981</v>
      </c>
      <c r="F429" s="13"/>
      <c r="G429" s="13"/>
      <c r="H429" s="31"/>
      <c r="I429" s="33" t="n">
        <v>45937.6868868287</v>
      </c>
      <c r="J429" s="33" t="n">
        <v>45937.6868868287</v>
      </c>
      <c r="K429" s="13" t="s">
        <v>153</v>
      </c>
      <c r="L429" s="13"/>
      <c r="M429" s="13" t="s">
        <v>1550</v>
      </c>
      <c r="N429" s="33" t="n">
        <v>46308.7264460648</v>
      </c>
    </row>
    <row r="430" customFormat="false" ht="15" hidden="false" customHeight="false" outlineLevel="0" collapsed="false">
      <c r="A430" s="13" t="s">
        <v>1551</v>
      </c>
      <c r="B430" s="13" t="s">
        <v>57</v>
      </c>
      <c r="C430" s="13" t="s">
        <v>185</v>
      </c>
      <c r="D430" s="13" t="s">
        <v>166</v>
      </c>
      <c r="E430" s="13" t="s">
        <v>981</v>
      </c>
      <c r="F430" s="13"/>
      <c r="G430" s="13"/>
      <c r="H430" s="31"/>
      <c r="I430" s="33" t="n">
        <v>45937.6867467708</v>
      </c>
      <c r="J430" s="33" t="n">
        <v>45937.6867467708</v>
      </c>
      <c r="K430" s="13" t="s">
        <v>153</v>
      </c>
      <c r="L430" s="13"/>
      <c r="M430" s="13" t="s">
        <v>1552</v>
      </c>
      <c r="N430" s="33" t="n">
        <v>46308.7264460648</v>
      </c>
    </row>
    <row r="431" customFormat="false" ht="15" hidden="false" customHeight="false" outlineLevel="0" collapsed="false">
      <c r="A431" s="13" t="s">
        <v>1553</v>
      </c>
      <c r="B431" s="13" t="s">
        <v>57</v>
      </c>
      <c r="C431" s="13" t="s">
        <v>1554</v>
      </c>
      <c r="D431" s="13" t="s">
        <v>166</v>
      </c>
      <c r="E431" s="13" t="s">
        <v>95</v>
      </c>
      <c r="F431" s="13"/>
      <c r="G431" s="13" t="s">
        <v>159</v>
      </c>
      <c r="H431" s="31"/>
      <c r="I431" s="33" t="n">
        <v>45937.6658469792</v>
      </c>
      <c r="J431" s="33" t="n">
        <v>45937.6657437153</v>
      </c>
      <c r="K431" s="13" t="s">
        <v>153</v>
      </c>
      <c r="L431" s="13"/>
      <c r="M431" s="13" t="s">
        <v>1555</v>
      </c>
      <c r="N431" s="33" t="n">
        <v>46308.7264460648</v>
      </c>
    </row>
    <row r="432" customFormat="false" ht="15" hidden="false" customHeight="false" outlineLevel="0" collapsed="false">
      <c r="A432" s="13" t="s">
        <v>1556</v>
      </c>
      <c r="B432" s="13" t="s">
        <v>57</v>
      </c>
      <c r="C432" s="13" t="s">
        <v>1265</v>
      </c>
      <c r="D432" s="13" t="s">
        <v>166</v>
      </c>
      <c r="E432" s="13"/>
      <c r="F432" s="13"/>
      <c r="G432" s="13"/>
      <c r="H432" s="31"/>
      <c r="I432" s="33" t="n">
        <v>45937.6399508102</v>
      </c>
      <c r="J432" s="33" t="n">
        <v>45937.6399508102</v>
      </c>
      <c r="K432" s="13" t="s">
        <v>153</v>
      </c>
      <c r="L432" s="13"/>
      <c r="M432" s="13" t="s">
        <v>1557</v>
      </c>
      <c r="N432" s="33" t="n">
        <v>46308.7264460648</v>
      </c>
    </row>
    <row r="433" customFormat="false" ht="15" hidden="false" customHeight="false" outlineLevel="0" collapsed="false">
      <c r="A433" s="13" t="s">
        <v>1558</v>
      </c>
      <c r="B433" s="13" t="s">
        <v>57</v>
      </c>
      <c r="C433" s="13" t="s">
        <v>1559</v>
      </c>
      <c r="D433" s="13" t="s">
        <v>166</v>
      </c>
      <c r="E433" s="13" t="s">
        <v>1293</v>
      </c>
      <c r="F433" s="13"/>
      <c r="G433" s="13"/>
      <c r="H433" s="31"/>
      <c r="I433" s="33" t="n">
        <v>45937.5040210764</v>
      </c>
      <c r="J433" s="33" t="n">
        <v>45937.5040210764</v>
      </c>
      <c r="K433" s="13" t="s">
        <v>153</v>
      </c>
      <c r="L433" s="13"/>
      <c r="M433" s="13" t="s">
        <v>1560</v>
      </c>
      <c r="N433" s="33" t="n">
        <v>46308.7264460648</v>
      </c>
    </row>
    <row r="434" customFormat="false" ht="15" hidden="false" customHeight="false" outlineLevel="0" collapsed="false">
      <c r="A434" s="13" t="s">
        <v>1561</v>
      </c>
      <c r="B434" s="13" t="s">
        <v>57</v>
      </c>
      <c r="C434" s="13" t="s">
        <v>695</v>
      </c>
      <c r="D434" s="13" t="s">
        <v>166</v>
      </c>
      <c r="E434" s="13" t="s">
        <v>696</v>
      </c>
      <c r="F434" s="13"/>
      <c r="G434" s="13"/>
      <c r="H434" s="31"/>
      <c r="I434" s="33" t="n">
        <v>45936.7370320718</v>
      </c>
      <c r="J434" s="33" t="n">
        <v>45916.7501876389</v>
      </c>
      <c r="K434" s="13" t="s">
        <v>153</v>
      </c>
      <c r="L434" s="13"/>
      <c r="M434" s="13" t="s">
        <v>1562</v>
      </c>
      <c r="N434" s="33" t="n">
        <v>46308.7264460648</v>
      </c>
    </row>
    <row r="435" customFormat="false" ht="15" hidden="false" customHeight="false" outlineLevel="0" collapsed="false">
      <c r="A435" s="13" t="s">
        <v>1563</v>
      </c>
      <c r="B435" s="13" t="s">
        <v>57</v>
      </c>
      <c r="C435" s="13" t="s">
        <v>1265</v>
      </c>
      <c r="D435" s="13" t="s">
        <v>166</v>
      </c>
      <c r="E435" s="13"/>
      <c r="F435" s="13"/>
      <c r="G435" s="13"/>
      <c r="H435" s="31"/>
      <c r="I435" s="33" t="n">
        <v>45936.4644042824</v>
      </c>
      <c r="J435" s="33" t="n">
        <v>45936.4644042824</v>
      </c>
      <c r="K435" s="13" t="s">
        <v>153</v>
      </c>
      <c r="L435" s="13"/>
      <c r="M435" s="13" t="s">
        <v>1564</v>
      </c>
      <c r="N435" s="33" t="n">
        <v>46308.7264460648</v>
      </c>
    </row>
    <row r="436" customFormat="false" ht="15" hidden="false" customHeight="false" outlineLevel="0" collapsed="false">
      <c r="A436" s="13" t="s">
        <v>1565</v>
      </c>
      <c r="B436" s="13" t="s">
        <v>57</v>
      </c>
      <c r="C436" s="13" t="s">
        <v>1265</v>
      </c>
      <c r="D436" s="13" t="s">
        <v>166</v>
      </c>
      <c r="E436" s="13" t="s">
        <v>853</v>
      </c>
      <c r="F436" s="13"/>
      <c r="G436" s="13"/>
      <c r="H436" s="31"/>
      <c r="I436" s="33" t="n">
        <v>45936.4067766435</v>
      </c>
      <c r="J436" s="33" t="n">
        <v>45936.4067766435</v>
      </c>
      <c r="K436" s="13" t="s">
        <v>153</v>
      </c>
      <c r="L436" s="13"/>
      <c r="M436" s="13" t="s">
        <v>1566</v>
      </c>
      <c r="N436" s="33" t="n">
        <v>46308.7264460648</v>
      </c>
    </row>
    <row r="437" customFormat="false" ht="15" hidden="false" customHeight="false" outlineLevel="0" collapsed="false">
      <c r="A437" s="13" t="s">
        <v>1567</v>
      </c>
      <c r="B437" s="13" t="s">
        <v>57</v>
      </c>
      <c r="C437" s="13" t="s">
        <v>1568</v>
      </c>
      <c r="D437" s="13" t="s">
        <v>166</v>
      </c>
      <c r="E437" s="13" t="s">
        <v>1293</v>
      </c>
      <c r="F437" s="13"/>
      <c r="G437" s="13"/>
      <c r="H437" s="31"/>
      <c r="I437" s="33" t="n">
        <v>45933.6750080556</v>
      </c>
      <c r="J437" s="33" t="n">
        <v>45933.6750080556</v>
      </c>
      <c r="K437" s="13" t="s">
        <v>153</v>
      </c>
      <c r="L437" s="13"/>
      <c r="M437" s="13" t="s">
        <v>1569</v>
      </c>
      <c r="N437" s="33" t="n">
        <v>46308.7264460648</v>
      </c>
    </row>
    <row r="438" customFormat="false" ht="15" hidden="false" customHeight="false" outlineLevel="0" collapsed="false">
      <c r="A438" s="13" t="s">
        <v>1570</v>
      </c>
      <c r="B438" s="13" t="s">
        <v>57</v>
      </c>
      <c r="C438" s="13" t="s">
        <v>1265</v>
      </c>
      <c r="D438" s="13" t="s">
        <v>166</v>
      </c>
      <c r="E438" s="13" t="s">
        <v>853</v>
      </c>
      <c r="F438" s="13"/>
      <c r="G438" s="13"/>
      <c r="H438" s="31"/>
      <c r="I438" s="33" t="n">
        <v>45933.5631467824</v>
      </c>
      <c r="J438" s="33" t="n">
        <v>45933.5631467824</v>
      </c>
      <c r="K438" s="13" t="s">
        <v>153</v>
      </c>
      <c r="L438" s="13"/>
      <c r="M438" s="13" t="s">
        <v>1571</v>
      </c>
      <c r="N438" s="33" t="n">
        <v>46308.7264460648</v>
      </c>
    </row>
    <row r="439" customFormat="false" ht="15" hidden="false" customHeight="false" outlineLevel="0" collapsed="false">
      <c r="A439" s="13" t="s">
        <v>1572</v>
      </c>
      <c r="B439" s="13" t="s">
        <v>57</v>
      </c>
      <c r="C439" s="13" t="s">
        <v>1573</v>
      </c>
      <c r="D439" s="13" t="s">
        <v>166</v>
      </c>
      <c r="E439" s="13" t="s">
        <v>853</v>
      </c>
      <c r="F439" s="13"/>
      <c r="G439" s="13"/>
      <c r="H439" s="31"/>
      <c r="I439" s="33" t="n">
        <v>45932.4064737037</v>
      </c>
      <c r="J439" s="33" t="n">
        <v>45932.4064737037</v>
      </c>
      <c r="K439" s="13" t="s">
        <v>153</v>
      </c>
      <c r="L439" s="13"/>
      <c r="M439" s="13" t="s">
        <v>1574</v>
      </c>
      <c r="N439" s="33" t="n">
        <v>46308.7264460648</v>
      </c>
    </row>
    <row r="440" customFormat="false" ht="15" hidden="false" customHeight="false" outlineLevel="0" collapsed="false">
      <c r="A440" s="13" t="s">
        <v>1575</v>
      </c>
      <c r="B440" s="13" t="s">
        <v>57</v>
      </c>
      <c r="C440" s="13" t="s">
        <v>1576</v>
      </c>
      <c r="D440" s="13" t="s">
        <v>166</v>
      </c>
      <c r="E440" s="13"/>
      <c r="F440" s="13"/>
      <c r="G440" s="13"/>
      <c r="H440" s="31"/>
      <c r="I440" s="33" t="n">
        <v>45932.3965458218</v>
      </c>
      <c r="J440" s="33" t="n">
        <v>45932.3965458218</v>
      </c>
      <c r="K440" s="13" t="s">
        <v>153</v>
      </c>
      <c r="L440" s="13"/>
      <c r="M440" s="13" t="s">
        <v>1577</v>
      </c>
      <c r="N440" s="33" t="n">
        <v>46308.7264460648</v>
      </c>
    </row>
    <row r="441" customFormat="false" ht="15" hidden="false" customHeight="false" outlineLevel="0" collapsed="false">
      <c r="A441" s="13" t="s">
        <v>1578</v>
      </c>
      <c r="B441" s="13" t="s">
        <v>57</v>
      </c>
      <c r="C441" s="13" t="s">
        <v>1265</v>
      </c>
      <c r="D441" s="13" t="s">
        <v>166</v>
      </c>
      <c r="E441" s="13" t="s">
        <v>853</v>
      </c>
      <c r="F441" s="13"/>
      <c r="G441" s="13"/>
      <c r="H441" s="31"/>
      <c r="I441" s="33" t="n">
        <v>45931.496267581</v>
      </c>
      <c r="J441" s="33" t="n">
        <v>45931.496267581</v>
      </c>
      <c r="K441" s="13" t="s">
        <v>153</v>
      </c>
      <c r="L441" s="13"/>
      <c r="M441" s="13" t="s">
        <v>1579</v>
      </c>
      <c r="N441" s="33" t="n">
        <v>46308.7264460648</v>
      </c>
    </row>
    <row r="442" customFormat="false" ht="15" hidden="false" customHeight="false" outlineLevel="0" collapsed="false">
      <c r="A442" s="13" t="s">
        <v>1580</v>
      </c>
      <c r="B442" s="13" t="s">
        <v>57</v>
      </c>
      <c r="C442" s="13" t="s">
        <v>597</v>
      </c>
      <c r="D442" s="13" t="s">
        <v>166</v>
      </c>
      <c r="E442" s="13" t="s">
        <v>696</v>
      </c>
      <c r="F442" s="13"/>
      <c r="G442" s="13"/>
      <c r="H442" s="31"/>
      <c r="I442" s="33" t="n">
        <v>45930.6034986227</v>
      </c>
      <c r="J442" s="33" t="n">
        <v>45930.6034986227</v>
      </c>
      <c r="K442" s="13" t="s">
        <v>153</v>
      </c>
      <c r="L442" s="13"/>
      <c r="M442" s="13" t="s">
        <v>1581</v>
      </c>
      <c r="N442" s="33" t="n">
        <v>46308.7264460648</v>
      </c>
    </row>
    <row r="443" customFormat="false" ht="15" hidden="false" customHeight="false" outlineLevel="0" collapsed="false">
      <c r="A443" s="13" t="s">
        <v>1582</v>
      </c>
      <c r="B443" s="13" t="s">
        <v>57</v>
      </c>
      <c r="C443" s="13" t="s">
        <v>185</v>
      </c>
      <c r="D443" s="13" t="s">
        <v>166</v>
      </c>
      <c r="E443" s="13" t="s">
        <v>981</v>
      </c>
      <c r="F443" s="13"/>
      <c r="G443" s="13"/>
      <c r="H443" s="31"/>
      <c r="I443" s="33" t="n">
        <v>45929.7206809028</v>
      </c>
      <c r="J443" s="33" t="n">
        <v>45929.7206809028</v>
      </c>
      <c r="K443" s="13" t="s">
        <v>153</v>
      </c>
      <c r="L443" s="13"/>
      <c r="M443" s="13" t="s">
        <v>1583</v>
      </c>
      <c r="N443" s="33" t="n">
        <v>46308.7264460648</v>
      </c>
    </row>
    <row r="444" customFormat="false" ht="15" hidden="false" customHeight="false" outlineLevel="0" collapsed="false">
      <c r="A444" s="13" t="s">
        <v>1584</v>
      </c>
      <c r="B444" s="13" t="s">
        <v>57</v>
      </c>
      <c r="C444" s="13" t="s">
        <v>185</v>
      </c>
      <c r="D444" s="13" t="s">
        <v>166</v>
      </c>
      <c r="E444" s="13" t="s">
        <v>981</v>
      </c>
      <c r="F444" s="13"/>
      <c r="G444" s="13"/>
      <c r="H444" s="31"/>
      <c r="I444" s="33" t="n">
        <v>45929.7204908796</v>
      </c>
      <c r="J444" s="33" t="n">
        <v>45929.7204908796</v>
      </c>
      <c r="K444" s="13" t="s">
        <v>153</v>
      </c>
      <c r="L444" s="13"/>
      <c r="M444" s="13" t="s">
        <v>1585</v>
      </c>
      <c r="N444" s="33" t="n">
        <v>46308.7264460648</v>
      </c>
    </row>
    <row r="445" customFormat="false" ht="15" hidden="false" customHeight="false" outlineLevel="0" collapsed="false">
      <c r="A445" s="13" t="s">
        <v>1586</v>
      </c>
      <c r="B445" s="13" t="s">
        <v>57</v>
      </c>
      <c r="C445" s="13" t="s">
        <v>1587</v>
      </c>
      <c r="D445" s="13" t="s">
        <v>166</v>
      </c>
      <c r="E445" s="13" t="s">
        <v>977</v>
      </c>
      <c r="F445" s="13"/>
      <c r="G445" s="13"/>
      <c r="H445" s="31"/>
      <c r="I445" s="33" t="n">
        <v>45929.4464214931</v>
      </c>
      <c r="J445" s="33" t="n">
        <v>45929.4464214931</v>
      </c>
      <c r="K445" s="13" t="s">
        <v>153</v>
      </c>
      <c r="L445" s="13"/>
      <c r="M445" s="13" t="s">
        <v>1588</v>
      </c>
      <c r="N445" s="33" t="n">
        <v>46308.7264460648</v>
      </c>
    </row>
    <row r="446" customFormat="false" ht="15" hidden="false" customHeight="false" outlineLevel="0" collapsed="false">
      <c r="A446" s="13" t="s">
        <v>1589</v>
      </c>
      <c r="B446" s="13" t="s">
        <v>57</v>
      </c>
      <c r="C446" s="13" t="s">
        <v>852</v>
      </c>
      <c r="D446" s="13" t="s">
        <v>166</v>
      </c>
      <c r="E446" s="13"/>
      <c r="F446" s="13"/>
      <c r="G446" s="13"/>
      <c r="H446" s="31"/>
      <c r="I446" s="33" t="n">
        <v>45929.4463927894</v>
      </c>
      <c r="J446" s="33" t="n">
        <v>45929.4463927894</v>
      </c>
      <c r="K446" s="13" t="s">
        <v>153</v>
      </c>
      <c r="L446" s="13"/>
      <c r="M446" s="13" t="s">
        <v>1590</v>
      </c>
      <c r="N446" s="33" t="n">
        <v>46308.7264460648</v>
      </c>
    </row>
    <row r="447" customFormat="false" ht="15" hidden="false" customHeight="false" outlineLevel="0" collapsed="false">
      <c r="A447" s="13" t="s">
        <v>1591</v>
      </c>
      <c r="B447" s="13" t="s">
        <v>57</v>
      </c>
      <c r="C447" s="13" t="s">
        <v>152</v>
      </c>
      <c r="D447" s="13" t="s">
        <v>166</v>
      </c>
      <c r="E447" s="13"/>
      <c r="F447" s="13"/>
      <c r="G447" s="13"/>
      <c r="H447" s="31"/>
      <c r="I447" s="33" t="n">
        <v>45929.4460699306</v>
      </c>
      <c r="J447" s="33" t="n">
        <v>45929.4460699306</v>
      </c>
      <c r="K447" s="13" t="s">
        <v>153</v>
      </c>
      <c r="L447" s="13"/>
      <c r="M447" s="13" t="s">
        <v>1592</v>
      </c>
      <c r="N447" s="33" t="n">
        <v>46308.7264460648</v>
      </c>
    </row>
    <row r="448" customFormat="false" ht="15" hidden="false" customHeight="false" outlineLevel="0" collapsed="false">
      <c r="A448" s="13" t="s">
        <v>1593</v>
      </c>
      <c r="B448" s="13" t="s">
        <v>57</v>
      </c>
      <c r="C448" s="13" t="s">
        <v>695</v>
      </c>
      <c r="D448" s="13" t="s">
        <v>166</v>
      </c>
      <c r="E448" s="13" t="s">
        <v>1285</v>
      </c>
      <c r="F448" s="13"/>
      <c r="G448" s="13"/>
      <c r="H448" s="31"/>
      <c r="I448" s="33" t="n">
        <v>45929.4458500347</v>
      </c>
      <c r="J448" s="33" t="n">
        <v>45929.4458500347</v>
      </c>
      <c r="K448" s="13" t="s">
        <v>153</v>
      </c>
      <c r="L448" s="13"/>
      <c r="M448" s="13" t="s">
        <v>1594</v>
      </c>
      <c r="N448" s="33" t="n">
        <v>46308.7264460648</v>
      </c>
    </row>
    <row r="449" customFormat="false" ht="15" hidden="false" customHeight="false" outlineLevel="0" collapsed="false">
      <c r="A449" s="13" t="s">
        <v>1595</v>
      </c>
      <c r="B449" s="13" t="s">
        <v>57</v>
      </c>
      <c r="C449" s="13" t="s">
        <v>258</v>
      </c>
      <c r="D449" s="13" t="s">
        <v>166</v>
      </c>
      <c r="E449" s="13" t="s">
        <v>1414</v>
      </c>
      <c r="F449" s="13"/>
      <c r="G449" s="13"/>
      <c r="H449" s="31"/>
      <c r="I449" s="33" t="n">
        <v>45929.4456288773</v>
      </c>
      <c r="J449" s="33" t="n">
        <v>45924.7136255208</v>
      </c>
      <c r="K449" s="13" t="s">
        <v>153</v>
      </c>
      <c r="L449" s="13"/>
      <c r="M449" s="13" t="s">
        <v>1596</v>
      </c>
      <c r="N449" s="33" t="n">
        <v>46308.7264460648</v>
      </c>
    </row>
    <row r="450" customFormat="false" ht="15" hidden="false" customHeight="false" outlineLevel="0" collapsed="false">
      <c r="A450" s="13" t="s">
        <v>1597</v>
      </c>
      <c r="B450" s="13" t="s">
        <v>57</v>
      </c>
      <c r="C450" s="13" t="s">
        <v>185</v>
      </c>
      <c r="D450" s="13" t="s">
        <v>166</v>
      </c>
      <c r="E450" s="13" t="s">
        <v>981</v>
      </c>
      <c r="F450" s="13"/>
      <c r="G450" s="13"/>
      <c r="H450" s="31"/>
      <c r="I450" s="33" t="n">
        <v>45929.3978536227</v>
      </c>
      <c r="J450" s="33" t="n">
        <v>45929.3978536227</v>
      </c>
      <c r="K450" s="13" t="s">
        <v>153</v>
      </c>
      <c r="L450" s="13"/>
      <c r="M450" s="13" t="s">
        <v>1598</v>
      </c>
      <c r="N450" s="33" t="n">
        <v>46308.7264460648</v>
      </c>
    </row>
    <row r="451" customFormat="false" ht="15" hidden="false" customHeight="false" outlineLevel="0" collapsed="false">
      <c r="A451" s="13" t="s">
        <v>1599</v>
      </c>
      <c r="B451" s="13" t="s">
        <v>57</v>
      </c>
      <c r="C451" s="13" t="s">
        <v>1600</v>
      </c>
      <c r="D451" s="13" t="s">
        <v>166</v>
      </c>
      <c r="E451" s="13"/>
      <c r="F451" s="13"/>
      <c r="G451" s="13"/>
      <c r="H451" s="31"/>
      <c r="I451" s="33" t="n">
        <v>45929.3978536227</v>
      </c>
      <c r="J451" s="33" t="n">
        <v>45929.3978536227</v>
      </c>
      <c r="K451" s="13" t="s">
        <v>153</v>
      </c>
      <c r="L451" s="13"/>
      <c r="M451" s="13" t="s">
        <v>1601</v>
      </c>
      <c r="N451" s="33" t="n">
        <v>46308.7264460648</v>
      </c>
    </row>
    <row r="452" customFormat="false" ht="15" hidden="false" customHeight="false" outlineLevel="0" collapsed="false">
      <c r="A452" s="13" t="s">
        <v>1602</v>
      </c>
      <c r="B452" s="13" t="s">
        <v>57</v>
      </c>
      <c r="C452" s="13" t="s">
        <v>1603</v>
      </c>
      <c r="D452" s="13" t="s">
        <v>166</v>
      </c>
      <c r="E452" s="13" t="s">
        <v>95</v>
      </c>
      <c r="F452" s="13"/>
      <c r="G452" s="13" t="s">
        <v>189</v>
      </c>
      <c r="H452" s="31"/>
      <c r="I452" s="33" t="n">
        <v>45929.3978536227</v>
      </c>
      <c r="J452" s="33" t="n">
        <v>45929.3978536227</v>
      </c>
      <c r="K452" s="13" t="s">
        <v>153</v>
      </c>
      <c r="L452" s="13"/>
      <c r="M452" s="13" t="s">
        <v>1604</v>
      </c>
      <c r="N452" s="33" t="n">
        <v>46308.7264460648</v>
      </c>
    </row>
    <row r="453" customFormat="false" ht="15" hidden="false" customHeight="false" outlineLevel="0" collapsed="false">
      <c r="A453" s="13" t="s">
        <v>1605</v>
      </c>
      <c r="B453" s="13" t="s">
        <v>57</v>
      </c>
      <c r="C453" s="13" t="s">
        <v>1265</v>
      </c>
      <c r="D453" s="13" t="s">
        <v>166</v>
      </c>
      <c r="E453" s="13" t="s">
        <v>853</v>
      </c>
      <c r="F453" s="13"/>
      <c r="G453" s="13"/>
      <c r="H453" s="31"/>
      <c r="I453" s="33" t="n">
        <v>45929.3920697338</v>
      </c>
      <c r="J453" s="33" t="n">
        <v>45929.3920697338</v>
      </c>
      <c r="K453" s="13" t="s">
        <v>153</v>
      </c>
      <c r="L453" s="13"/>
      <c r="M453" s="13" t="s">
        <v>1606</v>
      </c>
      <c r="N453" s="33" t="n">
        <v>46308.7264460648</v>
      </c>
    </row>
    <row r="454" customFormat="false" ht="15" hidden="false" customHeight="false" outlineLevel="0" collapsed="false">
      <c r="A454" s="13" t="s">
        <v>1607</v>
      </c>
      <c r="B454" s="13" t="s">
        <v>57</v>
      </c>
      <c r="C454" s="13" t="s">
        <v>1265</v>
      </c>
      <c r="D454" s="13" t="s">
        <v>166</v>
      </c>
      <c r="E454" s="13" t="s">
        <v>853</v>
      </c>
      <c r="F454" s="13"/>
      <c r="G454" s="13"/>
      <c r="H454" s="31"/>
      <c r="I454" s="33" t="n">
        <v>45926.7109052199</v>
      </c>
      <c r="J454" s="33" t="n">
        <v>45926.7109052199</v>
      </c>
      <c r="K454" s="13" t="s">
        <v>153</v>
      </c>
      <c r="L454" s="13"/>
      <c r="M454" s="13" t="s">
        <v>1608</v>
      </c>
      <c r="N454" s="33" t="n">
        <v>46308.7264460648</v>
      </c>
    </row>
    <row r="455" customFormat="false" ht="15" hidden="false" customHeight="false" outlineLevel="0" collapsed="false">
      <c r="A455" s="13" t="s">
        <v>1609</v>
      </c>
      <c r="B455" s="13" t="s">
        <v>57</v>
      </c>
      <c r="C455" s="13" t="s">
        <v>1610</v>
      </c>
      <c r="D455" s="13" t="s">
        <v>166</v>
      </c>
      <c r="E455" s="13" t="s">
        <v>1028</v>
      </c>
      <c r="F455" s="13"/>
      <c r="G455" s="13" t="s">
        <v>159</v>
      </c>
      <c r="H455" s="31"/>
      <c r="I455" s="33" t="n">
        <v>45926.5868024537</v>
      </c>
      <c r="J455" s="33" t="n">
        <v>45926.5868024537</v>
      </c>
      <c r="K455" s="13" t="s">
        <v>153</v>
      </c>
      <c r="L455" s="13"/>
      <c r="M455" s="13" t="s">
        <v>1611</v>
      </c>
      <c r="N455" s="33" t="n">
        <v>46308.7264460648</v>
      </c>
    </row>
    <row r="456" customFormat="false" ht="15" hidden="false" customHeight="false" outlineLevel="0" collapsed="false">
      <c r="A456" s="13" t="s">
        <v>1612</v>
      </c>
      <c r="B456" s="13" t="s">
        <v>57</v>
      </c>
      <c r="C456" s="13" t="s">
        <v>1265</v>
      </c>
      <c r="D456" s="13" t="s">
        <v>166</v>
      </c>
      <c r="E456" s="13" t="s">
        <v>853</v>
      </c>
      <c r="F456" s="13"/>
      <c r="G456" s="13"/>
      <c r="H456" s="31"/>
      <c r="I456" s="33" t="n">
        <v>45926.4812004745</v>
      </c>
      <c r="J456" s="33" t="n">
        <v>45926.4812004745</v>
      </c>
      <c r="K456" s="13" t="s">
        <v>153</v>
      </c>
      <c r="L456" s="13"/>
      <c r="M456" s="13" t="s">
        <v>1613</v>
      </c>
      <c r="N456" s="33" t="n">
        <v>46308.7264460648</v>
      </c>
    </row>
    <row r="457" customFormat="false" ht="15" hidden="false" customHeight="false" outlineLevel="0" collapsed="false">
      <c r="A457" s="13" t="s">
        <v>1614</v>
      </c>
      <c r="B457" s="13" t="s">
        <v>57</v>
      </c>
      <c r="C457" s="13" t="s">
        <v>1615</v>
      </c>
      <c r="D457" s="13" t="s">
        <v>166</v>
      </c>
      <c r="E457" s="13" t="s">
        <v>259</v>
      </c>
      <c r="F457" s="13" t="s">
        <v>60</v>
      </c>
      <c r="G457" s="13"/>
      <c r="H457" s="31"/>
      <c r="I457" s="33" t="n">
        <v>45924.7287895255</v>
      </c>
      <c r="J457" s="33" t="n">
        <v>45924.7287895255</v>
      </c>
      <c r="K457" s="13" t="s">
        <v>153</v>
      </c>
      <c r="L457" s="13" t="s">
        <v>280</v>
      </c>
      <c r="M457" s="13" t="s">
        <v>1616</v>
      </c>
      <c r="N457" s="33" t="n">
        <v>46308.7264460648</v>
      </c>
    </row>
    <row r="458" customFormat="false" ht="15" hidden="false" customHeight="false" outlineLevel="0" collapsed="false">
      <c r="A458" s="13" t="s">
        <v>1617</v>
      </c>
      <c r="B458" s="13" t="s">
        <v>57</v>
      </c>
      <c r="C458" s="13" t="s">
        <v>702</v>
      </c>
      <c r="D458" s="13" t="s">
        <v>166</v>
      </c>
      <c r="E458" s="13" t="s">
        <v>1285</v>
      </c>
      <c r="F458" s="13"/>
      <c r="G458" s="13"/>
      <c r="H458" s="31"/>
      <c r="I458" s="33" t="n">
        <v>45924.724823206</v>
      </c>
      <c r="J458" s="33" t="n">
        <v>45924.724823206</v>
      </c>
      <c r="K458" s="13" t="s">
        <v>153</v>
      </c>
      <c r="L458" s="13"/>
      <c r="M458" s="13" t="s">
        <v>1618</v>
      </c>
      <c r="N458" s="33" t="n">
        <v>46308.7264460648</v>
      </c>
    </row>
    <row r="459" customFormat="false" ht="15" hidden="false" customHeight="false" outlineLevel="0" collapsed="false">
      <c r="A459" s="13" t="s">
        <v>1619</v>
      </c>
      <c r="B459" s="13" t="s">
        <v>57</v>
      </c>
      <c r="C459" s="13" t="s">
        <v>1620</v>
      </c>
      <c r="D459" s="13" t="s">
        <v>166</v>
      </c>
      <c r="E459" s="13" t="s">
        <v>95</v>
      </c>
      <c r="F459" s="13"/>
      <c r="G459" s="13"/>
      <c r="H459" s="31"/>
      <c r="I459" s="33" t="n">
        <v>45924.724823206</v>
      </c>
      <c r="J459" s="33" t="n">
        <v>45924.724823206</v>
      </c>
      <c r="K459" s="13" t="s">
        <v>153</v>
      </c>
      <c r="L459" s="13"/>
      <c r="M459" s="13" t="s">
        <v>1621</v>
      </c>
      <c r="N459" s="33" t="n">
        <v>46308.7264460648</v>
      </c>
    </row>
    <row r="460" customFormat="false" ht="15" hidden="false" customHeight="false" outlineLevel="0" collapsed="false">
      <c r="A460" s="13" t="s">
        <v>1622</v>
      </c>
      <c r="B460" s="13" t="s">
        <v>57</v>
      </c>
      <c r="C460" s="13" t="s">
        <v>1623</v>
      </c>
      <c r="D460" s="13" t="s">
        <v>166</v>
      </c>
      <c r="E460" s="13"/>
      <c r="F460" s="13"/>
      <c r="G460" s="13"/>
      <c r="H460" s="31"/>
      <c r="I460" s="33" t="n">
        <v>45924.724823206</v>
      </c>
      <c r="J460" s="33" t="n">
        <v>45924.724823206</v>
      </c>
      <c r="K460" s="13" t="s">
        <v>153</v>
      </c>
      <c r="L460" s="13"/>
      <c r="M460" s="13" t="s">
        <v>1624</v>
      </c>
      <c r="N460" s="33" t="n">
        <v>46308.7264460648</v>
      </c>
    </row>
    <row r="461" customFormat="false" ht="15" hidden="false" customHeight="false" outlineLevel="0" collapsed="false">
      <c r="A461" s="13" t="s">
        <v>1625</v>
      </c>
      <c r="B461" s="13" t="s">
        <v>57</v>
      </c>
      <c r="C461" s="13" t="s">
        <v>1626</v>
      </c>
      <c r="D461" s="13" t="s">
        <v>166</v>
      </c>
      <c r="E461" s="13" t="s">
        <v>675</v>
      </c>
      <c r="F461" s="13" t="s">
        <v>60</v>
      </c>
      <c r="G461" s="13"/>
      <c r="H461" s="31"/>
      <c r="I461" s="33" t="n">
        <v>45924.724823206</v>
      </c>
      <c r="J461" s="33" t="n">
        <v>45924.724823206</v>
      </c>
      <c r="K461" s="13" t="s">
        <v>153</v>
      </c>
      <c r="L461" s="13" t="s">
        <v>280</v>
      </c>
      <c r="M461" s="13" t="s">
        <v>1627</v>
      </c>
      <c r="N461" s="33" t="n">
        <v>46308.7264460648</v>
      </c>
    </row>
    <row r="462" customFormat="false" ht="15" hidden="false" customHeight="false" outlineLevel="0" collapsed="false">
      <c r="A462" s="13" t="s">
        <v>1628</v>
      </c>
      <c r="B462" s="13" t="s">
        <v>57</v>
      </c>
      <c r="C462" s="13" t="s">
        <v>185</v>
      </c>
      <c r="D462" s="13" t="s">
        <v>166</v>
      </c>
      <c r="E462" s="13"/>
      <c r="F462" s="13"/>
      <c r="G462" s="13"/>
      <c r="H462" s="31"/>
      <c r="I462" s="33" t="n">
        <v>45924.4531254282</v>
      </c>
      <c r="J462" s="33" t="n">
        <v>45924.4531254282</v>
      </c>
      <c r="K462" s="13" t="s">
        <v>153</v>
      </c>
      <c r="L462" s="13"/>
      <c r="M462" s="13" t="s">
        <v>1629</v>
      </c>
      <c r="N462" s="33" t="n">
        <v>46308.7264460648</v>
      </c>
    </row>
    <row r="463" customFormat="false" ht="15" hidden="false" customHeight="false" outlineLevel="0" collapsed="false">
      <c r="A463" s="13" t="s">
        <v>1630</v>
      </c>
      <c r="B463" s="13" t="s">
        <v>57</v>
      </c>
      <c r="C463" s="13" t="s">
        <v>1265</v>
      </c>
      <c r="D463" s="13" t="s">
        <v>166</v>
      </c>
      <c r="E463" s="13" t="s">
        <v>853</v>
      </c>
      <c r="F463" s="13"/>
      <c r="G463" s="13"/>
      <c r="H463" s="31"/>
      <c r="I463" s="33" t="n">
        <v>45923.6781650926</v>
      </c>
      <c r="J463" s="33" t="n">
        <v>45923.6781650926</v>
      </c>
      <c r="K463" s="13" t="s">
        <v>153</v>
      </c>
      <c r="L463" s="13"/>
      <c r="M463" s="13" t="s">
        <v>1631</v>
      </c>
      <c r="N463" s="33" t="n">
        <v>46308.7264460648</v>
      </c>
    </row>
    <row r="464" customFormat="false" ht="15" hidden="false" customHeight="false" outlineLevel="0" collapsed="false">
      <c r="A464" s="13" t="s">
        <v>1632</v>
      </c>
      <c r="B464" s="13" t="s">
        <v>57</v>
      </c>
      <c r="C464" s="13" t="s">
        <v>1633</v>
      </c>
      <c r="D464" s="13" t="s">
        <v>166</v>
      </c>
      <c r="E464" s="13"/>
      <c r="F464" s="13"/>
      <c r="G464" s="13"/>
      <c r="H464" s="31"/>
      <c r="I464" s="33" t="n">
        <v>45923.6638412037</v>
      </c>
      <c r="J464" s="33" t="n">
        <v>45923.6638412037</v>
      </c>
      <c r="K464" s="13" t="s">
        <v>153</v>
      </c>
      <c r="L464" s="13"/>
      <c r="M464" s="13" t="s">
        <v>1634</v>
      </c>
      <c r="N464" s="33" t="n">
        <v>46308.7264460648</v>
      </c>
    </row>
    <row r="465" customFormat="false" ht="15" hidden="false" customHeight="false" outlineLevel="0" collapsed="false">
      <c r="A465" s="13" t="s">
        <v>1635</v>
      </c>
      <c r="B465" s="13" t="s">
        <v>57</v>
      </c>
      <c r="C465" s="13" t="s">
        <v>258</v>
      </c>
      <c r="D465" s="13" t="s">
        <v>166</v>
      </c>
      <c r="E465" s="13" t="s">
        <v>699</v>
      </c>
      <c r="F465" s="13"/>
      <c r="G465" s="13"/>
      <c r="H465" s="31"/>
      <c r="I465" s="33" t="n">
        <v>45923.6306004398</v>
      </c>
      <c r="J465" s="33" t="n">
        <v>45923.6306004398</v>
      </c>
      <c r="K465" s="13" t="s">
        <v>153</v>
      </c>
      <c r="L465" s="13"/>
      <c r="M465" s="13" t="s">
        <v>1636</v>
      </c>
      <c r="N465" s="33" t="n">
        <v>46308.7264460648</v>
      </c>
    </row>
    <row r="466" customFormat="false" ht="15" hidden="false" customHeight="false" outlineLevel="0" collapsed="false">
      <c r="A466" s="13" t="s">
        <v>1637</v>
      </c>
      <c r="B466" s="13" t="s">
        <v>57</v>
      </c>
      <c r="C466" s="13" t="s">
        <v>695</v>
      </c>
      <c r="D466" s="13" t="s">
        <v>166</v>
      </c>
      <c r="E466" s="13" t="s">
        <v>696</v>
      </c>
      <c r="F466" s="13"/>
      <c r="G466" s="13"/>
      <c r="H466" s="31"/>
      <c r="I466" s="33" t="n">
        <v>45923.6306004398</v>
      </c>
      <c r="J466" s="33" t="n">
        <v>45923.6306004398</v>
      </c>
      <c r="K466" s="13" t="s">
        <v>153</v>
      </c>
      <c r="L466" s="13"/>
      <c r="M466" s="13" t="s">
        <v>1638</v>
      </c>
      <c r="N466" s="33" t="n">
        <v>46308.7264460648</v>
      </c>
    </row>
    <row r="467" customFormat="false" ht="15" hidden="false" customHeight="false" outlineLevel="0" collapsed="false">
      <c r="A467" s="13" t="s">
        <v>1639</v>
      </c>
      <c r="B467" s="13" t="s">
        <v>57</v>
      </c>
      <c r="C467" s="13" t="s">
        <v>702</v>
      </c>
      <c r="D467" s="13" t="s">
        <v>166</v>
      </c>
      <c r="E467" s="13"/>
      <c r="F467" s="13"/>
      <c r="G467" s="13"/>
      <c r="H467" s="31"/>
      <c r="I467" s="33" t="n">
        <v>45923.6306004398</v>
      </c>
      <c r="J467" s="33" t="n">
        <v>45923.6306004398</v>
      </c>
      <c r="K467" s="13" t="s">
        <v>153</v>
      </c>
      <c r="L467" s="13"/>
      <c r="M467" s="13" t="s">
        <v>1640</v>
      </c>
      <c r="N467" s="33" t="n">
        <v>46308.7264460648</v>
      </c>
    </row>
    <row r="468" customFormat="false" ht="15" hidden="false" customHeight="false" outlineLevel="0" collapsed="false">
      <c r="A468" s="13" t="s">
        <v>1641</v>
      </c>
      <c r="B468" s="13" t="s">
        <v>57</v>
      </c>
      <c r="C468" s="13" t="s">
        <v>1278</v>
      </c>
      <c r="D468" s="13" t="s">
        <v>166</v>
      </c>
      <c r="E468" s="13"/>
      <c r="F468" s="13"/>
      <c r="G468" s="13"/>
      <c r="H468" s="31"/>
      <c r="I468" s="33" t="n">
        <v>45923.6306004398</v>
      </c>
      <c r="J468" s="33" t="n">
        <v>45923.6306004398</v>
      </c>
      <c r="K468" s="13" t="s">
        <v>153</v>
      </c>
      <c r="L468" s="13"/>
      <c r="M468" s="13" t="s">
        <v>1642</v>
      </c>
      <c r="N468" s="33" t="n">
        <v>46308.7264460648</v>
      </c>
    </row>
    <row r="469" customFormat="false" ht="15" hidden="false" customHeight="false" outlineLevel="0" collapsed="false">
      <c r="A469" s="13" t="s">
        <v>1643</v>
      </c>
      <c r="B469" s="13" t="s">
        <v>57</v>
      </c>
      <c r="C469" s="13" t="s">
        <v>1644</v>
      </c>
      <c r="D469" s="13" t="s">
        <v>166</v>
      </c>
      <c r="E469" s="13" t="s">
        <v>977</v>
      </c>
      <c r="F469" s="13"/>
      <c r="G469" s="13"/>
      <c r="H469" s="31"/>
      <c r="I469" s="33" t="n">
        <v>45923.6306004398</v>
      </c>
      <c r="J469" s="33" t="n">
        <v>45923.6306004398</v>
      </c>
      <c r="K469" s="13" t="s">
        <v>153</v>
      </c>
      <c r="L469" s="13"/>
      <c r="M469" s="13" t="s">
        <v>1645</v>
      </c>
      <c r="N469" s="33" t="n">
        <v>46308.7264460648</v>
      </c>
    </row>
    <row r="470" customFormat="false" ht="15" hidden="false" customHeight="false" outlineLevel="0" collapsed="false">
      <c r="A470" s="13" t="s">
        <v>1646</v>
      </c>
      <c r="B470" s="13" t="s">
        <v>57</v>
      </c>
      <c r="C470" s="13" t="s">
        <v>1647</v>
      </c>
      <c r="D470" s="13" t="s">
        <v>166</v>
      </c>
      <c r="E470" s="13"/>
      <c r="F470" s="13"/>
      <c r="G470" s="13"/>
      <c r="H470" s="31"/>
      <c r="I470" s="33" t="n">
        <v>45923.6152736111</v>
      </c>
      <c r="J470" s="33" t="n">
        <v>45923.6152084375</v>
      </c>
      <c r="K470" s="13" t="s">
        <v>153</v>
      </c>
      <c r="L470" s="13"/>
      <c r="M470" s="13" t="s">
        <v>1648</v>
      </c>
      <c r="N470" s="33" t="n">
        <v>46308.7264460648</v>
      </c>
    </row>
    <row r="471" customFormat="false" ht="15" hidden="false" customHeight="false" outlineLevel="0" collapsed="false">
      <c r="A471" s="13" t="s">
        <v>1649</v>
      </c>
      <c r="B471" s="13" t="s">
        <v>57</v>
      </c>
      <c r="C471" s="13" t="s">
        <v>1650</v>
      </c>
      <c r="D471" s="13" t="s">
        <v>166</v>
      </c>
      <c r="E471" s="13" t="s">
        <v>1432</v>
      </c>
      <c r="F471" s="13"/>
      <c r="G471" s="13"/>
      <c r="H471" s="31"/>
      <c r="I471" s="33" t="n">
        <v>45923.5913546296</v>
      </c>
      <c r="J471" s="33" t="n">
        <v>45923.5913546296</v>
      </c>
      <c r="K471" s="13" t="s">
        <v>153</v>
      </c>
      <c r="L471" s="13"/>
      <c r="M471" s="13" t="s">
        <v>1651</v>
      </c>
      <c r="N471" s="33" t="n">
        <v>46308.7264460648</v>
      </c>
    </row>
    <row r="472" customFormat="false" ht="15" hidden="false" customHeight="false" outlineLevel="0" collapsed="false">
      <c r="A472" s="13" t="s">
        <v>1652</v>
      </c>
      <c r="B472" s="13" t="s">
        <v>57</v>
      </c>
      <c r="C472" s="13" t="s">
        <v>1653</v>
      </c>
      <c r="D472" s="13" t="s">
        <v>166</v>
      </c>
      <c r="E472" s="13"/>
      <c r="F472" s="13"/>
      <c r="G472" s="13"/>
      <c r="H472" s="31"/>
      <c r="I472" s="33" t="n">
        <v>45923.5901928588</v>
      </c>
      <c r="J472" s="33" t="n">
        <v>45923.5901928588</v>
      </c>
      <c r="K472" s="13" t="s">
        <v>153</v>
      </c>
      <c r="L472" s="13"/>
      <c r="M472" s="13" t="s">
        <v>1654</v>
      </c>
      <c r="N472" s="33" t="n">
        <v>46308.7264460648</v>
      </c>
    </row>
    <row r="473" customFormat="false" ht="15" hidden="false" customHeight="false" outlineLevel="0" collapsed="false">
      <c r="A473" s="13" t="s">
        <v>1655</v>
      </c>
      <c r="B473" s="13" t="s">
        <v>57</v>
      </c>
      <c r="C473" s="13" t="s">
        <v>695</v>
      </c>
      <c r="D473" s="13" t="s">
        <v>401</v>
      </c>
      <c r="E473" s="13"/>
      <c r="F473" s="13"/>
      <c r="G473" s="13"/>
      <c r="H473" s="31"/>
      <c r="I473" s="33" t="n">
        <v>45923.5841368866</v>
      </c>
      <c r="J473" s="33"/>
      <c r="K473" s="13" t="s">
        <v>153</v>
      </c>
      <c r="L473" s="13"/>
      <c r="M473" s="13" t="s">
        <v>1656</v>
      </c>
      <c r="N473" s="33" t="n">
        <v>46308.7264460648</v>
      </c>
    </row>
    <row r="474" customFormat="false" ht="15" hidden="false" customHeight="false" outlineLevel="0" collapsed="false">
      <c r="A474" s="13" t="s">
        <v>1657</v>
      </c>
      <c r="B474" s="13" t="s">
        <v>57</v>
      </c>
      <c r="C474" s="13" t="s">
        <v>702</v>
      </c>
      <c r="D474" s="13" t="s">
        <v>401</v>
      </c>
      <c r="E474" s="13"/>
      <c r="F474" s="13"/>
      <c r="G474" s="13"/>
      <c r="H474" s="31"/>
      <c r="I474" s="33" t="n">
        <v>45923.5841368866</v>
      </c>
      <c r="J474" s="33"/>
      <c r="K474" s="13" t="s">
        <v>153</v>
      </c>
      <c r="L474" s="13"/>
      <c r="M474" s="13" t="s">
        <v>1658</v>
      </c>
      <c r="N474" s="33" t="n">
        <v>46308.7264460648</v>
      </c>
    </row>
    <row r="475" customFormat="false" ht="15" hidden="false" customHeight="false" outlineLevel="0" collapsed="false">
      <c r="A475" s="13" t="s">
        <v>1659</v>
      </c>
      <c r="B475" s="13" t="s">
        <v>57</v>
      </c>
      <c r="C475" s="13" t="s">
        <v>185</v>
      </c>
      <c r="D475" s="13" t="s">
        <v>166</v>
      </c>
      <c r="E475" s="13" t="s">
        <v>981</v>
      </c>
      <c r="F475" s="13"/>
      <c r="G475" s="13"/>
      <c r="H475" s="31"/>
      <c r="I475" s="33" t="n">
        <v>45923.5812573843</v>
      </c>
      <c r="J475" s="33" t="n">
        <v>45923.5812573843</v>
      </c>
      <c r="K475" s="13" t="s">
        <v>153</v>
      </c>
      <c r="L475" s="13"/>
      <c r="M475" s="13" t="s">
        <v>1660</v>
      </c>
      <c r="N475" s="33" t="n">
        <v>46308.7264460648</v>
      </c>
    </row>
    <row r="476" customFormat="false" ht="15" hidden="false" customHeight="false" outlineLevel="0" collapsed="false">
      <c r="A476" s="13" t="s">
        <v>1661</v>
      </c>
      <c r="B476" s="13" t="s">
        <v>57</v>
      </c>
      <c r="C476" s="13" t="s">
        <v>258</v>
      </c>
      <c r="D476" s="13" t="s">
        <v>166</v>
      </c>
      <c r="E476" s="13" t="s">
        <v>699</v>
      </c>
      <c r="F476" s="13"/>
      <c r="G476" s="13"/>
      <c r="H476" s="31"/>
      <c r="I476" s="33" t="n">
        <v>45923.5684201505</v>
      </c>
      <c r="J476" s="33" t="n">
        <v>45923.5684201505</v>
      </c>
      <c r="K476" s="13" t="s">
        <v>153</v>
      </c>
      <c r="L476" s="13"/>
      <c r="M476" s="13" t="s">
        <v>1662</v>
      </c>
      <c r="N476" s="33" t="n">
        <v>46308.7264460648</v>
      </c>
    </row>
    <row r="477" customFormat="false" ht="15" hidden="false" customHeight="false" outlineLevel="0" collapsed="false">
      <c r="A477" s="13" t="s">
        <v>1663</v>
      </c>
      <c r="B477" s="13" t="s">
        <v>57</v>
      </c>
      <c r="C477" s="13" t="s">
        <v>152</v>
      </c>
      <c r="D477" s="13" t="s">
        <v>166</v>
      </c>
      <c r="E477" s="13" t="s">
        <v>699</v>
      </c>
      <c r="F477" s="13"/>
      <c r="G477" s="13"/>
      <c r="H477" s="31"/>
      <c r="I477" s="33" t="n">
        <v>45923.5684201505</v>
      </c>
      <c r="J477" s="33" t="n">
        <v>45923.5684201505</v>
      </c>
      <c r="K477" s="13" t="s">
        <v>153</v>
      </c>
      <c r="L477" s="13"/>
      <c r="M477" s="13" t="s">
        <v>1664</v>
      </c>
      <c r="N477" s="33" t="n">
        <v>46308.7264460648</v>
      </c>
    </row>
    <row r="478" customFormat="false" ht="15" hidden="false" customHeight="false" outlineLevel="0" collapsed="false">
      <c r="A478" s="13" t="s">
        <v>1665</v>
      </c>
      <c r="B478" s="13" t="s">
        <v>57</v>
      </c>
      <c r="C478" s="13" t="s">
        <v>852</v>
      </c>
      <c r="D478" s="13" t="s">
        <v>166</v>
      </c>
      <c r="E478" s="13"/>
      <c r="F478" s="13"/>
      <c r="G478" s="13"/>
      <c r="H478" s="31"/>
      <c r="I478" s="33" t="n">
        <v>45923.5684201505</v>
      </c>
      <c r="J478" s="33" t="n">
        <v>45923.5684201505</v>
      </c>
      <c r="K478" s="13" t="s">
        <v>153</v>
      </c>
      <c r="L478" s="13"/>
      <c r="M478" s="13" t="s">
        <v>1666</v>
      </c>
      <c r="N478" s="33" t="n">
        <v>46308.7264460648</v>
      </c>
    </row>
    <row r="479" customFormat="false" ht="15" hidden="false" customHeight="false" outlineLevel="0" collapsed="false">
      <c r="A479" s="13" t="s">
        <v>1667</v>
      </c>
      <c r="B479" s="13" t="s">
        <v>57</v>
      </c>
      <c r="C479" s="13" t="s">
        <v>1668</v>
      </c>
      <c r="D479" s="13" t="s">
        <v>166</v>
      </c>
      <c r="E479" s="13" t="s">
        <v>977</v>
      </c>
      <c r="F479" s="13"/>
      <c r="G479" s="13"/>
      <c r="H479" s="31"/>
      <c r="I479" s="33" t="n">
        <v>45923.5684201505</v>
      </c>
      <c r="J479" s="33" t="n">
        <v>45923.5684201505</v>
      </c>
      <c r="K479" s="13" t="s">
        <v>153</v>
      </c>
      <c r="L479" s="13"/>
      <c r="M479" s="13" t="s">
        <v>1669</v>
      </c>
      <c r="N479" s="33" t="n">
        <v>46308.7264460648</v>
      </c>
    </row>
    <row r="480" customFormat="false" ht="15" hidden="false" customHeight="false" outlineLevel="0" collapsed="false">
      <c r="A480" s="13" t="s">
        <v>1670</v>
      </c>
      <c r="B480" s="13" t="s">
        <v>57</v>
      </c>
      <c r="C480" s="13" t="s">
        <v>695</v>
      </c>
      <c r="D480" s="13" t="s">
        <v>166</v>
      </c>
      <c r="E480" s="13" t="s">
        <v>696</v>
      </c>
      <c r="F480" s="13"/>
      <c r="G480" s="13"/>
      <c r="H480" s="31"/>
      <c r="I480" s="33" t="n">
        <v>45923.567757581</v>
      </c>
      <c r="J480" s="33" t="n">
        <v>45923.5677548958</v>
      </c>
      <c r="K480" s="13" t="s">
        <v>153</v>
      </c>
      <c r="L480" s="13"/>
      <c r="M480" s="13" t="s">
        <v>1671</v>
      </c>
      <c r="N480" s="33" t="n">
        <v>46308.7264460648</v>
      </c>
    </row>
    <row r="481" customFormat="false" ht="15" hidden="false" customHeight="false" outlineLevel="0" collapsed="false">
      <c r="A481" s="13" t="s">
        <v>1672</v>
      </c>
      <c r="B481" s="13" t="s">
        <v>57</v>
      </c>
      <c r="C481" s="13" t="s">
        <v>1265</v>
      </c>
      <c r="D481" s="13" t="s">
        <v>166</v>
      </c>
      <c r="E481" s="13" t="s">
        <v>853</v>
      </c>
      <c r="F481" s="13"/>
      <c r="G481" s="13"/>
      <c r="H481" s="31"/>
      <c r="I481" s="33" t="n">
        <v>45923.5662768866</v>
      </c>
      <c r="J481" s="33" t="n">
        <v>45923.5662768866</v>
      </c>
      <c r="K481" s="13" t="s">
        <v>153</v>
      </c>
      <c r="L481" s="13"/>
      <c r="M481" s="13" t="s">
        <v>1673</v>
      </c>
      <c r="N481" s="33" t="n">
        <v>46308.7264460648</v>
      </c>
    </row>
    <row r="482" customFormat="false" ht="15" hidden="false" customHeight="false" outlineLevel="0" collapsed="false">
      <c r="A482" s="13" t="s">
        <v>1674</v>
      </c>
      <c r="B482" s="13" t="s">
        <v>57</v>
      </c>
      <c r="C482" s="13" t="s">
        <v>1675</v>
      </c>
      <c r="D482" s="13" t="s">
        <v>166</v>
      </c>
      <c r="E482" s="13"/>
      <c r="F482" s="13"/>
      <c r="G482" s="13"/>
      <c r="H482" s="31"/>
      <c r="I482" s="33" t="n">
        <v>45923.5662768866</v>
      </c>
      <c r="J482" s="33" t="n">
        <v>45923.5662768866</v>
      </c>
      <c r="K482" s="13" t="s">
        <v>153</v>
      </c>
      <c r="L482" s="13"/>
      <c r="M482" s="13" t="s">
        <v>1676</v>
      </c>
      <c r="N482" s="33" t="n">
        <v>46308.7264460648</v>
      </c>
    </row>
    <row r="483" customFormat="false" ht="15" hidden="false" customHeight="false" outlineLevel="0" collapsed="false">
      <c r="A483" s="13" t="s">
        <v>1677</v>
      </c>
      <c r="B483" s="13" t="s">
        <v>57</v>
      </c>
      <c r="C483" s="13" t="s">
        <v>1299</v>
      </c>
      <c r="D483" s="13" t="s">
        <v>166</v>
      </c>
      <c r="E483" s="13"/>
      <c r="F483" s="13"/>
      <c r="G483" s="13"/>
      <c r="H483" s="31"/>
      <c r="I483" s="33" t="n">
        <v>45923.5662768866</v>
      </c>
      <c r="J483" s="33" t="n">
        <v>45923.5662768866</v>
      </c>
      <c r="K483" s="13" t="s">
        <v>153</v>
      </c>
      <c r="L483" s="13"/>
      <c r="M483" s="13" t="s">
        <v>1678</v>
      </c>
      <c r="N483" s="33" t="n">
        <v>46308.7264460648</v>
      </c>
    </row>
    <row r="484" customFormat="false" ht="15" hidden="false" customHeight="false" outlineLevel="0" collapsed="false">
      <c r="A484" s="13" t="s">
        <v>1679</v>
      </c>
      <c r="B484" s="13" t="s">
        <v>57</v>
      </c>
      <c r="C484" s="13" t="s">
        <v>1680</v>
      </c>
      <c r="D484" s="13" t="s">
        <v>166</v>
      </c>
      <c r="E484" s="13" t="s">
        <v>977</v>
      </c>
      <c r="F484" s="13"/>
      <c r="G484" s="13"/>
      <c r="H484" s="31"/>
      <c r="I484" s="33" t="n">
        <v>45923.5662768866</v>
      </c>
      <c r="J484" s="33" t="n">
        <v>45923.5662768866</v>
      </c>
      <c r="K484" s="13" t="s">
        <v>153</v>
      </c>
      <c r="L484" s="13"/>
      <c r="M484" s="13" t="s">
        <v>1681</v>
      </c>
      <c r="N484" s="33" t="n">
        <v>46308.7264460648</v>
      </c>
    </row>
    <row r="485" customFormat="false" ht="15" hidden="false" customHeight="false" outlineLevel="0" collapsed="false">
      <c r="A485" s="13" t="s">
        <v>1682</v>
      </c>
      <c r="B485" s="13" t="s">
        <v>57</v>
      </c>
      <c r="C485" s="13" t="s">
        <v>185</v>
      </c>
      <c r="D485" s="13" t="s">
        <v>166</v>
      </c>
      <c r="E485" s="13" t="s">
        <v>981</v>
      </c>
      <c r="F485" s="13"/>
      <c r="G485" s="13"/>
      <c r="H485" s="31"/>
      <c r="I485" s="33" t="n">
        <v>45923.5649723611</v>
      </c>
      <c r="J485" s="33" t="n">
        <v>45923.5649723611</v>
      </c>
      <c r="K485" s="13" t="s">
        <v>153</v>
      </c>
      <c r="L485" s="13"/>
      <c r="M485" s="13" t="s">
        <v>1683</v>
      </c>
      <c r="N485" s="33" t="n">
        <v>46308.7264460648</v>
      </c>
    </row>
    <row r="486" customFormat="false" ht="15" hidden="false" customHeight="false" outlineLevel="0" collapsed="false">
      <c r="A486" s="13" t="s">
        <v>1684</v>
      </c>
      <c r="B486" s="13" t="s">
        <v>57</v>
      </c>
      <c r="C486" s="13" t="s">
        <v>1685</v>
      </c>
      <c r="D486" s="13" t="s">
        <v>166</v>
      </c>
      <c r="E486" s="13"/>
      <c r="F486" s="13"/>
      <c r="G486" s="13"/>
      <c r="H486" s="31"/>
      <c r="I486" s="33" t="n">
        <v>45923.5016089236</v>
      </c>
      <c r="J486" s="33" t="n">
        <v>45923.5016089236</v>
      </c>
      <c r="K486" s="13" t="s">
        <v>153</v>
      </c>
      <c r="L486" s="13"/>
      <c r="M486" s="13" t="s">
        <v>1686</v>
      </c>
      <c r="N486" s="33" t="n">
        <v>46308.7264460648</v>
      </c>
    </row>
    <row r="487" customFormat="false" ht="15" hidden="false" customHeight="false" outlineLevel="0" collapsed="false">
      <c r="A487" s="13" t="s">
        <v>1687</v>
      </c>
      <c r="B487" s="13" t="s">
        <v>57</v>
      </c>
      <c r="C487" s="13" t="s">
        <v>152</v>
      </c>
      <c r="D487" s="13" t="s">
        <v>166</v>
      </c>
      <c r="E487" s="13"/>
      <c r="F487" s="13"/>
      <c r="G487" s="13"/>
      <c r="H487" s="31"/>
      <c r="I487" s="33" t="n">
        <v>45923.4795073958</v>
      </c>
      <c r="J487" s="33" t="n">
        <v>45923.4795073958</v>
      </c>
      <c r="K487" s="13" t="s">
        <v>153</v>
      </c>
      <c r="L487" s="13"/>
      <c r="M487" s="13" t="s">
        <v>1688</v>
      </c>
      <c r="N487" s="33" t="n">
        <v>46308.7264460648</v>
      </c>
    </row>
    <row r="488" customFormat="false" ht="15" hidden="false" customHeight="false" outlineLevel="0" collapsed="false">
      <c r="A488" s="13" t="s">
        <v>1689</v>
      </c>
      <c r="B488" s="13" t="s">
        <v>57</v>
      </c>
      <c r="C488" s="13" t="s">
        <v>852</v>
      </c>
      <c r="D488" s="13" t="s">
        <v>166</v>
      </c>
      <c r="E488" s="13"/>
      <c r="F488" s="13"/>
      <c r="G488" s="13"/>
      <c r="H488" s="31"/>
      <c r="I488" s="33" t="n">
        <v>45923.4795073958</v>
      </c>
      <c r="J488" s="33" t="n">
        <v>45923.4795073958</v>
      </c>
      <c r="K488" s="13" t="s">
        <v>153</v>
      </c>
      <c r="L488" s="13"/>
      <c r="M488" s="13" t="s">
        <v>1690</v>
      </c>
      <c r="N488" s="33" t="n">
        <v>46308.7264460648</v>
      </c>
    </row>
    <row r="489" customFormat="false" ht="15" hidden="false" customHeight="false" outlineLevel="0" collapsed="false">
      <c r="A489" s="13" t="s">
        <v>1691</v>
      </c>
      <c r="B489" s="13" t="s">
        <v>57</v>
      </c>
      <c r="C489" s="13" t="s">
        <v>1692</v>
      </c>
      <c r="D489" s="13" t="s">
        <v>166</v>
      </c>
      <c r="E489" s="13" t="s">
        <v>977</v>
      </c>
      <c r="F489" s="13"/>
      <c r="G489" s="13"/>
      <c r="H489" s="31"/>
      <c r="I489" s="33" t="n">
        <v>45923.4795073958</v>
      </c>
      <c r="J489" s="33" t="n">
        <v>45923.4795073958</v>
      </c>
      <c r="K489" s="13" t="s">
        <v>153</v>
      </c>
      <c r="L489" s="13"/>
      <c r="M489" s="13" t="s">
        <v>1693</v>
      </c>
      <c r="N489" s="33" t="n">
        <v>46308.7264460648</v>
      </c>
    </row>
    <row r="490" customFormat="false" ht="15" hidden="false" customHeight="false" outlineLevel="0" collapsed="false">
      <c r="A490" s="13" t="s">
        <v>1694</v>
      </c>
      <c r="B490" s="13" t="s">
        <v>57</v>
      </c>
      <c r="C490" s="13" t="s">
        <v>1695</v>
      </c>
      <c r="D490" s="13" t="s">
        <v>166</v>
      </c>
      <c r="E490" s="13"/>
      <c r="F490" s="13" t="s">
        <v>736</v>
      </c>
      <c r="G490" s="13"/>
      <c r="H490" s="31"/>
      <c r="I490" s="33" t="n">
        <v>45923.4719818634</v>
      </c>
      <c r="J490" s="33" t="n">
        <v>45923.4719818634</v>
      </c>
      <c r="K490" s="13" t="s">
        <v>153</v>
      </c>
      <c r="L490" s="13" t="s">
        <v>117</v>
      </c>
      <c r="M490" s="13" t="s">
        <v>1696</v>
      </c>
      <c r="N490" s="33" t="n">
        <v>46308.7264460648</v>
      </c>
    </row>
    <row r="491" customFormat="false" ht="15" hidden="false" customHeight="false" outlineLevel="0" collapsed="false">
      <c r="A491" s="13" t="s">
        <v>1697</v>
      </c>
      <c r="B491" s="13" t="s">
        <v>57</v>
      </c>
      <c r="C491" s="13" t="s">
        <v>152</v>
      </c>
      <c r="D491" s="13" t="s">
        <v>166</v>
      </c>
      <c r="E491" s="13" t="s">
        <v>696</v>
      </c>
      <c r="F491" s="13"/>
      <c r="G491" s="13"/>
      <c r="H491" s="31"/>
      <c r="I491" s="33" t="n">
        <v>45923.4577756944</v>
      </c>
      <c r="J491" s="33" t="n">
        <v>45923.4577756944</v>
      </c>
      <c r="K491" s="13" t="s">
        <v>153</v>
      </c>
      <c r="L491" s="13"/>
      <c r="M491" s="13" t="s">
        <v>1698</v>
      </c>
      <c r="N491" s="33" t="n">
        <v>46308.7264460648</v>
      </c>
    </row>
    <row r="492" customFormat="false" ht="15" hidden="false" customHeight="false" outlineLevel="0" collapsed="false">
      <c r="A492" s="13" t="s">
        <v>1699</v>
      </c>
      <c r="B492" s="13" t="s">
        <v>57</v>
      </c>
      <c r="C492" s="13" t="s">
        <v>1278</v>
      </c>
      <c r="D492" s="13" t="s">
        <v>166</v>
      </c>
      <c r="E492" s="13"/>
      <c r="F492" s="13"/>
      <c r="G492" s="13"/>
      <c r="H492" s="31"/>
      <c r="I492" s="33" t="n">
        <v>45923.4577756944</v>
      </c>
      <c r="J492" s="33" t="n">
        <v>45923.4577756944</v>
      </c>
      <c r="K492" s="13" t="s">
        <v>153</v>
      </c>
      <c r="L492" s="13"/>
      <c r="M492" s="13" t="s">
        <v>1700</v>
      </c>
      <c r="N492" s="33" t="n">
        <v>46308.7264460648</v>
      </c>
    </row>
    <row r="493" customFormat="false" ht="15" hidden="false" customHeight="false" outlineLevel="0" collapsed="false">
      <c r="A493" s="13" t="s">
        <v>1701</v>
      </c>
      <c r="B493" s="13" t="s">
        <v>57</v>
      </c>
      <c r="C493" s="13" t="s">
        <v>1702</v>
      </c>
      <c r="D493" s="13" t="s">
        <v>166</v>
      </c>
      <c r="E493" s="13" t="s">
        <v>1293</v>
      </c>
      <c r="F493" s="13"/>
      <c r="G493" s="13"/>
      <c r="H493" s="31"/>
      <c r="I493" s="33" t="n">
        <v>45923.4577756944</v>
      </c>
      <c r="J493" s="33" t="n">
        <v>45923.4577756944</v>
      </c>
      <c r="K493" s="13" t="s">
        <v>153</v>
      </c>
      <c r="L493" s="13"/>
      <c r="M493" s="13" t="s">
        <v>1703</v>
      </c>
      <c r="N493" s="33" t="n">
        <v>46308.7264460648</v>
      </c>
    </row>
    <row r="494" customFormat="false" ht="15" hidden="false" customHeight="false" outlineLevel="0" collapsed="false">
      <c r="A494" s="13" t="s">
        <v>1704</v>
      </c>
      <c r="B494" s="13" t="s">
        <v>57</v>
      </c>
      <c r="C494" s="13" t="s">
        <v>695</v>
      </c>
      <c r="D494" s="13" t="s">
        <v>166</v>
      </c>
      <c r="E494" s="13" t="s">
        <v>696</v>
      </c>
      <c r="F494" s="13"/>
      <c r="G494" s="13"/>
      <c r="H494" s="31"/>
      <c r="I494" s="33" t="n">
        <v>45923.430616875</v>
      </c>
      <c r="J494" s="33" t="n">
        <v>45923.430616875</v>
      </c>
      <c r="K494" s="13" t="s">
        <v>153</v>
      </c>
      <c r="L494" s="13"/>
      <c r="M494" s="13" t="s">
        <v>1705</v>
      </c>
      <c r="N494" s="33" t="n">
        <v>46308.7264460648</v>
      </c>
    </row>
    <row r="495" customFormat="false" ht="15" hidden="false" customHeight="false" outlineLevel="0" collapsed="false">
      <c r="A495" s="13" t="s">
        <v>1706</v>
      </c>
      <c r="B495" s="13" t="s">
        <v>57</v>
      </c>
      <c r="C495" s="13" t="s">
        <v>695</v>
      </c>
      <c r="D495" s="13" t="s">
        <v>166</v>
      </c>
      <c r="E495" s="13"/>
      <c r="F495" s="13"/>
      <c r="G495" s="13"/>
      <c r="H495" s="31"/>
      <c r="I495" s="33" t="n">
        <v>45923.4299417014</v>
      </c>
      <c r="J495" s="33" t="n">
        <v>45923.4299417014</v>
      </c>
      <c r="K495" s="13" t="s">
        <v>153</v>
      </c>
      <c r="L495" s="13"/>
      <c r="M495" s="13" t="s">
        <v>1707</v>
      </c>
      <c r="N495" s="33" t="n">
        <v>46308.7264460648</v>
      </c>
    </row>
    <row r="496" customFormat="false" ht="15" hidden="false" customHeight="false" outlineLevel="0" collapsed="false">
      <c r="A496" s="13" t="s">
        <v>1708</v>
      </c>
      <c r="B496" s="13" t="s">
        <v>57</v>
      </c>
      <c r="C496" s="13" t="s">
        <v>695</v>
      </c>
      <c r="D496" s="13" t="s">
        <v>166</v>
      </c>
      <c r="E496" s="13" t="s">
        <v>696</v>
      </c>
      <c r="F496" s="13"/>
      <c r="G496" s="13"/>
      <c r="H496" s="31"/>
      <c r="I496" s="33" t="n">
        <v>45923.429334919</v>
      </c>
      <c r="J496" s="33" t="n">
        <v>45923.429334919</v>
      </c>
      <c r="K496" s="13" t="s">
        <v>153</v>
      </c>
      <c r="L496" s="13"/>
      <c r="M496" s="13" t="s">
        <v>1709</v>
      </c>
      <c r="N496" s="33" t="n">
        <v>46308.7264460648</v>
      </c>
    </row>
    <row r="497" customFormat="false" ht="15" hidden="false" customHeight="false" outlineLevel="0" collapsed="false">
      <c r="A497" s="13" t="s">
        <v>1710</v>
      </c>
      <c r="B497" s="13" t="s">
        <v>57</v>
      </c>
      <c r="C497" s="13" t="s">
        <v>1278</v>
      </c>
      <c r="D497" s="13" t="s">
        <v>166</v>
      </c>
      <c r="E497" s="13"/>
      <c r="F497" s="13"/>
      <c r="G497" s="13"/>
      <c r="H497" s="31"/>
      <c r="I497" s="33" t="n">
        <v>45923.4119391667</v>
      </c>
      <c r="J497" s="33" t="n">
        <v>45923.4119391667</v>
      </c>
      <c r="K497" s="13" t="s">
        <v>153</v>
      </c>
      <c r="L497" s="13"/>
      <c r="M497" s="13" t="s">
        <v>1711</v>
      </c>
      <c r="N497" s="33" t="n">
        <v>46308.7264460648</v>
      </c>
    </row>
    <row r="498" customFormat="false" ht="15" hidden="false" customHeight="false" outlineLevel="0" collapsed="false">
      <c r="A498" s="13" t="s">
        <v>1712</v>
      </c>
      <c r="B498" s="13" t="s">
        <v>57</v>
      </c>
      <c r="C498" s="13" t="s">
        <v>1713</v>
      </c>
      <c r="D498" s="13" t="s">
        <v>166</v>
      </c>
      <c r="E498" s="13" t="s">
        <v>977</v>
      </c>
      <c r="F498" s="13"/>
      <c r="G498" s="13" t="s">
        <v>159</v>
      </c>
      <c r="H498" s="31"/>
      <c r="I498" s="33" t="n">
        <v>45923.4119391667</v>
      </c>
      <c r="J498" s="33" t="n">
        <v>45923.4119391667</v>
      </c>
      <c r="K498" s="13" t="s">
        <v>153</v>
      </c>
      <c r="L498" s="13"/>
      <c r="M498" s="13" t="s">
        <v>1714</v>
      </c>
      <c r="N498" s="33" t="n">
        <v>46308.7264460648</v>
      </c>
    </row>
    <row r="499" customFormat="false" ht="15" hidden="false" customHeight="false" outlineLevel="0" collapsed="false">
      <c r="A499" s="13" t="s">
        <v>1715</v>
      </c>
      <c r="B499" s="13" t="s">
        <v>57</v>
      </c>
      <c r="C499" s="13" t="s">
        <v>258</v>
      </c>
      <c r="D499" s="13" t="s">
        <v>166</v>
      </c>
      <c r="E499" s="13" t="s">
        <v>1414</v>
      </c>
      <c r="F499" s="13"/>
      <c r="G499" s="13"/>
      <c r="H499" s="31"/>
      <c r="I499" s="33" t="n">
        <v>45923.3570515625</v>
      </c>
      <c r="J499" s="33" t="n">
        <v>45923.3570515625</v>
      </c>
      <c r="K499" s="13" t="s">
        <v>153</v>
      </c>
      <c r="L499" s="13"/>
      <c r="M499" s="13" t="s">
        <v>1716</v>
      </c>
      <c r="N499" s="33" t="n">
        <v>46308.7264460648</v>
      </c>
    </row>
    <row r="500" customFormat="false" ht="15" hidden="false" customHeight="false" outlineLevel="0" collapsed="false">
      <c r="A500" s="13" t="s">
        <v>1717</v>
      </c>
      <c r="B500" s="13" t="s">
        <v>57</v>
      </c>
      <c r="C500" s="13" t="s">
        <v>258</v>
      </c>
      <c r="D500" s="13" t="s">
        <v>166</v>
      </c>
      <c r="E500" s="13" t="s">
        <v>1414</v>
      </c>
      <c r="F500" s="13"/>
      <c r="G500" s="13"/>
      <c r="H500" s="31"/>
      <c r="I500" s="33" t="n">
        <v>45923.3559022454</v>
      </c>
      <c r="J500" s="33" t="n">
        <v>45923.3559022454</v>
      </c>
      <c r="K500" s="13" t="s">
        <v>153</v>
      </c>
      <c r="L500" s="13"/>
      <c r="M500" s="13" t="s">
        <v>1718</v>
      </c>
      <c r="N500" s="33" t="n">
        <v>46308.7264460648</v>
      </c>
    </row>
    <row r="501" customFormat="false" ht="15" hidden="false" customHeight="false" outlineLevel="0" collapsed="false">
      <c r="A501" s="13" t="s">
        <v>1719</v>
      </c>
      <c r="B501" s="13" t="s">
        <v>57</v>
      </c>
      <c r="C501" s="13" t="s">
        <v>185</v>
      </c>
      <c r="D501" s="13" t="s">
        <v>166</v>
      </c>
      <c r="E501" s="13" t="s">
        <v>981</v>
      </c>
      <c r="F501" s="13"/>
      <c r="G501" s="13"/>
      <c r="H501" s="31"/>
      <c r="I501" s="33" t="n">
        <v>45923.3524386806</v>
      </c>
      <c r="J501" s="33" t="n">
        <v>45923.3524386806</v>
      </c>
      <c r="K501" s="13" t="s">
        <v>153</v>
      </c>
      <c r="L501" s="13"/>
      <c r="M501" s="13" t="s">
        <v>1720</v>
      </c>
      <c r="N501" s="33" t="n">
        <v>46308.7264460648</v>
      </c>
    </row>
    <row r="502" customFormat="false" ht="15" hidden="false" customHeight="false" outlineLevel="0" collapsed="false">
      <c r="A502" s="13" t="s">
        <v>1721</v>
      </c>
      <c r="B502" s="13" t="s">
        <v>57</v>
      </c>
      <c r="C502" s="13" t="s">
        <v>185</v>
      </c>
      <c r="D502" s="13" t="s">
        <v>166</v>
      </c>
      <c r="E502" s="13" t="s">
        <v>981</v>
      </c>
      <c r="F502" s="13"/>
      <c r="G502" s="13"/>
      <c r="H502" s="31"/>
      <c r="I502" s="33" t="n">
        <v>45922.7287203819</v>
      </c>
      <c r="J502" s="33" t="n">
        <v>45922.7287203819</v>
      </c>
      <c r="K502" s="13" t="s">
        <v>153</v>
      </c>
      <c r="L502" s="13"/>
      <c r="M502" s="13" t="s">
        <v>1722</v>
      </c>
      <c r="N502" s="33" t="n">
        <v>46308.7264460648</v>
      </c>
    </row>
    <row r="503" customFormat="false" ht="15" hidden="false" customHeight="false" outlineLevel="0" collapsed="false">
      <c r="A503" s="13" t="s">
        <v>1723</v>
      </c>
      <c r="B503" s="13" t="s">
        <v>57</v>
      </c>
      <c r="C503" s="13" t="s">
        <v>185</v>
      </c>
      <c r="D503" s="13" t="s">
        <v>166</v>
      </c>
      <c r="E503" s="13" t="s">
        <v>981</v>
      </c>
      <c r="F503" s="13"/>
      <c r="G503" s="13"/>
      <c r="H503" s="31"/>
      <c r="I503" s="33" t="n">
        <v>45922.7024226273</v>
      </c>
      <c r="J503" s="33" t="n">
        <v>45922.7024226273</v>
      </c>
      <c r="K503" s="13" t="s">
        <v>153</v>
      </c>
      <c r="L503" s="13"/>
      <c r="M503" s="13" t="s">
        <v>1724</v>
      </c>
      <c r="N503" s="33" t="n">
        <v>46308.7264460648</v>
      </c>
    </row>
    <row r="504" customFormat="false" ht="15" hidden="false" customHeight="false" outlineLevel="0" collapsed="false">
      <c r="A504" s="13" t="s">
        <v>1725</v>
      </c>
      <c r="B504" s="13" t="s">
        <v>57</v>
      </c>
      <c r="C504" s="13" t="s">
        <v>185</v>
      </c>
      <c r="D504" s="13" t="s">
        <v>166</v>
      </c>
      <c r="E504" s="13" t="s">
        <v>981</v>
      </c>
      <c r="F504" s="13"/>
      <c r="G504" s="13"/>
      <c r="H504" s="31"/>
      <c r="I504" s="33" t="n">
        <v>45922.6122668403</v>
      </c>
      <c r="J504" s="33" t="n">
        <v>45922.6122668403</v>
      </c>
      <c r="K504" s="13" t="s">
        <v>153</v>
      </c>
      <c r="L504" s="13"/>
      <c r="M504" s="13" t="s">
        <v>1726</v>
      </c>
      <c r="N504" s="33" t="n">
        <v>46308.7264460648</v>
      </c>
    </row>
    <row r="505" customFormat="false" ht="15" hidden="false" customHeight="false" outlineLevel="0" collapsed="false">
      <c r="A505" s="13" t="s">
        <v>1727</v>
      </c>
      <c r="B505" s="13" t="s">
        <v>57</v>
      </c>
      <c r="C505" s="13" t="s">
        <v>1265</v>
      </c>
      <c r="D505" s="13" t="s">
        <v>166</v>
      </c>
      <c r="E505" s="13" t="s">
        <v>853</v>
      </c>
      <c r="F505" s="13"/>
      <c r="G505" s="13"/>
      <c r="H505" s="31"/>
      <c r="I505" s="33" t="n">
        <v>45922.60649375</v>
      </c>
      <c r="J505" s="33" t="n">
        <v>45922.60649375</v>
      </c>
      <c r="K505" s="13" t="s">
        <v>153</v>
      </c>
      <c r="L505" s="13"/>
      <c r="M505" s="13" t="s">
        <v>1728</v>
      </c>
      <c r="N505" s="33" t="n">
        <v>46308.7264460648</v>
      </c>
    </row>
    <row r="506" customFormat="false" ht="15" hidden="false" customHeight="false" outlineLevel="0" collapsed="false">
      <c r="A506" s="13" t="s">
        <v>1729</v>
      </c>
      <c r="B506" s="13" t="s">
        <v>57</v>
      </c>
      <c r="C506" s="13" t="s">
        <v>185</v>
      </c>
      <c r="D506" s="13" t="s">
        <v>166</v>
      </c>
      <c r="E506" s="13" t="s">
        <v>981</v>
      </c>
      <c r="F506" s="13"/>
      <c r="G506" s="13"/>
      <c r="H506" s="31"/>
      <c r="I506" s="33" t="n">
        <v>45922.5696417708</v>
      </c>
      <c r="J506" s="33" t="n">
        <v>45922.5696417708</v>
      </c>
      <c r="K506" s="13" t="s">
        <v>153</v>
      </c>
      <c r="L506" s="13"/>
      <c r="M506" s="13" t="s">
        <v>1730</v>
      </c>
      <c r="N506" s="33" t="n">
        <v>46308.7264460648</v>
      </c>
    </row>
    <row r="507" customFormat="false" ht="15" hidden="false" customHeight="false" outlineLevel="0" collapsed="false">
      <c r="A507" s="13" t="s">
        <v>1731</v>
      </c>
      <c r="B507" s="13" t="s">
        <v>57</v>
      </c>
      <c r="C507" s="13" t="s">
        <v>1732</v>
      </c>
      <c r="D507" s="13" t="s">
        <v>166</v>
      </c>
      <c r="E507" s="13" t="s">
        <v>699</v>
      </c>
      <c r="F507" s="13"/>
      <c r="G507" s="13"/>
      <c r="H507" s="31"/>
      <c r="I507" s="33" t="n">
        <v>45918.7075768171</v>
      </c>
      <c r="J507" s="33" t="n">
        <v>45918.7074294445</v>
      </c>
      <c r="K507" s="13" t="s">
        <v>153</v>
      </c>
      <c r="L507" s="13"/>
      <c r="M507" s="13" t="s">
        <v>1733</v>
      </c>
      <c r="N507" s="33" t="n">
        <v>46308.7264460648</v>
      </c>
    </row>
    <row r="508" customFormat="false" ht="15" hidden="false" customHeight="false" outlineLevel="0" collapsed="false">
      <c r="A508" s="13" t="s">
        <v>1734</v>
      </c>
      <c r="B508" s="13" t="s">
        <v>57</v>
      </c>
      <c r="C508" s="13" t="s">
        <v>597</v>
      </c>
      <c r="D508" s="13" t="s">
        <v>166</v>
      </c>
      <c r="E508" s="13" t="s">
        <v>696</v>
      </c>
      <c r="F508" s="13"/>
      <c r="G508" s="13"/>
      <c r="H508" s="31"/>
      <c r="I508" s="33" t="n">
        <v>45918.7010609259</v>
      </c>
      <c r="J508" s="33" t="n">
        <v>45918.7010609259</v>
      </c>
      <c r="K508" s="13" t="s">
        <v>153</v>
      </c>
      <c r="L508" s="13"/>
      <c r="M508" s="13" t="s">
        <v>1735</v>
      </c>
      <c r="N508" s="33" t="n">
        <v>46308.7264460648</v>
      </c>
    </row>
    <row r="509" customFormat="false" ht="15" hidden="false" customHeight="false" outlineLevel="0" collapsed="false">
      <c r="A509" s="13" t="s">
        <v>1736</v>
      </c>
      <c r="B509" s="13" t="s">
        <v>57</v>
      </c>
      <c r="C509" s="13" t="s">
        <v>1737</v>
      </c>
      <c r="D509" s="13" t="s">
        <v>166</v>
      </c>
      <c r="E509" s="13" t="s">
        <v>699</v>
      </c>
      <c r="F509" s="13"/>
      <c r="G509" s="13"/>
      <c r="H509" s="31"/>
      <c r="I509" s="33" t="n">
        <v>45918.6971451736</v>
      </c>
      <c r="J509" s="33" t="n">
        <v>45916.7436905093</v>
      </c>
      <c r="K509" s="13" t="s">
        <v>153</v>
      </c>
      <c r="L509" s="13"/>
      <c r="M509" s="13" t="s">
        <v>1738</v>
      </c>
      <c r="N509" s="33" t="n">
        <v>46308.7264460648</v>
      </c>
    </row>
    <row r="510" customFormat="false" ht="15" hidden="false" customHeight="false" outlineLevel="0" collapsed="false">
      <c r="A510" s="13" t="s">
        <v>1739</v>
      </c>
      <c r="B510" s="13" t="s">
        <v>57</v>
      </c>
      <c r="C510" s="13" t="s">
        <v>1740</v>
      </c>
      <c r="D510" s="13" t="s">
        <v>166</v>
      </c>
      <c r="E510" s="13" t="s">
        <v>95</v>
      </c>
      <c r="F510" s="13"/>
      <c r="G510" s="13" t="s">
        <v>189</v>
      </c>
      <c r="H510" s="31"/>
      <c r="I510" s="33" t="n">
        <v>45918.6599336921</v>
      </c>
      <c r="J510" s="33" t="n">
        <v>45918.6599336921</v>
      </c>
      <c r="K510" s="13" t="s">
        <v>153</v>
      </c>
      <c r="L510" s="13"/>
      <c r="M510" s="13" t="s">
        <v>1741</v>
      </c>
      <c r="N510" s="33" t="n">
        <v>46308.7264460648</v>
      </c>
    </row>
    <row r="511" customFormat="false" ht="15" hidden="false" customHeight="false" outlineLevel="0" collapsed="false">
      <c r="A511" s="13" t="s">
        <v>1742</v>
      </c>
      <c r="B511" s="13" t="s">
        <v>57</v>
      </c>
      <c r="C511" s="13" t="s">
        <v>258</v>
      </c>
      <c r="D511" s="13" t="s">
        <v>166</v>
      </c>
      <c r="E511" s="13" t="s">
        <v>1743</v>
      </c>
      <c r="F511" s="13"/>
      <c r="G511" s="13"/>
      <c r="H511" s="31"/>
      <c r="I511" s="33" t="n">
        <v>45918.4413670833</v>
      </c>
      <c r="J511" s="33" t="n">
        <v>45918.4413670833</v>
      </c>
      <c r="K511" s="13" t="s">
        <v>153</v>
      </c>
      <c r="L511" s="13"/>
      <c r="M511" s="13" t="s">
        <v>1744</v>
      </c>
      <c r="N511" s="33" t="n">
        <v>46308.7264460648</v>
      </c>
    </row>
    <row r="512" customFormat="false" ht="15" hidden="false" customHeight="false" outlineLevel="0" collapsed="false">
      <c r="A512" s="13" t="s">
        <v>1745</v>
      </c>
      <c r="B512" s="13" t="s">
        <v>57</v>
      </c>
      <c r="C512" s="13" t="s">
        <v>1620</v>
      </c>
      <c r="D512" s="13" t="s">
        <v>166</v>
      </c>
      <c r="E512" s="13" t="s">
        <v>95</v>
      </c>
      <c r="F512" s="13"/>
      <c r="G512" s="13"/>
      <c r="H512" s="31"/>
      <c r="I512" s="33" t="n">
        <v>45918.4170831482</v>
      </c>
      <c r="J512" s="33" t="n">
        <v>45918.4170831482</v>
      </c>
      <c r="K512" s="13" t="s">
        <v>153</v>
      </c>
      <c r="L512" s="13"/>
      <c r="M512" s="13" t="s">
        <v>1746</v>
      </c>
      <c r="N512" s="33" t="n">
        <v>46308.7264460648</v>
      </c>
    </row>
    <row r="513" customFormat="false" ht="15" hidden="false" customHeight="false" outlineLevel="0" collapsed="false">
      <c r="A513" s="13" t="s">
        <v>1747</v>
      </c>
      <c r="B513" s="13" t="s">
        <v>57</v>
      </c>
      <c r="C513" s="13" t="s">
        <v>1265</v>
      </c>
      <c r="D513" s="13" t="s">
        <v>166</v>
      </c>
      <c r="E513" s="13"/>
      <c r="F513" s="13"/>
      <c r="G513" s="13"/>
      <c r="H513" s="31"/>
      <c r="I513" s="33" t="n">
        <v>45917.7372330787</v>
      </c>
      <c r="J513" s="33" t="n">
        <v>45917.7372330787</v>
      </c>
      <c r="K513" s="13" t="s">
        <v>153</v>
      </c>
      <c r="L513" s="13"/>
      <c r="M513" s="13" t="s">
        <v>1748</v>
      </c>
      <c r="N513" s="33" t="n">
        <v>46308.7264460648</v>
      </c>
    </row>
    <row r="514" customFormat="false" ht="15" hidden="false" customHeight="false" outlineLevel="0" collapsed="false">
      <c r="A514" s="13" t="s">
        <v>1749</v>
      </c>
      <c r="B514" s="13" t="s">
        <v>57</v>
      </c>
      <c r="C514" s="13" t="s">
        <v>185</v>
      </c>
      <c r="D514" s="13" t="s">
        <v>166</v>
      </c>
      <c r="E514" s="13" t="s">
        <v>981</v>
      </c>
      <c r="F514" s="13"/>
      <c r="G514" s="13"/>
      <c r="H514" s="31"/>
      <c r="I514" s="33" t="n">
        <v>45917.4779922917</v>
      </c>
      <c r="J514" s="33" t="n">
        <v>45917.4779922917</v>
      </c>
      <c r="K514" s="13" t="s">
        <v>153</v>
      </c>
      <c r="L514" s="13"/>
      <c r="M514" s="13" t="s">
        <v>1750</v>
      </c>
      <c r="N514" s="33" t="n">
        <v>46308.7264460648</v>
      </c>
    </row>
    <row r="515" customFormat="false" ht="15" hidden="false" customHeight="false" outlineLevel="0" collapsed="false">
      <c r="A515" s="13" t="s">
        <v>1751</v>
      </c>
      <c r="B515" s="13" t="s">
        <v>57</v>
      </c>
      <c r="C515" s="13" t="s">
        <v>695</v>
      </c>
      <c r="D515" s="13" t="s">
        <v>166</v>
      </c>
      <c r="E515" s="13" t="s">
        <v>696</v>
      </c>
      <c r="F515" s="13"/>
      <c r="G515" s="13"/>
      <c r="H515" s="31"/>
      <c r="I515" s="33" t="n">
        <v>45916.7485583333</v>
      </c>
      <c r="J515" s="33" t="n">
        <v>45916.7485583333</v>
      </c>
      <c r="K515" s="13" t="s">
        <v>153</v>
      </c>
      <c r="L515" s="13"/>
      <c r="M515" s="13" t="s">
        <v>1752</v>
      </c>
      <c r="N515" s="33" t="n">
        <v>46308.7264460648</v>
      </c>
    </row>
    <row r="516" customFormat="false" ht="15" hidden="false" customHeight="false" outlineLevel="0" collapsed="false">
      <c r="A516" s="13" t="s">
        <v>1753</v>
      </c>
      <c r="B516" s="13" t="s">
        <v>57</v>
      </c>
      <c r="C516" s="13" t="s">
        <v>185</v>
      </c>
      <c r="D516" s="13" t="s">
        <v>166</v>
      </c>
      <c r="E516" s="13" t="s">
        <v>981</v>
      </c>
      <c r="F516" s="13"/>
      <c r="G516" s="13"/>
      <c r="H516" s="31"/>
      <c r="I516" s="33" t="n">
        <v>45916.7276243866</v>
      </c>
      <c r="J516" s="33" t="n">
        <v>45916.7276243866</v>
      </c>
      <c r="K516" s="13" t="s">
        <v>153</v>
      </c>
      <c r="L516" s="13"/>
      <c r="M516" s="13" t="s">
        <v>1754</v>
      </c>
      <c r="N516" s="33" t="n">
        <v>46308.7264460648</v>
      </c>
    </row>
    <row r="517" customFormat="false" ht="15" hidden="false" customHeight="false" outlineLevel="0" collapsed="false">
      <c r="A517" s="13" t="s">
        <v>1755</v>
      </c>
      <c r="B517" s="13" t="s">
        <v>57</v>
      </c>
      <c r="C517" s="13" t="s">
        <v>185</v>
      </c>
      <c r="D517" s="13" t="s">
        <v>166</v>
      </c>
      <c r="E517" s="13" t="s">
        <v>981</v>
      </c>
      <c r="F517" s="13"/>
      <c r="G517" s="13"/>
      <c r="H517" s="31"/>
      <c r="I517" s="33" t="n">
        <v>45916.7275295139</v>
      </c>
      <c r="J517" s="33" t="n">
        <v>45916.7275295139</v>
      </c>
      <c r="K517" s="13" t="s">
        <v>153</v>
      </c>
      <c r="L517" s="13"/>
      <c r="M517" s="13" t="s">
        <v>1756</v>
      </c>
      <c r="N517" s="33" t="n">
        <v>46308.7264460648</v>
      </c>
    </row>
    <row r="518" customFormat="false" ht="15" hidden="false" customHeight="false" outlineLevel="0" collapsed="false">
      <c r="A518" s="13" t="s">
        <v>1757</v>
      </c>
      <c r="B518" s="13" t="s">
        <v>57</v>
      </c>
      <c r="C518" s="13" t="s">
        <v>1265</v>
      </c>
      <c r="D518" s="13" t="s">
        <v>166</v>
      </c>
      <c r="E518" s="13"/>
      <c r="F518" s="13"/>
      <c r="G518" s="13"/>
      <c r="H518" s="31"/>
      <c r="I518" s="33" t="n">
        <v>45916.3759230208</v>
      </c>
      <c r="J518" s="33" t="n">
        <v>45916.3759230208</v>
      </c>
      <c r="K518" s="13" t="s">
        <v>153</v>
      </c>
      <c r="L518" s="13"/>
      <c r="M518" s="13" t="s">
        <v>1758</v>
      </c>
      <c r="N518" s="33" t="n">
        <v>46308.7264460648</v>
      </c>
    </row>
    <row r="519" customFormat="false" ht="15" hidden="false" customHeight="false" outlineLevel="0" collapsed="false">
      <c r="A519" s="13" t="s">
        <v>1759</v>
      </c>
      <c r="B519" s="13" t="s">
        <v>57</v>
      </c>
      <c r="C519" s="13" t="s">
        <v>185</v>
      </c>
      <c r="D519" s="13" t="s">
        <v>166</v>
      </c>
      <c r="E519" s="13" t="s">
        <v>981</v>
      </c>
      <c r="F519" s="13"/>
      <c r="G519" s="13"/>
      <c r="H519" s="31"/>
      <c r="I519" s="33" t="n">
        <v>45915.7316734375</v>
      </c>
      <c r="J519" s="33" t="n">
        <v>45915.7316734375</v>
      </c>
      <c r="K519" s="13" t="s">
        <v>153</v>
      </c>
      <c r="L519" s="13"/>
      <c r="M519" s="13" t="s">
        <v>1760</v>
      </c>
      <c r="N519" s="33" t="n">
        <v>46308.7264460648</v>
      </c>
    </row>
    <row r="520" customFormat="false" ht="15" hidden="false" customHeight="false" outlineLevel="0" collapsed="false">
      <c r="A520" s="13" t="s">
        <v>1761</v>
      </c>
      <c r="B520" s="13" t="s">
        <v>57</v>
      </c>
      <c r="C520" s="13" t="s">
        <v>1762</v>
      </c>
      <c r="D520" s="13" t="s">
        <v>166</v>
      </c>
      <c r="E520" s="13" t="s">
        <v>1763</v>
      </c>
      <c r="F520" s="13"/>
      <c r="G520" s="13"/>
      <c r="H520" s="31"/>
      <c r="I520" s="33" t="n">
        <v>45915.4588613079</v>
      </c>
      <c r="J520" s="33" t="n">
        <v>45915.4588613079</v>
      </c>
      <c r="K520" s="13" t="s">
        <v>153</v>
      </c>
      <c r="L520" s="13"/>
      <c r="M520" s="13" t="s">
        <v>1764</v>
      </c>
      <c r="N520" s="33" t="n">
        <v>46308.7264460648</v>
      </c>
    </row>
    <row r="521" customFormat="false" ht="15" hidden="false" customHeight="false" outlineLevel="0" collapsed="false">
      <c r="A521" s="13" t="s">
        <v>1765</v>
      </c>
      <c r="B521" s="13" t="s">
        <v>57</v>
      </c>
      <c r="C521" s="13" t="s">
        <v>1265</v>
      </c>
      <c r="D521" s="13" t="s">
        <v>166</v>
      </c>
      <c r="E521" s="13" t="s">
        <v>853</v>
      </c>
      <c r="F521" s="13"/>
      <c r="G521" s="13"/>
      <c r="H521" s="31"/>
      <c r="I521" s="33" t="n">
        <v>45915.4423459259</v>
      </c>
      <c r="J521" s="33" t="n">
        <v>45915.4423459259</v>
      </c>
      <c r="K521" s="13" t="s">
        <v>153</v>
      </c>
      <c r="L521" s="13"/>
      <c r="M521" s="13" t="s">
        <v>1766</v>
      </c>
      <c r="N521" s="33" t="n">
        <v>46308.7264460648</v>
      </c>
    </row>
    <row r="522" customFormat="false" ht="15" hidden="false" customHeight="false" outlineLevel="0" collapsed="false">
      <c r="A522" s="13" t="s">
        <v>1767</v>
      </c>
      <c r="B522" s="13" t="s">
        <v>57</v>
      </c>
      <c r="C522" s="13" t="s">
        <v>695</v>
      </c>
      <c r="D522" s="13" t="s">
        <v>166</v>
      </c>
      <c r="E522" s="13" t="s">
        <v>696</v>
      </c>
      <c r="F522" s="13"/>
      <c r="G522" s="13"/>
      <c r="H522" s="31"/>
      <c r="I522" s="33" t="n">
        <v>45915.3674089468</v>
      </c>
      <c r="J522" s="33" t="n">
        <v>45915.3674089468</v>
      </c>
      <c r="K522" s="13" t="s">
        <v>153</v>
      </c>
      <c r="L522" s="13"/>
      <c r="M522" s="13" t="s">
        <v>1768</v>
      </c>
      <c r="N522" s="33" t="n">
        <v>46308.7264460648</v>
      </c>
    </row>
    <row r="523" customFormat="false" ht="15" hidden="false" customHeight="false" outlineLevel="0" collapsed="false">
      <c r="A523" s="13" t="s">
        <v>1769</v>
      </c>
      <c r="B523" s="13" t="s">
        <v>57</v>
      </c>
      <c r="C523" s="13" t="s">
        <v>1770</v>
      </c>
      <c r="D523" s="13" t="s">
        <v>166</v>
      </c>
      <c r="E523" s="13" t="s">
        <v>696</v>
      </c>
      <c r="F523" s="13"/>
      <c r="G523" s="13"/>
      <c r="H523" s="31"/>
      <c r="I523" s="33" t="n">
        <v>45912.7440625694</v>
      </c>
      <c r="J523" s="33" t="n">
        <v>45912.7440625694</v>
      </c>
      <c r="K523" s="13" t="s">
        <v>153</v>
      </c>
      <c r="L523" s="13"/>
      <c r="M523" s="13" t="s">
        <v>1771</v>
      </c>
      <c r="N523" s="33" t="n">
        <v>46308.7264460648</v>
      </c>
    </row>
    <row r="524" customFormat="false" ht="15" hidden="false" customHeight="false" outlineLevel="0" collapsed="false">
      <c r="A524" s="13" t="s">
        <v>1772</v>
      </c>
      <c r="B524" s="13" t="s">
        <v>57</v>
      </c>
      <c r="C524" s="13" t="s">
        <v>702</v>
      </c>
      <c r="D524" s="13" t="s">
        <v>166</v>
      </c>
      <c r="E524" s="13"/>
      <c r="F524" s="13"/>
      <c r="G524" s="13"/>
      <c r="H524" s="31"/>
      <c r="I524" s="33" t="n">
        <v>45912.7440625694</v>
      </c>
      <c r="J524" s="33" t="n">
        <v>45912.7440625694</v>
      </c>
      <c r="K524" s="13" t="s">
        <v>153</v>
      </c>
      <c r="L524" s="13"/>
      <c r="M524" s="13" t="s">
        <v>1773</v>
      </c>
      <c r="N524" s="33" t="n">
        <v>46308.7264460648</v>
      </c>
    </row>
    <row r="525" customFormat="false" ht="15" hidden="false" customHeight="false" outlineLevel="0" collapsed="false">
      <c r="A525" s="13" t="s">
        <v>1774</v>
      </c>
      <c r="B525" s="13" t="s">
        <v>57</v>
      </c>
      <c r="C525" s="13" t="s">
        <v>1265</v>
      </c>
      <c r="D525" s="13" t="s">
        <v>166</v>
      </c>
      <c r="E525" s="13" t="s">
        <v>981</v>
      </c>
      <c r="F525" s="13"/>
      <c r="G525" s="13"/>
      <c r="H525" s="31"/>
      <c r="I525" s="33" t="n">
        <v>45912.7440625694</v>
      </c>
      <c r="J525" s="33" t="n">
        <v>45912.7440625694</v>
      </c>
      <c r="K525" s="13" t="s">
        <v>153</v>
      </c>
      <c r="L525" s="13"/>
      <c r="M525" s="13" t="s">
        <v>1775</v>
      </c>
      <c r="N525" s="33" t="n">
        <v>46308.7264460648</v>
      </c>
    </row>
    <row r="526" customFormat="false" ht="15" hidden="false" customHeight="false" outlineLevel="0" collapsed="false">
      <c r="A526" s="13" t="s">
        <v>1776</v>
      </c>
      <c r="B526" s="13" t="s">
        <v>57</v>
      </c>
      <c r="C526" s="13" t="s">
        <v>1278</v>
      </c>
      <c r="D526" s="13" t="s">
        <v>166</v>
      </c>
      <c r="E526" s="13" t="s">
        <v>853</v>
      </c>
      <c r="F526" s="13"/>
      <c r="G526" s="13"/>
      <c r="H526" s="31"/>
      <c r="I526" s="33" t="n">
        <v>45912.7440625694</v>
      </c>
      <c r="J526" s="33" t="n">
        <v>45912.7440625694</v>
      </c>
      <c r="K526" s="13" t="s">
        <v>153</v>
      </c>
      <c r="L526" s="13"/>
      <c r="M526" s="13" t="s">
        <v>1777</v>
      </c>
      <c r="N526" s="33" t="n">
        <v>46308.7264460648</v>
      </c>
    </row>
    <row r="527" customFormat="false" ht="15" hidden="false" customHeight="false" outlineLevel="0" collapsed="false">
      <c r="A527" s="13" t="s">
        <v>1778</v>
      </c>
      <c r="B527" s="13" t="s">
        <v>57</v>
      </c>
      <c r="C527" s="13" t="s">
        <v>1779</v>
      </c>
      <c r="D527" s="13" t="s">
        <v>166</v>
      </c>
      <c r="E527" s="13" t="s">
        <v>1349</v>
      </c>
      <c r="F527" s="13"/>
      <c r="G527" s="13"/>
      <c r="H527" s="31"/>
      <c r="I527" s="33" t="n">
        <v>45911.6338924537</v>
      </c>
      <c r="J527" s="33" t="n">
        <v>45911.3495152546</v>
      </c>
      <c r="K527" s="13" t="s">
        <v>153</v>
      </c>
      <c r="L527" s="13"/>
      <c r="M527" s="13" t="s">
        <v>1780</v>
      </c>
      <c r="N527" s="33" t="n">
        <v>46308.7264460648</v>
      </c>
    </row>
    <row r="528" customFormat="false" ht="15" hidden="false" customHeight="false" outlineLevel="0" collapsed="false">
      <c r="A528" s="13" t="s">
        <v>1781</v>
      </c>
      <c r="B528" s="13" t="s">
        <v>57</v>
      </c>
      <c r="C528" s="13" t="s">
        <v>1265</v>
      </c>
      <c r="D528" s="13" t="s">
        <v>166</v>
      </c>
      <c r="E528" s="13"/>
      <c r="F528" s="13"/>
      <c r="G528" s="13"/>
      <c r="H528" s="31"/>
      <c r="I528" s="33" t="n">
        <v>45911.406221007</v>
      </c>
      <c r="J528" s="33" t="n">
        <v>45911.406221007</v>
      </c>
      <c r="K528" s="13" t="s">
        <v>153</v>
      </c>
      <c r="L528" s="13"/>
      <c r="M528" s="13" t="s">
        <v>1782</v>
      </c>
      <c r="N528" s="33" t="n">
        <v>46308.7264460648</v>
      </c>
    </row>
    <row r="529" customFormat="false" ht="15" hidden="false" customHeight="false" outlineLevel="0" collapsed="false">
      <c r="A529" s="13" t="s">
        <v>1783</v>
      </c>
      <c r="B529" s="13" t="s">
        <v>57</v>
      </c>
      <c r="C529" s="13" t="s">
        <v>695</v>
      </c>
      <c r="D529" s="13" t="s">
        <v>166</v>
      </c>
      <c r="E529" s="13" t="s">
        <v>1285</v>
      </c>
      <c r="F529" s="13"/>
      <c r="G529" s="13"/>
      <c r="H529" s="31"/>
      <c r="I529" s="33" t="n">
        <v>45911.3495152546</v>
      </c>
      <c r="J529" s="33" t="n">
        <v>45911.3495152546</v>
      </c>
      <c r="K529" s="13" t="s">
        <v>153</v>
      </c>
      <c r="L529" s="13"/>
      <c r="M529" s="13" t="s">
        <v>1784</v>
      </c>
      <c r="N529" s="33" t="n">
        <v>46308.7264460648</v>
      </c>
    </row>
    <row r="530" customFormat="false" ht="15" hidden="false" customHeight="false" outlineLevel="0" collapsed="false">
      <c r="A530" s="13" t="s">
        <v>1785</v>
      </c>
      <c r="B530" s="13" t="s">
        <v>57</v>
      </c>
      <c r="C530" s="13" t="s">
        <v>258</v>
      </c>
      <c r="D530" s="13" t="s">
        <v>166</v>
      </c>
      <c r="E530" s="13" t="s">
        <v>699</v>
      </c>
      <c r="F530" s="13"/>
      <c r="G530" s="13"/>
      <c r="H530" s="31"/>
      <c r="I530" s="33" t="n">
        <v>45911.3495152546</v>
      </c>
      <c r="J530" s="33" t="n">
        <v>45911.3495152546</v>
      </c>
      <c r="K530" s="13" t="s">
        <v>153</v>
      </c>
      <c r="L530" s="13"/>
      <c r="M530" s="13" t="s">
        <v>1786</v>
      </c>
      <c r="N530" s="33" t="n">
        <v>46308.7264460648</v>
      </c>
    </row>
    <row r="531" customFormat="false" ht="15" hidden="false" customHeight="false" outlineLevel="0" collapsed="false">
      <c r="A531" s="13" t="s">
        <v>1787</v>
      </c>
      <c r="B531" s="13" t="s">
        <v>57</v>
      </c>
      <c r="C531" s="13" t="s">
        <v>702</v>
      </c>
      <c r="D531" s="13" t="s">
        <v>166</v>
      </c>
      <c r="E531" s="13"/>
      <c r="F531" s="13"/>
      <c r="G531" s="13"/>
      <c r="H531" s="31"/>
      <c r="I531" s="33" t="n">
        <v>45911.3495152546</v>
      </c>
      <c r="J531" s="33" t="n">
        <v>45911.3495152546</v>
      </c>
      <c r="K531" s="13" t="s">
        <v>153</v>
      </c>
      <c r="L531" s="13"/>
      <c r="M531" s="13" t="s">
        <v>1788</v>
      </c>
      <c r="N531" s="33" t="n">
        <v>46308.7264460648</v>
      </c>
    </row>
    <row r="532" customFormat="false" ht="15" hidden="false" customHeight="false" outlineLevel="0" collapsed="false">
      <c r="A532" s="13" t="s">
        <v>1789</v>
      </c>
      <c r="B532" s="13" t="s">
        <v>57</v>
      </c>
      <c r="C532" s="13" t="s">
        <v>1278</v>
      </c>
      <c r="D532" s="13" t="s">
        <v>166</v>
      </c>
      <c r="E532" s="13"/>
      <c r="F532" s="13"/>
      <c r="G532" s="13"/>
      <c r="H532" s="31"/>
      <c r="I532" s="33" t="n">
        <v>45911.3495152546</v>
      </c>
      <c r="J532" s="33" t="n">
        <v>45911.3495152546</v>
      </c>
      <c r="K532" s="13" t="s">
        <v>153</v>
      </c>
      <c r="L532" s="13"/>
      <c r="M532" s="13" t="s">
        <v>1790</v>
      </c>
      <c r="N532" s="33" t="n">
        <v>46308.7264460648</v>
      </c>
    </row>
    <row r="533" customFormat="false" ht="15" hidden="false" customHeight="false" outlineLevel="0" collapsed="false">
      <c r="A533" s="13" t="s">
        <v>1791</v>
      </c>
      <c r="B533" s="13" t="s">
        <v>57</v>
      </c>
      <c r="C533" s="13" t="s">
        <v>1792</v>
      </c>
      <c r="D533" s="13" t="s">
        <v>166</v>
      </c>
      <c r="E533" s="13" t="s">
        <v>1028</v>
      </c>
      <c r="F533" s="13"/>
      <c r="G533" s="13" t="s">
        <v>159</v>
      </c>
      <c r="H533" s="31"/>
      <c r="I533" s="33" t="n">
        <v>45910.4939827199</v>
      </c>
      <c r="J533" s="33" t="n">
        <v>45910.4939827199</v>
      </c>
      <c r="K533" s="13" t="s">
        <v>153</v>
      </c>
      <c r="L533" s="13"/>
      <c r="M533" s="13" t="s">
        <v>1793</v>
      </c>
      <c r="N533" s="33" t="n">
        <v>46308.7264460648</v>
      </c>
    </row>
    <row r="534" customFormat="false" ht="15" hidden="false" customHeight="false" outlineLevel="0" collapsed="false">
      <c r="A534" s="13" t="s">
        <v>1794</v>
      </c>
      <c r="B534" s="13" t="s">
        <v>57</v>
      </c>
      <c r="C534" s="13" t="s">
        <v>1278</v>
      </c>
      <c r="D534" s="13" t="s">
        <v>166</v>
      </c>
      <c r="E534" s="13"/>
      <c r="F534" s="13"/>
      <c r="G534" s="13"/>
      <c r="H534" s="31"/>
      <c r="I534" s="33" t="n">
        <v>45910.4519234259</v>
      </c>
      <c r="J534" s="33" t="n">
        <v>45910.4519234259</v>
      </c>
      <c r="K534" s="13" t="s">
        <v>153</v>
      </c>
      <c r="L534" s="13"/>
      <c r="M534" s="13" t="s">
        <v>1795</v>
      </c>
      <c r="N534" s="33" t="n">
        <v>46308.7264460648</v>
      </c>
    </row>
    <row r="535" customFormat="false" ht="15" hidden="false" customHeight="false" outlineLevel="0" collapsed="false">
      <c r="A535" s="13" t="s">
        <v>1796</v>
      </c>
      <c r="B535" s="13" t="s">
        <v>57</v>
      </c>
      <c r="C535" s="13" t="s">
        <v>702</v>
      </c>
      <c r="D535" s="13" t="s">
        <v>166</v>
      </c>
      <c r="E535" s="13"/>
      <c r="F535" s="13"/>
      <c r="G535" s="13"/>
      <c r="H535" s="31"/>
      <c r="I535" s="33" t="n">
        <v>45909.5799613542</v>
      </c>
      <c r="J535" s="33" t="n">
        <v>45909.5799613542</v>
      </c>
      <c r="K535" s="13" t="s">
        <v>153</v>
      </c>
      <c r="L535" s="13"/>
      <c r="M535" s="13" t="s">
        <v>1797</v>
      </c>
      <c r="N535" s="33" t="n">
        <v>46308.7264460648</v>
      </c>
    </row>
    <row r="536" customFormat="false" ht="15" hidden="false" customHeight="false" outlineLevel="0" collapsed="false">
      <c r="A536" s="13" t="s">
        <v>1798</v>
      </c>
      <c r="B536" s="13" t="s">
        <v>57</v>
      </c>
      <c r="C536" s="13" t="s">
        <v>1278</v>
      </c>
      <c r="D536" s="13" t="s">
        <v>166</v>
      </c>
      <c r="E536" s="13"/>
      <c r="F536" s="13"/>
      <c r="G536" s="13"/>
      <c r="H536" s="31"/>
      <c r="I536" s="33" t="n">
        <v>45909.5799613542</v>
      </c>
      <c r="J536" s="33" t="n">
        <v>45909.5799613542</v>
      </c>
      <c r="K536" s="13" t="s">
        <v>153</v>
      </c>
      <c r="L536" s="13"/>
      <c r="M536" s="13" t="s">
        <v>1799</v>
      </c>
      <c r="N536" s="33" t="n">
        <v>46308.7264460648</v>
      </c>
    </row>
    <row r="537" customFormat="false" ht="15" hidden="false" customHeight="false" outlineLevel="0" collapsed="false">
      <c r="A537" s="13" t="s">
        <v>1800</v>
      </c>
      <c r="B537" s="13" t="s">
        <v>57</v>
      </c>
      <c r="C537" s="13" t="s">
        <v>1801</v>
      </c>
      <c r="D537" s="13" t="s">
        <v>166</v>
      </c>
      <c r="E537" s="13" t="s">
        <v>1349</v>
      </c>
      <c r="F537" s="13"/>
      <c r="G537" s="13"/>
      <c r="H537" s="31"/>
      <c r="I537" s="33" t="n">
        <v>45909.5799613542</v>
      </c>
      <c r="J537" s="33" t="n">
        <v>45909.5799613542</v>
      </c>
      <c r="K537" s="13" t="s">
        <v>153</v>
      </c>
      <c r="L537" s="13"/>
      <c r="M537" s="13" t="s">
        <v>1802</v>
      </c>
      <c r="N537" s="33" t="n">
        <v>46308.7264460648</v>
      </c>
    </row>
    <row r="538" customFormat="false" ht="15" hidden="false" customHeight="false" outlineLevel="0" collapsed="false">
      <c r="A538" s="13" t="s">
        <v>1803</v>
      </c>
      <c r="B538" s="13" t="s">
        <v>57</v>
      </c>
      <c r="C538" s="13" t="s">
        <v>695</v>
      </c>
      <c r="D538" s="13" t="s">
        <v>166</v>
      </c>
      <c r="E538" s="13" t="s">
        <v>1285</v>
      </c>
      <c r="F538" s="13"/>
      <c r="G538" s="13"/>
      <c r="H538" s="31"/>
      <c r="I538" s="33" t="n">
        <v>45909.4641797801</v>
      </c>
      <c r="J538" s="33" t="n">
        <v>45909.4641797801</v>
      </c>
      <c r="K538" s="13" t="s">
        <v>153</v>
      </c>
      <c r="L538" s="13"/>
      <c r="M538" s="13" t="s">
        <v>1804</v>
      </c>
      <c r="N538" s="33" t="n">
        <v>46308.7264460648</v>
      </c>
    </row>
    <row r="539" customFormat="false" ht="15" hidden="false" customHeight="false" outlineLevel="0" collapsed="false">
      <c r="A539" s="13" t="s">
        <v>1805</v>
      </c>
      <c r="B539" s="13" t="s">
        <v>57</v>
      </c>
      <c r="C539" s="13" t="s">
        <v>702</v>
      </c>
      <c r="D539" s="13" t="s">
        <v>166</v>
      </c>
      <c r="E539" s="13"/>
      <c r="F539" s="13"/>
      <c r="G539" s="13"/>
      <c r="H539" s="31"/>
      <c r="I539" s="33" t="n">
        <v>45909.4641797801</v>
      </c>
      <c r="J539" s="33" t="n">
        <v>45909.4641797801</v>
      </c>
      <c r="K539" s="13" t="s">
        <v>153</v>
      </c>
      <c r="L539" s="13"/>
      <c r="M539" s="13" t="s">
        <v>1806</v>
      </c>
      <c r="N539" s="33" t="n">
        <v>46308.7264460648</v>
      </c>
    </row>
    <row r="540" customFormat="false" ht="15" hidden="false" customHeight="false" outlineLevel="0" collapsed="false">
      <c r="A540" s="13" t="s">
        <v>1807</v>
      </c>
      <c r="B540" s="13" t="s">
        <v>57</v>
      </c>
      <c r="C540" s="13" t="s">
        <v>1299</v>
      </c>
      <c r="D540" s="13" t="s">
        <v>166</v>
      </c>
      <c r="E540" s="13" t="s">
        <v>853</v>
      </c>
      <c r="F540" s="13"/>
      <c r="G540" s="13"/>
      <c r="H540" s="31"/>
      <c r="I540" s="33" t="n">
        <v>45909.4641797801</v>
      </c>
      <c r="J540" s="33" t="n">
        <v>45909.4641797801</v>
      </c>
      <c r="K540" s="13" t="s">
        <v>153</v>
      </c>
      <c r="L540" s="13"/>
      <c r="M540" s="13" t="s">
        <v>1808</v>
      </c>
      <c r="N540" s="33" t="n">
        <v>46308.7264460648</v>
      </c>
    </row>
    <row r="541" customFormat="false" ht="15" hidden="false" customHeight="false" outlineLevel="0" collapsed="false">
      <c r="A541" s="13" t="s">
        <v>1809</v>
      </c>
      <c r="B541" s="13" t="s">
        <v>57</v>
      </c>
      <c r="C541" s="13" t="s">
        <v>1810</v>
      </c>
      <c r="D541" s="13" t="s">
        <v>166</v>
      </c>
      <c r="E541" s="13" t="s">
        <v>1432</v>
      </c>
      <c r="F541" s="13"/>
      <c r="G541" s="13"/>
      <c r="H541" s="31"/>
      <c r="I541" s="33" t="n">
        <v>45909.4641797801</v>
      </c>
      <c r="J541" s="33" t="n">
        <v>45909.4641797801</v>
      </c>
      <c r="K541" s="13" t="s">
        <v>153</v>
      </c>
      <c r="L541" s="13"/>
      <c r="M541" s="13" t="s">
        <v>1811</v>
      </c>
      <c r="N541" s="33" t="n">
        <v>46308.7264460648</v>
      </c>
    </row>
    <row r="542" customFormat="false" ht="15" hidden="false" customHeight="false" outlineLevel="0" collapsed="false">
      <c r="A542" s="13" t="s">
        <v>1812</v>
      </c>
      <c r="B542" s="13" t="s">
        <v>57</v>
      </c>
      <c r="C542" s="13" t="s">
        <v>258</v>
      </c>
      <c r="D542" s="13" t="s">
        <v>166</v>
      </c>
      <c r="E542" s="13" t="s">
        <v>1414</v>
      </c>
      <c r="F542" s="13"/>
      <c r="G542" s="13"/>
      <c r="H542" s="31"/>
      <c r="I542" s="33" t="n">
        <v>45909.452095544</v>
      </c>
      <c r="J542" s="33" t="n">
        <v>45909.4511764236</v>
      </c>
      <c r="K542" s="13" t="s">
        <v>153</v>
      </c>
      <c r="L542" s="13"/>
      <c r="M542" s="13" t="s">
        <v>1813</v>
      </c>
      <c r="N542" s="33" t="n">
        <v>46308.7264460648</v>
      </c>
    </row>
    <row r="543" customFormat="false" ht="15" hidden="false" customHeight="false" outlineLevel="0" collapsed="false">
      <c r="A543" s="13" t="s">
        <v>1814</v>
      </c>
      <c r="B543" s="13" t="s">
        <v>57</v>
      </c>
      <c r="C543" s="13" t="s">
        <v>1265</v>
      </c>
      <c r="D543" s="13" t="s">
        <v>166</v>
      </c>
      <c r="E543" s="13"/>
      <c r="F543" s="13"/>
      <c r="G543" s="13"/>
      <c r="H543" s="31"/>
      <c r="I543" s="33" t="n">
        <v>45909.3906196759</v>
      </c>
      <c r="J543" s="33" t="n">
        <v>45909.3906196759</v>
      </c>
      <c r="K543" s="13" t="s">
        <v>153</v>
      </c>
      <c r="L543" s="13"/>
      <c r="M543" s="13" t="s">
        <v>1815</v>
      </c>
      <c r="N543" s="33" t="n">
        <v>46308.7264460648</v>
      </c>
    </row>
    <row r="544" customFormat="false" ht="15" hidden="false" customHeight="false" outlineLevel="0" collapsed="false">
      <c r="A544" s="13" t="s">
        <v>1816</v>
      </c>
      <c r="B544" s="13" t="s">
        <v>57</v>
      </c>
      <c r="C544" s="13" t="s">
        <v>185</v>
      </c>
      <c r="D544" s="13" t="s">
        <v>166</v>
      </c>
      <c r="E544" s="13"/>
      <c r="F544" s="13"/>
      <c r="G544" s="13"/>
      <c r="H544" s="31"/>
      <c r="I544" s="33" t="n">
        <v>45905.5989851852</v>
      </c>
      <c r="J544" s="33" t="n">
        <v>45905.5989851852</v>
      </c>
      <c r="K544" s="13" t="s">
        <v>153</v>
      </c>
      <c r="L544" s="13"/>
      <c r="M544" s="13" t="s">
        <v>1817</v>
      </c>
      <c r="N544" s="33" t="n">
        <v>46308.7264460648</v>
      </c>
    </row>
    <row r="545" customFormat="false" ht="15" hidden="false" customHeight="false" outlineLevel="0" collapsed="false">
      <c r="A545" s="13" t="s">
        <v>1818</v>
      </c>
      <c r="B545" s="13" t="s">
        <v>57</v>
      </c>
      <c r="C545" s="13" t="s">
        <v>1819</v>
      </c>
      <c r="D545" s="13" t="s">
        <v>166</v>
      </c>
      <c r="E545" s="13" t="s">
        <v>696</v>
      </c>
      <c r="F545" s="13"/>
      <c r="G545" s="13"/>
      <c r="H545" s="31"/>
      <c r="I545" s="33" t="n">
        <v>45904.3763719213</v>
      </c>
      <c r="J545" s="33" t="n">
        <v>45904.3763719213</v>
      </c>
      <c r="K545" s="13" t="s">
        <v>153</v>
      </c>
      <c r="L545" s="13"/>
      <c r="M545" s="13" t="s">
        <v>1820</v>
      </c>
      <c r="N545" s="33" t="n">
        <v>46308.7264460648</v>
      </c>
    </row>
    <row r="546" customFormat="false" ht="15" hidden="false" customHeight="false" outlineLevel="0" collapsed="false">
      <c r="A546" s="13" t="s">
        <v>1821</v>
      </c>
      <c r="B546" s="13" t="s">
        <v>57</v>
      </c>
      <c r="C546" s="13" t="s">
        <v>852</v>
      </c>
      <c r="D546" s="13" t="s">
        <v>166</v>
      </c>
      <c r="E546" s="13"/>
      <c r="F546" s="13"/>
      <c r="G546" s="13"/>
      <c r="H546" s="31"/>
      <c r="I546" s="33" t="n">
        <v>45904.3763719213</v>
      </c>
      <c r="J546" s="33" t="n">
        <v>45904.3763719213</v>
      </c>
      <c r="K546" s="13" t="s">
        <v>153</v>
      </c>
      <c r="L546" s="13"/>
      <c r="M546" s="13" t="s">
        <v>1822</v>
      </c>
      <c r="N546" s="33" t="n">
        <v>46308.7264460648</v>
      </c>
    </row>
    <row r="547" customFormat="false" ht="15" hidden="false" customHeight="false" outlineLevel="0" collapsed="false">
      <c r="A547" s="13" t="s">
        <v>1823</v>
      </c>
      <c r="B547" s="13" t="s">
        <v>57</v>
      </c>
      <c r="C547" s="13" t="s">
        <v>1824</v>
      </c>
      <c r="D547" s="13" t="s">
        <v>166</v>
      </c>
      <c r="E547" s="13" t="s">
        <v>1349</v>
      </c>
      <c r="F547" s="13"/>
      <c r="G547" s="13"/>
      <c r="H547" s="31"/>
      <c r="I547" s="33" t="n">
        <v>45904.3763719213</v>
      </c>
      <c r="J547" s="33" t="n">
        <v>45904.3763719213</v>
      </c>
      <c r="K547" s="13" t="s">
        <v>153</v>
      </c>
      <c r="L547" s="13"/>
      <c r="M547" s="13" t="s">
        <v>1825</v>
      </c>
      <c r="N547" s="33" t="n">
        <v>46308.7264460648</v>
      </c>
    </row>
    <row r="548" customFormat="false" ht="15" hidden="false" customHeight="false" outlineLevel="0" collapsed="false">
      <c r="A548" s="13" t="s">
        <v>1826</v>
      </c>
      <c r="B548" s="13" t="s">
        <v>57</v>
      </c>
      <c r="C548" s="13" t="s">
        <v>1827</v>
      </c>
      <c r="D548" s="13" t="s">
        <v>166</v>
      </c>
      <c r="E548" s="13" t="s">
        <v>1349</v>
      </c>
      <c r="F548" s="13"/>
      <c r="G548" s="13"/>
      <c r="H548" s="31"/>
      <c r="I548" s="33" t="n">
        <v>45903.7425490509</v>
      </c>
      <c r="J548" s="33" t="n">
        <v>45903.7425490509</v>
      </c>
      <c r="K548" s="13" t="s">
        <v>153</v>
      </c>
      <c r="L548" s="13"/>
      <c r="M548" s="13" t="s">
        <v>1828</v>
      </c>
      <c r="N548" s="33" t="n">
        <v>46308.7264460648</v>
      </c>
    </row>
    <row r="549" customFormat="false" ht="15" hidden="false" customHeight="false" outlineLevel="0" collapsed="false">
      <c r="A549" s="13" t="s">
        <v>1829</v>
      </c>
      <c r="B549" s="13" t="s">
        <v>57</v>
      </c>
      <c r="C549" s="13" t="s">
        <v>185</v>
      </c>
      <c r="D549" s="13" t="s">
        <v>166</v>
      </c>
      <c r="E549" s="13" t="s">
        <v>981</v>
      </c>
      <c r="F549" s="13"/>
      <c r="G549" s="13"/>
      <c r="H549" s="31"/>
      <c r="I549" s="33" t="n">
        <v>45903.4822368056</v>
      </c>
      <c r="J549" s="33" t="n">
        <v>45903.4822368056</v>
      </c>
      <c r="K549" s="13" t="s">
        <v>153</v>
      </c>
      <c r="L549" s="13"/>
      <c r="M549" s="13" t="s">
        <v>1830</v>
      </c>
      <c r="N549" s="33" t="n">
        <v>46308.7264460648</v>
      </c>
    </row>
    <row r="550" customFormat="false" ht="15" hidden="false" customHeight="false" outlineLevel="0" collapsed="false">
      <c r="A550" s="13" t="s">
        <v>1831</v>
      </c>
      <c r="B550" s="13" t="s">
        <v>57</v>
      </c>
      <c r="C550" s="13" t="s">
        <v>185</v>
      </c>
      <c r="D550" s="13" t="s">
        <v>166</v>
      </c>
      <c r="E550" s="13" t="s">
        <v>981</v>
      </c>
      <c r="F550" s="13"/>
      <c r="G550" s="13"/>
      <c r="H550" s="31"/>
      <c r="I550" s="33" t="n">
        <v>45902.5740714236</v>
      </c>
      <c r="J550" s="33" t="n">
        <v>45902.5740714236</v>
      </c>
      <c r="K550" s="13" t="s">
        <v>153</v>
      </c>
      <c r="L550" s="13"/>
      <c r="M550" s="13" t="s">
        <v>1832</v>
      </c>
      <c r="N550" s="33" t="n">
        <v>46308.7264460648</v>
      </c>
    </row>
    <row r="551" customFormat="false" ht="15" hidden="false" customHeight="false" outlineLevel="0" collapsed="false">
      <c r="A551" s="13" t="s">
        <v>1833</v>
      </c>
      <c r="B551" s="13" t="s">
        <v>57</v>
      </c>
      <c r="C551" s="13" t="s">
        <v>852</v>
      </c>
      <c r="D551" s="13" t="s">
        <v>166</v>
      </c>
      <c r="E551" s="13"/>
      <c r="F551" s="13"/>
      <c r="G551" s="13"/>
      <c r="H551" s="31"/>
      <c r="I551" s="33" t="n">
        <v>45902.5740714236</v>
      </c>
      <c r="J551" s="33" t="n">
        <v>45902.5740714236</v>
      </c>
      <c r="K551" s="13" t="s">
        <v>153</v>
      </c>
      <c r="L551" s="13"/>
      <c r="M551" s="13" t="s">
        <v>1834</v>
      </c>
      <c r="N551" s="33" t="n">
        <v>46308.7264460648</v>
      </c>
    </row>
    <row r="552" customFormat="false" ht="15" hidden="false" customHeight="false" outlineLevel="0" collapsed="false">
      <c r="A552" s="13" t="s">
        <v>1835</v>
      </c>
      <c r="B552" s="13" t="s">
        <v>57</v>
      </c>
      <c r="C552" s="13" t="s">
        <v>1836</v>
      </c>
      <c r="D552" s="13" t="s">
        <v>166</v>
      </c>
      <c r="E552" s="13" t="s">
        <v>1349</v>
      </c>
      <c r="F552" s="13"/>
      <c r="G552" s="13"/>
      <c r="H552" s="31"/>
      <c r="I552" s="33" t="n">
        <v>45902.4270484375</v>
      </c>
      <c r="J552" s="33" t="n">
        <v>45902.4270484375</v>
      </c>
      <c r="K552" s="13" t="s">
        <v>153</v>
      </c>
      <c r="L552" s="13"/>
      <c r="M552" s="13" t="s">
        <v>1837</v>
      </c>
      <c r="N552" s="33" t="n">
        <v>46308.7264460648</v>
      </c>
    </row>
    <row r="553" customFormat="false" ht="15" hidden="false" customHeight="false" outlineLevel="0" collapsed="false">
      <c r="A553" s="13" t="s">
        <v>1838</v>
      </c>
      <c r="B553" s="13" t="s">
        <v>57</v>
      </c>
      <c r="C553" s="13" t="s">
        <v>1265</v>
      </c>
      <c r="D553" s="13" t="s">
        <v>166</v>
      </c>
      <c r="E553" s="13" t="s">
        <v>853</v>
      </c>
      <c r="F553" s="13"/>
      <c r="G553" s="13"/>
      <c r="H553" s="31"/>
      <c r="I553" s="33" t="n">
        <v>45901.7155563889</v>
      </c>
      <c r="J553" s="33" t="n">
        <v>45901.7155563889</v>
      </c>
      <c r="K553" s="13" t="s">
        <v>153</v>
      </c>
      <c r="L553" s="13"/>
      <c r="M553" s="13" t="s">
        <v>1839</v>
      </c>
      <c r="N553" s="33" t="n">
        <v>46308.7264460648</v>
      </c>
    </row>
    <row r="554" customFormat="false" ht="15" hidden="false" customHeight="false" outlineLevel="0" collapsed="false">
      <c r="A554" s="13" t="s">
        <v>1840</v>
      </c>
      <c r="B554" s="13" t="s">
        <v>57</v>
      </c>
      <c r="C554" s="13" t="s">
        <v>702</v>
      </c>
      <c r="D554" s="13" t="s">
        <v>166</v>
      </c>
      <c r="E554" s="13"/>
      <c r="F554" s="13"/>
      <c r="G554" s="13"/>
      <c r="H554" s="31"/>
      <c r="I554" s="33" t="n">
        <v>45901.6995749421</v>
      </c>
      <c r="J554" s="33" t="n">
        <v>45901.6995749421</v>
      </c>
      <c r="K554" s="13" t="s">
        <v>153</v>
      </c>
      <c r="L554" s="13"/>
      <c r="M554" s="13" t="s">
        <v>1841</v>
      </c>
      <c r="N554" s="33" t="n">
        <v>46308.7264460648</v>
      </c>
    </row>
    <row r="555" customFormat="false" ht="15" hidden="false" customHeight="false" outlineLevel="0" collapsed="false">
      <c r="A555" s="13" t="s">
        <v>1842</v>
      </c>
      <c r="B555" s="13" t="s">
        <v>57</v>
      </c>
      <c r="C555" s="13" t="s">
        <v>1278</v>
      </c>
      <c r="D555" s="13" t="s">
        <v>166</v>
      </c>
      <c r="E555" s="13"/>
      <c r="F555" s="13"/>
      <c r="G555" s="13"/>
      <c r="H555" s="31"/>
      <c r="I555" s="33" t="n">
        <v>45901.6995749421</v>
      </c>
      <c r="J555" s="33" t="n">
        <v>45901.6995749421</v>
      </c>
      <c r="K555" s="13" t="s">
        <v>153</v>
      </c>
      <c r="L555" s="13"/>
      <c r="M555" s="13" t="s">
        <v>1843</v>
      </c>
      <c r="N555" s="33" t="n">
        <v>46308.7264460648</v>
      </c>
    </row>
    <row r="556" customFormat="false" ht="15" hidden="false" customHeight="false" outlineLevel="0" collapsed="false">
      <c r="A556" s="13" t="s">
        <v>1844</v>
      </c>
      <c r="B556" s="13" t="s">
        <v>57</v>
      </c>
      <c r="C556" s="13" t="s">
        <v>1845</v>
      </c>
      <c r="D556" s="13" t="s">
        <v>166</v>
      </c>
      <c r="E556" s="13" t="s">
        <v>1432</v>
      </c>
      <c r="F556" s="13"/>
      <c r="G556" s="13"/>
      <c r="H556" s="31"/>
      <c r="I556" s="33" t="n">
        <v>45901.6995749421</v>
      </c>
      <c r="J556" s="33" t="n">
        <v>45901.6995749421</v>
      </c>
      <c r="K556" s="13" t="s">
        <v>153</v>
      </c>
      <c r="L556" s="13"/>
      <c r="M556" s="13" t="s">
        <v>1846</v>
      </c>
      <c r="N556" s="33" t="n">
        <v>46308.7264460648</v>
      </c>
    </row>
    <row r="557" customFormat="false" ht="15" hidden="false" customHeight="false" outlineLevel="0" collapsed="false">
      <c r="A557" s="13" t="s">
        <v>1847</v>
      </c>
      <c r="B557" s="13" t="s">
        <v>57</v>
      </c>
      <c r="C557" s="13" t="s">
        <v>1193</v>
      </c>
      <c r="D557" s="13" t="s">
        <v>166</v>
      </c>
      <c r="E557" s="13" t="s">
        <v>981</v>
      </c>
      <c r="F557" s="13"/>
      <c r="G557" s="13"/>
      <c r="H557" s="31"/>
      <c r="I557" s="33" t="n">
        <v>45901.6537235185</v>
      </c>
      <c r="J557" s="33" t="n">
        <v>45901.6537235185</v>
      </c>
      <c r="K557" s="13" t="s">
        <v>153</v>
      </c>
      <c r="L557" s="13"/>
      <c r="M557" s="13" t="s">
        <v>1848</v>
      </c>
      <c r="N557" s="33" t="n">
        <v>46308.7264460648</v>
      </c>
    </row>
    <row r="558" customFormat="false" ht="15" hidden="false" customHeight="false" outlineLevel="0" collapsed="false">
      <c r="A558" s="13" t="s">
        <v>1849</v>
      </c>
      <c r="B558" s="13" t="s">
        <v>57</v>
      </c>
      <c r="C558" s="13" t="s">
        <v>258</v>
      </c>
      <c r="D558" s="13" t="s">
        <v>166</v>
      </c>
      <c r="E558" s="13" t="s">
        <v>699</v>
      </c>
      <c r="F558" s="13"/>
      <c r="G558" s="13"/>
      <c r="H558" s="31"/>
      <c r="I558" s="33" t="n">
        <v>45901.600160463</v>
      </c>
      <c r="J558" s="33" t="n">
        <v>45897.4756561343</v>
      </c>
      <c r="K558" s="13" t="s">
        <v>153</v>
      </c>
      <c r="L558" s="13"/>
      <c r="M558" s="13" t="s">
        <v>1850</v>
      </c>
      <c r="N558" s="33" t="n">
        <v>46308.7264460648</v>
      </c>
    </row>
    <row r="559" customFormat="false" ht="15" hidden="false" customHeight="false" outlineLevel="0" collapsed="false">
      <c r="A559" s="13" t="s">
        <v>1851</v>
      </c>
      <c r="B559" s="13" t="s">
        <v>57</v>
      </c>
      <c r="C559" s="13" t="s">
        <v>258</v>
      </c>
      <c r="D559" s="13" t="s">
        <v>401</v>
      </c>
      <c r="E559" s="13" t="s">
        <v>259</v>
      </c>
      <c r="F559" s="13"/>
      <c r="G559" s="13"/>
      <c r="H559" s="31"/>
      <c r="I559" s="33" t="n">
        <v>45901.3799754398</v>
      </c>
      <c r="J559" s="33"/>
      <c r="K559" s="13" t="s">
        <v>153</v>
      </c>
      <c r="L559" s="13"/>
      <c r="M559" s="13" t="s">
        <v>1852</v>
      </c>
      <c r="N559" s="33" t="n">
        <v>46308.7264460648</v>
      </c>
    </row>
    <row r="560" customFormat="false" ht="15" hidden="false" customHeight="false" outlineLevel="0" collapsed="false">
      <c r="A560" s="13" t="s">
        <v>1853</v>
      </c>
      <c r="B560" s="13" t="s">
        <v>57</v>
      </c>
      <c r="C560" s="13" t="s">
        <v>702</v>
      </c>
      <c r="D560" s="13" t="s">
        <v>401</v>
      </c>
      <c r="E560" s="13"/>
      <c r="F560" s="13"/>
      <c r="G560" s="13"/>
      <c r="H560" s="31"/>
      <c r="I560" s="33" t="n">
        <v>45901.3793853819</v>
      </c>
      <c r="J560" s="33"/>
      <c r="K560" s="13" t="s">
        <v>153</v>
      </c>
      <c r="L560" s="13"/>
      <c r="M560" s="13" t="s">
        <v>1854</v>
      </c>
      <c r="N560" s="33" t="n">
        <v>46308.7264460648</v>
      </c>
    </row>
    <row r="561" customFormat="false" ht="15" hidden="false" customHeight="false" outlineLevel="0" collapsed="false">
      <c r="A561" s="13" t="s">
        <v>1855</v>
      </c>
      <c r="B561" s="13" t="s">
        <v>57</v>
      </c>
      <c r="C561" s="13" t="s">
        <v>185</v>
      </c>
      <c r="D561" s="13" t="s">
        <v>166</v>
      </c>
      <c r="E561" s="13" t="s">
        <v>981</v>
      </c>
      <c r="F561" s="13"/>
      <c r="G561" s="13"/>
      <c r="H561" s="31"/>
      <c r="I561" s="33" t="n">
        <v>45901.3792981482</v>
      </c>
      <c r="J561" s="33" t="n">
        <v>45901.3792981482</v>
      </c>
      <c r="K561" s="13" t="s">
        <v>153</v>
      </c>
      <c r="L561" s="13"/>
      <c r="M561" s="13" t="s">
        <v>1856</v>
      </c>
      <c r="N561" s="33" t="n">
        <v>46308.7264460648</v>
      </c>
    </row>
    <row r="562" customFormat="false" ht="15" hidden="false" customHeight="false" outlineLevel="0" collapsed="false">
      <c r="A562" s="13" t="s">
        <v>1857</v>
      </c>
      <c r="B562" s="13" t="s">
        <v>57</v>
      </c>
      <c r="C562" s="13" t="s">
        <v>1265</v>
      </c>
      <c r="D562" s="13" t="s">
        <v>166</v>
      </c>
      <c r="E562" s="13" t="s">
        <v>853</v>
      </c>
      <c r="F562" s="13"/>
      <c r="G562" s="13"/>
      <c r="H562" s="31"/>
      <c r="I562" s="33" t="n">
        <v>45898.6156356482</v>
      </c>
      <c r="J562" s="33" t="n">
        <v>45898.6156356482</v>
      </c>
      <c r="K562" s="13" t="s">
        <v>153</v>
      </c>
      <c r="L562" s="13"/>
      <c r="M562" s="13" t="s">
        <v>1858</v>
      </c>
      <c r="N562" s="33" t="n">
        <v>46308.7264460648</v>
      </c>
    </row>
    <row r="563" customFormat="false" ht="15" hidden="false" customHeight="false" outlineLevel="0" collapsed="false">
      <c r="A563" s="13" t="s">
        <v>1859</v>
      </c>
      <c r="B563" s="13" t="s">
        <v>57</v>
      </c>
      <c r="C563" s="13" t="s">
        <v>1265</v>
      </c>
      <c r="D563" s="13" t="s">
        <v>166</v>
      </c>
      <c r="E563" s="13" t="s">
        <v>853</v>
      </c>
      <c r="F563" s="13"/>
      <c r="G563" s="13"/>
      <c r="H563" s="31"/>
      <c r="I563" s="33" t="n">
        <v>45898.4979180208</v>
      </c>
      <c r="J563" s="33" t="n">
        <v>45898.4979180208</v>
      </c>
      <c r="K563" s="13" t="s">
        <v>153</v>
      </c>
      <c r="L563" s="13"/>
      <c r="M563" s="13" t="s">
        <v>1860</v>
      </c>
      <c r="N563" s="33" t="n">
        <v>46308.7264460648</v>
      </c>
    </row>
    <row r="564" customFormat="false" ht="15" hidden="false" customHeight="false" outlineLevel="0" collapsed="false">
      <c r="A564" s="13" t="s">
        <v>1861</v>
      </c>
      <c r="B564" s="13" t="s">
        <v>57</v>
      </c>
      <c r="C564" s="13" t="s">
        <v>1265</v>
      </c>
      <c r="D564" s="13" t="s">
        <v>166</v>
      </c>
      <c r="E564" s="13" t="s">
        <v>853</v>
      </c>
      <c r="F564" s="13"/>
      <c r="G564" s="13"/>
      <c r="H564" s="31"/>
      <c r="I564" s="33" t="n">
        <v>45898.4588465741</v>
      </c>
      <c r="J564" s="33" t="n">
        <v>45898.4588465741</v>
      </c>
      <c r="K564" s="13" t="s">
        <v>153</v>
      </c>
      <c r="L564" s="13"/>
      <c r="M564" s="13" t="s">
        <v>1862</v>
      </c>
      <c r="N564" s="33" t="n">
        <v>46308.7264460648</v>
      </c>
    </row>
    <row r="565" customFormat="false" ht="15" hidden="false" customHeight="false" outlineLevel="0" collapsed="false">
      <c r="A565" s="13" t="s">
        <v>1863</v>
      </c>
      <c r="B565" s="13" t="s">
        <v>57</v>
      </c>
      <c r="C565" s="13" t="s">
        <v>1864</v>
      </c>
      <c r="D565" s="13" t="s">
        <v>166</v>
      </c>
      <c r="E565" s="13" t="s">
        <v>853</v>
      </c>
      <c r="F565" s="13"/>
      <c r="G565" s="13"/>
      <c r="H565" s="31"/>
      <c r="I565" s="33" t="n">
        <v>45897.6832611574</v>
      </c>
      <c r="J565" s="33" t="n">
        <v>45897.6832611574</v>
      </c>
      <c r="K565" s="13" t="s">
        <v>153</v>
      </c>
      <c r="L565" s="13"/>
      <c r="M565" s="13" t="s">
        <v>1865</v>
      </c>
      <c r="N565" s="33" t="n">
        <v>46308.7264460648</v>
      </c>
    </row>
    <row r="566" customFormat="false" ht="15" hidden="false" customHeight="false" outlineLevel="0" collapsed="false">
      <c r="A566" s="13" t="s">
        <v>1866</v>
      </c>
      <c r="B566" s="13" t="s">
        <v>57</v>
      </c>
      <c r="C566" s="13" t="s">
        <v>1265</v>
      </c>
      <c r="D566" s="13" t="s">
        <v>166</v>
      </c>
      <c r="E566" s="13" t="s">
        <v>853</v>
      </c>
      <c r="F566" s="13"/>
      <c r="G566" s="13"/>
      <c r="H566" s="31"/>
      <c r="I566" s="33" t="n">
        <v>45897.619429375</v>
      </c>
      <c r="J566" s="33" t="n">
        <v>45897.619429375</v>
      </c>
      <c r="K566" s="13" t="s">
        <v>153</v>
      </c>
      <c r="L566" s="13"/>
      <c r="M566" s="13" t="s">
        <v>1867</v>
      </c>
      <c r="N566" s="33" t="n">
        <v>46308.7264460648</v>
      </c>
    </row>
    <row r="567" customFormat="false" ht="15" hidden="false" customHeight="false" outlineLevel="0" collapsed="false">
      <c r="A567" s="13" t="s">
        <v>1868</v>
      </c>
      <c r="B567" s="13" t="s">
        <v>57</v>
      </c>
      <c r="C567" s="13" t="s">
        <v>852</v>
      </c>
      <c r="D567" s="13" t="s">
        <v>401</v>
      </c>
      <c r="E567" s="13"/>
      <c r="F567" s="13"/>
      <c r="G567" s="13"/>
      <c r="H567" s="31"/>
      <c r="I567" s="33" t="n">
        <v>45897.6190948727</v>
      </c>
      <c r="J567" s="33"/>
      <c r="K567" s="13" t="s">
        <v>153</v>
      </c>
      <c r="L567" s="13"/>
      <c r="M567" s="13" t="s">
        <v>1869</v>
      </c>
      <c r="N567" s="33" t="n">
        <v>46308.7264460648</v>
      </c>
    </row>
    <row r="568" customFormat="false" ht="15" hidden="false" customHeight="false" outlineLevel="0" collapsed="false">
      <c r="A568" s="13" t="s">
        <v>1870</v>
      </c>
      <c r="B568" s="13" t="s">
        <v>57</v>
      </c>
      <c r="C568" s="13" t="s">
        <v>185</v>
      </c>
      <c r="D568" s="13" t="s">
        <v>166</v>
      </c>
      <c r="E568" s="13" t="s">
        <v>981</v>
      </c>
      <c r="F568" s="13"/>
      <c r="G568" s="13"/>
      <c r="H568" s="31"/>
      <c r="I568" s="33" t="n">
        <v>45897.5107986574</v>
      </c>
      <c r="J568" s="33" t="n">
        <v>45897.5107986574</v>
      </c>
      <c r="K568" s="13" t="s">
        <v>153</v>
      </c>
      <c r="L568" s="13"/>
      <c r="M568" s="13" t="s">
        <v>1871</v>
      </c>
      <c r="N568" s="33" t="n">
        <v>46308.7264460648</v>
      </c>
    </row>
    <row r="569" customFormat="false" ht="15" hidden="false" customHeight="false" outlineLevel="0" collapsed="false">
      <c r="A569" s="13" t="s">
        <v>1872</v>
      </c>
      <c r="B569" s="13" t="s">
        <v>57</v>
      </c>
      <c r="C569" s="13" t="s">
        <v>258</v>
      </c>
      <c r="D569" s="13" t="s">
        <v>166</v>
      </c>
      <c r="E569" s="13" t="s">
        <v>1414</v>
      </c>
      <c r="F569" s="13"/>
      <c r="G569" s="13"/>
      <c r="H569" s="31"/>
      <c r="I569" s="33" t="n">
        <v>45897.3766525579</v>
      </c>
      <c r="J569" s="33" t="n">
        <v>45897.3766525579</v>
      </c>
      <c r="K569" s="13" t="s">
        <v>153</v>
      </c>
      <c r="L569" s="13"/>
      <c r="M569" s="13" t="s">
        <v>1873</v>
      </c>
      <c r="N569" s="33" t="n">
        <v>46308.7264460648</v>
      </c>
    </row>
    <row r="570" customFormat="false" ht="15" hidden="false" customHeight="false" outlineLevel="0" collapsed="false">
      <c r="A570" s="13" t="s">
        <v>1874</v>
      </c>
      <c r="B570" s="13" t="s">
        <v>57</v>
      </c>
      <c r="C570" s="13" t="s">
        <v>702</v>
      </c>
      <c r="D570" s="13" t="s">
        <v>166</v>
      </c>
      <c r="E570" s="13"/>
      <c r="F570" s="13"/>
      <c r="G570" s="13"/>
      <c r="H570" s="31"/>
      <c r="I570" s="33" t="n">
        <v>45897.3766525579</v>
      </c>
      <c r="J570" s="33" t="n">
        <v>45897.3766525579</v>
      </c>
      <c r="K570" s="13" t="s">
        <v>153</v>
      </c>
      <c r="L570" s="13"/>
      <c r="M570" s="13" t="s">
        <v>1875</v>
      </c>
      <c r="N570" s="33" t="n">
        <v>46308.7264460648</v>
      </c>
    </row>
    <row r="571" customFormat="false" ht="15" hidden="false" customHeight="false" outlineLevel="0" collapsed="false">
      <c r="A571" s="13" t="s">
        <v>1876</v>
      </c>
      <c r="B571" s="13" t="s">
        <v>57</v>
      </c>
      <c r="C571" s="13" t="s">
        <v>1877</v>
      </c>
      <c r="D571" s="13" t="s">
        <v>166</v>
      </c>
      <c r="E571" s="13" t="s">
        <v>1349</v>
      </c>
      <c r="F571" s="13"/>
      <c r="G571" s="13"/>
      <c r="H571" s="31"/>
      <c r="I571" s="33" t="n">
        <v>45897.3766525579</v>
      </c>
      <c r="J571" s="33" t="n">
        <v>45897.3766525579</v>
      </c>
      <c r="K571" s="13" t="s">
        <v>153</v>
      </c>
      <c r="L571" s="13"/>
      <c r="M571" s="13" t="s">
        <v>1878</v>
      </c>
      <c r="N571" s="33" t="n">
        <v>46308.7264460648</v>
      </c>
    </row>
    <row r="572" customFormat="false" ht="15" hidden="false" customHeight="false" outlineLevel="0" collapsed="false">
      <c r="A572" s="13" t="s">
        <v>1879</v>
      </c>
      <c r="B572" s="13" t="s">
        <v>57</v>
      </c>
      <c r="C572" s="13" t="s">
        <v>702</v>
      </c>
      <c r="D572" s="13" t="s">
        <v>166</v>
      </c>
      <c r="E572" s="13"/>
      <c r="F572" s="13"/>
      <c r="G572" s="13"/>
      <c r="H572" s="31"/>
      <c r="I572" s="33" t="n">
        <v>45896.7400792708</v>
      </c>
      <c r="J572" s="33" t="n">
        <v>45896.7400792708</v>
      </c>
      <c r="K572" s="13" t="s">
        <v>153</v>
      </c>
      <c r="L572" s="13"/>
      <c r="M572" s="13" t="s">
        <v>1880</v>
      </c>
      <c r="N572" s="33" t="n">
        <v>46308.7264460648</v>
      </c>
    </row>
    <row r="573" customFormat="false" ht="15" hidden="false" customHeight="false" outlineLevel="0" collapsed="false">
      <c r="A573" s="13" t="s">
        <v>1881</v>
      </c>
      <c r="B573" s="13" t="s">
        <v>57</v>
      </c>
      <c r="C573" s="13" t="s">
        <v>1278</v>
      </c>
      <c r="D573" s="13" t="s">
        <v>166</v>
      </c>
      <c r="E573" s="13"/>
      <c r="F573" s="13"/>
      <c r="G573" s="13"/>
      <c r="H573" s="31"/>
      <c r="I573" s="33" t="n">
        <v>45896.7400792708</v>
      </c>
      <c r="J573" s="33" t="n">
        <v>45896.7400792708</v>
      </c>
      <c r="K573" s="13" t="s">
        <v>153</v>
      </c>
      <c r="L573" s="13"/>
      <c r="M573" s="13" t="s">
        <v>1882</v>
      </c>
      <c r="N573" s="33" t="n">
        <v>46308.7264460648</v>
      </c>
    </row>
    <row r="574" customFormat="false" ht="15" hidden="false" customHeight="false" outlineLevel="0" collapsed="false">
      <c r="A574" s="13" t="s">
        <v>1883</v>
      </c>
      <c r="B574" s="13" t="s">
        <v>57</v>
      </c>
      <c r="C574" s="13" t="s">
        <v>1884</v>
      </c>
      <c r="D574" s="13" t="s">
        <v>166</v>
      </c>
      <c r="E574" s="13" t="s">
        <v>1349</v>
      </c>
      <c r="F574" s="13"/>
      <c r="G574" s="13"/>
      <c r="H574" s="31"/>
      <c r="I574" s="33" t="n">
        <v>45896.7400792708</v>
      </c>
      <c r="J574" s="33" t="n">
        <v>45896.7400792708</v>
      </c>
      <c r="K574" s="13" t="s">
        <v>153</v>
      </c>
      <c r="L574" s="13"/>
      <c r="M574" s="13" t="s">
        <v>1885</v>
      </c>
      <c r="N574" s="33" t="n">
        <v>46308.7264460648</v>
      </c>
    </row>
    <row r="575" customFormat="false" ht="15" hidden="false" customHeight="false" outlineLevel="0" collapsed="false">
      <c r="A575" s="13" t="s">
        <v>1886</v>
      </c>
      <c r="B575" s="13" t="s">
        <v>57</v>
      </c>
      <c r="C575" s="13" t="s">
        <v>1819</v>
      </c>
      <c r="D575" s="13" t="s">
        <v>166</v>
      </c>
      <c r="E575" s="13" t="s">
        <v>1285</v>
      </c>
      <c r="F575" s="13"/>
      <c r="G575" s="13"/>
      <c r="H575" s="31"/>
      <c r="I575" s="33" t="n">
        <v>45896.7368399306</v>
      </c>
      <c r="J575" s="33" t="n">
        <v>45896.7368399306</v>
      </c>
      <c r="K575" s="13" t="s">
        <v>153</v>
      </c>
      <c r="L575" s="13"/>
      <c r="M575" s="13" t="s">
        <v>1887</v>
      </c>
      <c r="N575" s="33" t="n">
        <v>46308.7264460648</v>
      </c>
    </row>
    <row r="576" customFormat="false" ht="15" hidden="false" customHeight="false" outlineLevel="0" collapsed="false">
      <c r="A576" s="13" t="s">
        <v>1888</v>
      </c>
      <c r="B576" s="13" t="s">
        <v>57</v>
      </c>
      <c r="C576" s="13" t="s">
        <v>1278</v>
      </c>
      <c r="D576" s="13" t="s">
        <v>166</v>
      </c>
      <c r="E576" s="13"/>
      <c r="F576" s="13"/>
      <c r="G576" s="13"/>
      <c r="H576" s="31"/>
      <c r="I576" s="33" t="n">
        <v>45896.7368399306</v>
      </c>
      <c r="J576" s="33" t="n">
        <v>45896.7368399306</v>
      </c>
      <c r="K576" s="13" t="s">
        <v>153</v>
      </c>
      <c r="L576" s="13"/>
      <c r="M576" s="13" t="s">
        <v>1889</v>
      </c>
      <c r="N576" s="33" t="n">
        <v>46308.7264460648</v>
      </c>
    </row>
    <row r="577" customFormat="false" ht="15" hidden="false" customHeight="false" outlineLevel="0" collapsed="false">
      <c r="A577" s="13" t="s">
        <v>1890</v>
      </c>
      <c r="B577" s="13" t="s">
        <v>57</v>
      </c>
      <c r="C577" s="13" t="s">
        <v>1891</v>
      </c>
      <c r="D577" s="13" t="s">
        <v>166</v>
      </c>
      <c r="E577" s="13" t="s">
        <v>95</v>
      </c>
      <c r="F577" s="13"/>
      <c r="G577" s="13" t="s">
        <v>159</v>
      </c>
      <c r="H577" s="31"/>
      <c r="I577" s="33" t="n">
        <v>45896.7368399306</v>
      </c>
      <c r="J577" s="33" t="n">
        <v>45896.7368399306</v>
      </c>
      <c r="K577" s="13" t="s">
        <v>153</v>
      </c>
      <c r="L577" s="13"/>
      <c r="M577" s="13" t="s">
        <v>1892</v>
      </c>
      <c r="N577" s="33" t="n">
        <v>46308.7264460648</v>
      </c>
    </row>
    <row r="578" customFormat="false" ht="15" hidden="false" customHeight="false" outlineLevel="0" collapsed="false">
      <c r="A578" s="13" t="s">
        <v>1893</v>
      </c>
      <c r="B578" s="13" t="s">
        <v>57</v>
      </c>
      <c r="C578" s="13" t="s">
        <v>1894</v>
      </c>
      <c r="D578" s="13" t="s">
        <v>166</v>
      </c>
      <c r="E578" s="13" t="s">
        <v>1349</v>
      </c>
      <c r="F578" s="13"/>
      <c r="G578" s="13"/>
      <c r="H578" s="31"/>
      <c r="I578" s="33" t="n">
        <v>45896.7357278704</v>
      </c>
      <c r="J578" s="33" t="n">
        <v>45896.7357278704</v>
      </c>
      <c r="K578" s="13" t="s">
        <v>153</v>
      </c>
      <c r="L578" s="13"/>
      <c r="M578" s="13" t="s">
        <v>1895</v>
      </c>
      <c r="N578" s="33" t="n">
        <v>46308.7264460648</v>
      </c>
    </row>
    <row r="579" customFormat="false" ht="15" hidden="false" customHeight="false" outlineLevel="0" collapsed="false">
      <c r="A579" s="13" t="s">
        <v>1896</v>
      </c>
      <c r="B579" s="13" t="s">
        <v>57</v>
      </c>
      <c r="C579" s="13" t="s">
        <v>1897</v>
      </c>
      <c r="D579" s="13" t="s">
        <v>166</v>
      </c>
      <c r="E579" s="13" t="s">
        <v>1898</v>
      </c>
      <c r="F579" s="13"/>
      <c r="G579" s="13"/>
      <c r="H579" s="31"/>
      <c r="I579" s="33" t="n">
        <v>45896.7337957176</v>
      </c>
      <c r="J579" s="33" t="n">
        <v>45896.7337957176</v>
      </c>
      <c r="K579" s="13" t="s">
        <v>153</v>
      </c>
      <c r="L579" s="13"/>
      <c r="M579" s="13" t="s">
        <v>1899</v>
      </c>
      <c r="N579" s="33" t="n">
        <v>46308.7264460648</v>
      </c>
    </row>
    <row r="580" customFormat="false" ht="15" hidden="false" customHeight="false" outlineLevel="0" collapsed="false">
      <c r="A580" s="13" t="s">
        <v>1900</v>
      </c>
      <c r="B580" s="13" t="s">
        <v>57</v>
      </c>
      <c r="C580" s="13" t="s">
        <v>1901</v>
      </c>
      <c r="D580" s="13" t="s">
        <v>166</v>
      </c>
      <c r="E580" s="13" t="s">
        <v>928</v>
      </c>
      <c r="F580" s="13"/>
      <c r="G580" s="13" t="s">
        <v>159</v>
      </c>
      <c r="H580" s="31"/>
      <c r="I580" s="33" t="n">
        <v>45896.7326762616</v>
      </c>
      <c r="J580" s="33" t="n">
        <v>45896.7326762616</v>
      </c>
      <c r="K580" s="13" t="s">
        <v>153</v>
      </c>
      <c r="L580" s="13"/>
      <c r="M580" s="13" t="s">
        <v>1902</v>
      </c>
      <c r="N580" s="33" t="n">
        <v>46308.7264460648</v>
      </c>
    </row>
    <row r="581" customFormat="false" ht="15" hidden="false" customHeight="false" outlineLevel="0" collapsed="false">
      <c r="A581" s="13" t="s">
        <v>1903</v>
      </c>
      <c r="B581" s="13" t="s">
        <v>57</v>
      </c>
      <c r="C581" s="13" t="s">
        <v>1904</v>
      </c>
      <c r="D581" s="13" t="s">
        <v>166</v>
      </c>
      <c r="E581" s="13"/>
      <c r="F581" s="13"/>
      <c r="G581" s="13"/>
      <c r="H581" s="31"/>
      <c r="I581" s="33" t="n">
        <v>45896.7134090046</v>
      </c>
      <c r="J581" s="33" t="n">
        <v>45896.7134090046</v>
      </c>
      <c r="K581" s="13" t="s">
        <v>153</v>
      </c>
      <c r="L581" s="13"/>
      <c r="M581" s="13" t="s">
        <v>1905</v>
      </c>
      <c r="N581" s="33" t="n">
        <v>46308.7264460648</v>
      </c>
    </row>
    <row r="582" customFormat="false" ht="15" hidden="false" customHeight="false" outlineLevel="0" collapsed="false">
      <c r="A582" s="13" t="s">
        <v>1906</v>
      </c>
      <c r="B582" s="13" t="s">
        <v>57</v>
      </c>
      <c r="C582" s="13" t="s">
        <v>1278</v>
      </c>
      <c r="D582" s="13" t="s">
        <v>166</v>
      </c>
      <c r="E582" s="13"/>
      <c r="F582" s="13"/>
      <c r="G582" s="13"/>
      <c r="H582" s="31"/>
      <c r="I582" s="33" t="n">
        <v>45896.7134090046</v>
      </c>
      <c r="J582" s="33" t="n">
        <v>45896.7134090046</v>
      </c>
      <c r="K582" s="13" t="s">
        <v>153</v>
      </c>
      <c r="L582" s="13"/>
      <c r="M582" s="13" t="s">
        <v>1907</v>
      </c>
      <c r="N582" s="33" t="n">
        <v>46308.7264460648</v>
      </c>
    </row>
    <row r="583" customFormat="false" ht="15" hidden="false" customHeight="false" outlineLevel="0" collapsed="false">
      <c r="A583" s="13" t="s">
        <v>1908</v>
      </c>
      <c r="B583" s="13" t="s">
        <v>57</v>
      </c>
      <c r="C583" s="13" t="s">
        <v>1909</v>
      </c>
      <c r="D583" s="13" t="s">
        <v>166</v>
      </c>
      <c r="E583" s="13" t="s">
        <v>1349</v>
      </c>
      <c r="F583" s="13"/>
      <c r="G583" s="13"/>
      <c r="H583" s="31"/>
      <c r="I583" s="33" t="n">
        <v>45896.7134090046</v>
      </c>
      <c r="J583" s="33" t="n">
        <v>45896.7134090046</v>
      </c>
      <c r="K583" s="13" t="s">
        <v>153</v>
      </c>
      <c r="L583" s="13"/>
      <c r="M583" s="13" t="s">
        <v>1910</v>
      </c>
      <c r="N583" s="33" t="n">
        <v>46308.7264460648</v>
      </c>
    </row>
    <row r="584" customFormat="false" ht="15" hidden="false" customHeight="false" outlineLevel="0" collapsed="false">
      <c r="A584" s="13" t="s">
        <v>1911</v>
      </c>
      <c r="B584" s="13" t="s">
        <v>57</v>
      </c>
      <c r="C584" s="13" t="s">
        <v>1573</v>
      </c>
      <c r="D584" s="13" t="s">
        <v>166</v>
      </c>
      <c r="E584" s="13" t="s">
        <v>853</v>
      </c>
      <c r="F584" s="13"/>
      <c r="G584" s="13"/>
      <c r="H584" s="31"/>
      <c r="I584" s="33" t="n">
        <v>45896.679477419</v>
      </c>
      <c r="J584" s="33" t="n">
        <v>45896.679477419</v>
      </c>
      <c r="K584" s="13" t="s">
        <v>153</v>
      </c>
      <c r="L584" s="13"/>
      <c r="M584" s="13" t="s">
        <v>1912</v>
      </c>
      <c r="N584" s="33" t="n">
        <v>46308.7264460648</v>
      </c>
    </row>
    <row r="585" customFormat="false" ht="15" hidden="false" customHeight="false" outlineLevel="0" collapsed="false">
      <c r="A585" s="13" t="s">
        <v>1913</v>
      </c>
      <c r="B585" s="13" t="s">
        <v>57</v>
      </c>
      <c r="C585" s="13" t="s">
        <v>185</v>
      </c>
      <c r="D585" s="13" t="s">
        <v>166</v>
      </c>
      <c r="E585" s="13" t="s">
        <v>981</v>
      </c>
      <c r="F585" s="13"/>
      <c r="G585" s="13"/>
      <c r="H585" s="31"/>
      <c r="I585" s="33" t="n">
        <v>45895.6256759144</v>
      </c>
      <c r="J585" s="33" t="n">
        <v>45895.6256759144</v>
      </c>
      <c r="K585" s="13" t="s">
        <v>153</v>
      </c>
      <c r="L585" s="13"/>
      <c r="M585" s="13" t="s">
        <v>1914</v>
      </c>
      <c r="N585" s="33" t="n">
        <v>46308.7264460648</v>
      </c>
    </row>
    <row r="586" customFormat="false" ht="15" hidden="false" customHeight="false" outlineLevel="0" collapsed="false">
      <c r="A586" s="13" t="s">
        <v>1915</v>
      </c>
      <c r="B586" s="13" t="s">
        <v>57</v>
      </c>
      <c r="C586" s="13" t="s">
        <v>1916</v>
      </c>
      <c r="D586" s="13" t="s">
        <v>166</v>
      </c>
      <c r="E586" s="13" t="s">
        <v>1044</v>
      </c>
      <c r="F586" s="13"/>
      <c r="G586" s="13"/>
      <c r="H586" s="31"/>
      <c r="I586" s="33" t="n">
        <v>45895.6255252315</v>
      </c>
      <c r="J586" s="33" t="n">
        <v>45895.6255252315</v>
      </c>
      <c r="K586" s="13" t="s">
        <v>153</v>
      </c>
      <c r="L586" s="13"/>
      <c r="M586" s="13" t="s">
        <v>1917</v>
      </c>
      <c r="N586" s="33" t="n">
        <v>46308.7264460648</v>
      </c>
    </row>
    <row r="587" customFormat="false" ht="15" hidden="false" customHeight="false" outlineLevel="0" collapsed="false">
      <c r="A587" s="13" t="s">
        <v>1918</v>
      </c>
      <c r="B587" s="13" t="s">
        <v>57</v>
      </c>
      <c r="C587" s="13" t="s">
        <v>1265</v>
      </c>
      <c r="D587" s="13" t="s">
        <v>166</v>
      </c>
      <c r="E587" s="13" t="s">
        <v>853</v>
      </c>
      <c r="F587" s="13"/>
      <c r="G587" s="13"/>
      <c r="H587" s="31"/>
      <c r="I587" s="33" t="n">
        <v>45895.4127989931</v>
      </c>
      <c r="J587" s="33" t="n">
        <v>45895.4127989931</v>
      </c>
      <c r="K587" s="13" t="s">
        <v>153</v>
      </c>
      <c r="L587" s="13"/>
      <c r="M587" s="13" t="s">
        <v>1919</v>
      </c>
      <c r="N587" s="33" t="n">
        <v>46308.7264460648</v>
      </c>
    </row>
    <row r="588" customFormat="false" ht="15" hidden="false" customHeight="false" outlineLevel="0" collapsed="false">
      <c r="A588" s="13" t="s">
        <v>1920</v>
      </c>
      <c r="B588" s="13" t="s">
        <v>57</v>
      </c>
      <c r="C588" s="13" t="s">
        <v>258</v>
      </c>
      <c r="D588" s="13" t="s">
        <v>166</v>
      </c>
      <c r="E588" s="13" t="s">
        <v>259</v>
      </c>
      <c r="F588" s="13"/>
      <c r="G588" s="13"/>
      <c r="H588" s="31"/>
      <c r="I588" s="33" t="n">
        <v>45895.3903008218</v>
      </c>
      <c r="J588" s="33" t="n">
        <v>45895.3903008218</v>
      </c>
      <c r="K588" s="13" t="s">
        <v>153</v>
      </c>
      <c r="L588" s="13"/>
      <c r="M588" s="13" t="s">
        <v>1921</v>
      </c>
      <c r="N588" s="33" t="n">
        <v>46308.7264460648</v>
      </c>
    </row>
    <row r="589" customFormat="false" ht="15" hidden="false" customHeight="false" outlineLevel="0" collapsed="false">
      <c r="A589" s="13" t="s">
        <v>1922</v>
      </c>
      <c r="B589" s="13" t="s">
        <v>57</v>
      </c>
      <c r="C589" s="13" t="s">
        <v>702</v>
      </c>
      <c r="D589" s="13" t="s">
        <v>166</v>
      </c>
      <c r="E589" s="13"/>
      <c r="F589" s="13"/>
      <c r="G589" s="13"/>
      <c r="H589" s="31"/>
      <c r="I589" s="33" t="n">
        <v>45894.3642597569</v>
      </c>
      <c r="J589" s="33" t="n">
        <v>45894.3642597569</v>
      </c>
      <c r="K589" s="13" t="s">
        <v>153</v>
      </c>
      <c r="L589" s="13"/>
      <c r="M589" s="13" t="s">
        <v>1923</v>
      </c>
      <c r="N589" s="33" t="n">
        <v>46308.7264460648</v>
      </c>
    </row>
    <row r="590" customFormat="false" ht="15" hidden="false" customHeight="false" outlineLevel="0" collapsed="false">
      <c r="A590" s="13" t="s">
        <v>1924</v>
      </c>
      <c r="B590" s="13" t="s">
        <v>57</v>
      </c>
      <c r="C590" s="13" t="s">
        <v>1278</v>
      </c>
      <c r="D590" s="13" t="s">
        <v>166</v>
      </c>
      <c r="E590" s="13"/>
      <c r="F590" s="13"/>
      <c r="G590" s="13"/>
      <c r="H590" s="31"/>
      <c r="I590" s="33" t="n">
        <v>45894.3642597569</v>
      </c>
      <c r="J590" s="33" t="n">
        <v>45894.3642597569</v>
      </c>
      <c r="K590" s="13" t="s">
        <v>153</v>
      </c>
      <c r="L590" s="13"/>
      <c r="M590" s="13" t="s">
        <v>1925</v>
      </c>
      <c r="N590" s="33" t="n">
        <v>46308.7264460648</v>
      </c>
    </row>
    <row r="591" customFormat="false" ht="15" hidden="false" customHeight="false" outlineLevel="0" collapsed="false">
      <c r="A591" s="13" t="s">
        <v>1926</v>
      </c>
      <c r="B591" s="13" t="s">
        <v>57</v>
      </c>
      <c r="C591" s="13" t="s">
        <v>1927</v>
      </c>
      <c r="D591" s="13" t="s">
        <v>166</v>
      </c>
      <c r="E591" s="13" t="s">
        <v>1349</v>
      </c>
      <c r="F591" s="13"/>
      <c r="G591" s="13"/>
      <c r="H591" s="31"/>
      <c r="I591" s="33" t="n">
        <v>45894.3642597569</v>
      </c>
      <c r="J591" s="33" t="n">
        <v>45894.3642597569</v>
      </c>
      <c r="K591" s="13" t="s">
        <v>153</v>
      </c>
      <c r="L591" s="13"/>
      <c r="M591" s="13" t="s">
        <v>1928</v>
      </c>
      <c r="N591" s="33" t="n">
        <v>46308.7264460648</v>
      </c>
    </row>
    <row r="592" customFormat="false" ht="15" hidden="false" customHeight="false" outlineLevel="0" collapsed="false">
      <c r="A592" s="13" t="s">
        <v>1929</v>
      </c>
      <c r="B592" s="13" t="s">
        <v>57</v>
      </c>
      <c r="C592" s="13" t="s">
        <v>185</v>
      </c>
      <c r="D592" s="13" t="s">
        <v>166</v>
      </c>
      <c r="E592" s="13" t="s">
        <v>981</v>
      </c>
      <c r="F592" s="13"/>
      <c r="G592" s="13"/>
      <c r="H592" s="31"/>
      <c r="I592" s="33" t="n">
        <v>45891.6676233218</v>
      </c>
      <c r="J592" s="33" t="n">
        <v>45891.6676233218</v>
      </c>
      <c r="K592" s="13" t="s">
        <v>153</v>
      </c>
      <c r="L592" s="13"/>
      <c r="M592" s="13" t="s">
        <v>1930</v>
      </c>
      <c r="N592" s="33" t="n">
        <v>46308.7264460648</v>
      </c>
    </row>
    <row r="593" customFormat="false" ht="15" hidden="false" customHeight="false" outlineLevel="0" collapsed="false">
      <c r="A593" s="13" t="s">
        <v>1931</v>
      </c>
      <c r="B593" s="13" t="s">
        <v>57</v>
      </c>
      <c r="C593" s="13" t="s">
        <v>1193</v>
      </c>
      <c r="D593" s="13" t="s">
        <v>166</v>
      </c>
      <c r="E593" s="13"/>
      <c r="F593" s="13"/>
      <c r="G593" s="13"/>
      <c r="H593" s="31"/>
      <c r="I593" s="33" t="n">
        <v>45891.6666837384</v>
      </c>
      <c r="J593" s="33" t="n">
        <v>45891.6666837384</v>
      </c>
      <c r="K593" s="13" t="s">
        <v>153</v>
      </c>
      <c r="L593" s="13"/>
      <c r="M593" s="13" t="s">
        <v>1932</v>
      </c>
      <c r="N593" s="33" t="n">
        <v>46308.7264460648</v>
      </c>
    </row>
    <row r="594" customFormat="false" ht="15" hidden="false" customHeight="false" outlineLevel="0" collapsed="false">
      <c r="A594" s="13" t="s">
        <v>1933</v>
      </c>
      <c r="B594" s="13" t="s">
        <v>57</v>
      </c>
      <c r="C594" s="13" t="s">
        <v>695</v>
      </c>
      <c r="D594" s="13" t="s">
        <v>166</v>
      </c>
      <c r="E594" s="13" t="s">
        <v>696</v>
      </c>
      <c r="F594" s="13"/>
      <c r="G594" s="13"/>
      <c r="H594" s="31"/>
      <c r="I594" s="33" t="n">
        <v>45891.3828503935</v>
      </c>
      <c r="J594" s="33" t="n">
        <v>45891.3828503935</v>
      </c>
      <c r="K594" s="13" t="s">
        <v>153</v>
      </c>
      <c r="L594" s="13"/>
      <c r="M594" s="13" t="s">
        <v>1934</v>
      </c>
      <c r="N594" s="33" t="n">
        <v>46308.7264460648</v>
      </c>
    </row>
    <row r="595" customFormat="false" ht="15" hidden="false" customHeight="false" outlineLevel="0" collapsed="false">
      <c r="A595" s="13" t="s">
        <v>1935</v>
      </c>
      <c r="B595" s="13" t="s">
        <v>57</v>
      </c>
      <c r="C595" s="13" t="s">
        <v>1265</v>
      </c>
      <c r="D595" s="13" t="s">
        <v>166</v>
      </c>
      <c r="E595" s="13" t="s">
        <v>853</v>
      </c>
      <c r="F595" s="13"/>
      <c r="G595" s="13"/>
      <c r="H595" s="31"/>
      <c r="I595" s="33" t="n">
        <v>45890.5990609259</v>
      </c>
      <c r="J595" s="33" t="n">
        <v>45890.5990609259</v>
      </c>
      <c r="K595" s="13" t="s">
        <v>153</v>
      </c>
      <c r="L595" s="13"/>
      <c r="M595" s="13" t="s">
        <v>1936</v>
      </c>
      <c r="N595" s="33" t="n">
        <v>46308.7264460648</v>
      </c>
    </row>
    <row r="596" customFormat="false" ht="15" hidden="false" customHeight="false" outlineLevel="0" collapsed="false">
      <c r="A596" s="13" t="s">
        <v>1937</v>
      </c>
      <c r="B596" s="13" t="s">
        <v>57</v>
      </c>
      <c r="C596" s="13" t="s">
        <v>1864</v>
      </c>
      <c r="D596" s="13" t="s">
        <v>166</v>
      </c>
      <c r="E596" s="13" t="s">
        <v>981</v>
      </c>
      <c r="F596" s="13"/>
      <c r="G596" s="13"/>
      <c r="H596" s="31"/>
      <c r="I596" s="33" t="n">
        <v>45890.5986850347</v>
      </c>
      <c r="J596" s="33" t="n">
        <v>45890.5986850347</v>
      </c>
      <c r="K596" s="13" t="s">
        <v>153</v>
      </c>
      <c r="L596" s="13"/>
      <c r="M596" s="13" t="s">
        <v>1938</v>
      </c>
      <c r="N596" s="33" t="n">
        <v>46308.7264460648</v>
      </c>
    </row>
    <row r="597" customFormat="false" ht="15" hidden="false" customHeight="false" outlineLevel="0" collapsed="false">
      <c r="A597" s="13" t="s">
        <v>1939</v>
      </c>
      <c r="B597" s="13" t="s">
        <v>57</v>
      </c>
      <c r="C597" s="13" t="s">
        <v>185</v>
      </c>
      <c r="D597" s="13" t="s">
        <v>166</v>
      </c>
      <c r="E597" s="13" t="s">
        <v>981</v>
      </c>
      <c r="F597" s="13"/>
      <c r="G597" s="13"/>
      <c r="H597" s="31"/>
      <c r="I597" s="33" t="n">
        <v>45890.4381899421</v>
      </c>
      <c r="J597" s="33" t="n">
        <v>45890.4381899421</v>
      </c>
      <c r="K597" s="13" t="s">
        <v>153</v>
      </c>
      <c r="L597" s="13"/>
      <c r="M597" s="13" t="s">
        <v>1940</v>
      </c>
      <c r="N597" s="33" t="n">
        <v>46308.7264460648</v>
      </c>
    </row>
    <row r="598" customFormat="false" ht="15" hidden="false" customHeight="false" outlineLevel="0" collapsed="false">
      <c r="A598" s="13" t="s">
        <v>1941</v>
      </c>
      <c r="B598" s="13" t="s">
        <v>57</v>
      </c>
      <c r="C598" s="13" t="s">
        <v>1265</v>
      </c>
      <c r="D598" s="13" t="s">
        <v>166</v>
      </c>
      <c r="E598" s="13" t="s">
        <v>853</v>
      </c>
      <c r="F598" s="13"/>
      <c r="G598" s="13"/>
      <c r="H598" s="31"/>
      <c r="I598" s="33" t="n">
        <v>45889.5734238194</v>
      </c>
      <c r="J598" s="33" t="n">
        <v>45889.5734238194</v>
      </c>
      <c r="K598" s="13" t="s">
        <v>153</v>
      </c>
      <c r="L598" s="13"/>
      <c r="M598" s="13" t="s">
        <v>1942</v>
      </c>
      <c r="N598" s="33" t="n">
        <v>46308.7264460648</v>
      </c>
    </row>
    <row r="599" customFormat="false" ht="15" hidden="false" customHeight="false" outlineLevel="0" collapsed="false">
      <c r="A599" s="13" t="s">
        <v>1943</v>
      </c>
      <c r="B599" s="13" t="s">
        <v>57</v>
      </c>
      <c r="C599" s="13" t="s">
        <v>695</v>
      </c>
      <c r="D599" s="13" t="s">
        <v>166</v>
      </c>
      <c r="E599" s="13" t="s">
        <v>696</v>
      </c>
      <c r="F599" s="13"/>
      <c r="G599" s="13"/>
      <c r="H599" s="31"/>
      <c r="I599" s="33" t="n">
        <v>45888.6653622685</v>
      </c>
      <c r="J599" s="33" t="n">
        <v>45888.6653622685</v>
      </c>
      <c r="K599" s="13" t="s">
        <v>153</v>
      </c>
      <c r="L599" s="13"/>
      <c r="M599" s="13" t="s">
        <v>1944</v>
      </c>
      <c r="N599" s="33" t="n">
        <v>46308.7264460648</v>
      </c>
    </row>
    <row r="600" customFormat="false" ht="15" hidden="false" customHeight="false" outlineLevel="0" collapsed="false">
      <c r="A600" s="13" t="s">
        <v>1945</v>
      </c>
      <c r="B600" s="13" t="s">
        <v>57</v>
      </c>
      <c r="C600" s="13" t="s">
        <v>695</v>
      </c>
      <c r="D600" s="13" t="s">
        <v>166</v>
      </c>
      <c r="E600" s="13" t="s">
        <v>696</v>
      </c>
      <c r="F600" s="13"/>
      <c r="G600" s="13"/>
      <c r="H600" s="31"/>
      <c r="I600" s="33" t="n">
        <v>45888.6652366898</v>
      </c>
      <c r="J600" s="33" t="n">
        <v>45888.6652366898</v>
      </c>
      <c r="K600" s="13" t="s">
        <v>153</v>
      </c>
      <c r="L600" s="13"/>
      <c r="M600" s="13" t="s">
        <v>1946</v>
      </c>
      <c r="N600" s="33" t="n">
        <v>46308.7264460648</v>
      </c>
    </row>
    <row r="601" customFormat="false" ht="15" hidden="false" customHeight="false" outlineLevel="0" collapsed="false">
      <c r="A601" s="13" t="s">
        <v>1947</v>
      </c>
      <c r="B601" s="13" t="s">
        <v>57</v>
      </c>
      <c r="C601" s="13" t="s">
        <v>695</v>
      </c>
      <c r="D601" s="13" t="s">
        <v>166</v>
      </c>
      <c r="E601" s="13" t="s">
        <v>696</v>
      </c>
      <c r="F601" s="13"/>
      <c r="G601" s="13"/>
      <c r="H601" s="31"/>
      <c r="I601" s="33" t="n">
        <v>45888.6649764005</v>
      </c>
      <c r="J601" s="33" t="n">
        <v>45888.6649648611</v>
      </c>
      <c r="K601" s="13" t="s">
        <v>153</v>
      </c>
      <c r="L601" s="13"/>
      <c r="M601" s="13" t="s">
        <v>1948</v>
      </c>
      <c r="N601" s="33" t="n">
        <v>46308.7264460648</v>
      </c>
    </row>
    <row r="602" customFormat="false" ht="15" hidden="false" customHeight="false" outlineLevel="0" collapsed="false">
      <c r="A602" s="13" t="s">
        <v>1949</v>
      </c>
      <c r="B602" s="13" t="s">
        <v>57</v>
      </c>
      <c r="C602" s="13" t="s">
        <v>695</v>
      </c>
      <c r="D602" s="13" t="s">
        <v>166</v>
      </c>
      <c r="E602" s="13" t="s">
        <v>696</v>
      </c>
      <c r="F602" s="13"/>
      <c r="G602" s="13"/>
      <c r="H602" s="31"/>
      <c r="I602" s="33" t="n">
        <v>45888.6647079514</v>
      </c>
      <c r="J602" s="33" t="n">
        <v>45888.6647079514</v>
      </c>
      <c r="K602" s="13" t="s">
        <v>153</v>
      </c>
      <c r="L602" s="13"/>
      <c r="M602" s="13" t="s">
        <v>1950</v>
      </c>
      <c r="N602" s="33" t="n">
        <v>46308.7264460648</v>
      </c>
    </row>
    <row r="603" customFormat="false" ht="15" hidden="false" customHeight="false" outlineLevel="0" collapsed="false">
      <c r="A603" s="13" t="s">
        <v>1951</v>
      </c>
      <c r="B603" s="13" t="s">
        <v>57</v>
      </c>
      <c r="C603" s="13" t="s">
        <v>1952</v>
      </c>
      <c r="D603" s="13" t="s">
        <v>166</v>
      </c>
      <c r="E603" s="13" t="s">
        <v>1044</v>
      </c>
      <c r="F603" s="13"/>
      <c r="G603" s="13"/>
      <c r="H603" s="31"/>
      <c r="I603" s="33" t="n">
        <v>45888.6645763657</v>
      </c>
      <c r="J603" s="33" t="n">
        <v>45888.6645763657</v>
      </c>
      <c r="K603" s="13" t="s">
        <v>153</v>
      </c>
      <c r="L603" s="13"/>
      <c r="M603" s="13" t="s">
        <v>1953</v>
      </c>
      <c r="N603" s="33" t="n">
        <v>46308.7264460648</v>
      </c>
    </row>
    <row r="604" customFormat="false" ht="15" hidden="false" customHeight="false" outlineLevel="0" collapsed="false">
      <c r="A604" s="13" t="s">
        <v>1954</v>
      </c>
      <c r="B604" s="13" t="s">
        <v>57</v>
      </c>
      <c r="C604" s="13" t="s">
        <v>258</v>
      </c>
      <c r="D604" s="13" t="s">
        <v>166</v>
      </c>
      <c r="E604" s="13"/>
      <c r="F604" s="13"/>
      <c r="G604" s="13"/>
      <c r="H604" s="31"/>
      <c r="I604" s="33" t="n">
        <v>45888.4367998958</v>
      </c>
      <c r="J604" s="33" t="n">
        <v>45888.4367998958</v>
      </c>
      <c r="K604" s="13" t="s">
        <v>153</v>
      </c>
      <c r="L604" s="13"/>
      <c r="M604" s="13" t="s">
        <v>1955</v>
      </c>
      <c r="N604" s="33" t="n">
        <v>46308.7264460648</v>
      </c>
    </row>
    <row r="605" customFormat="false" ht="15" hidden="false" customHeight="false" outlineLevel="0" collapsed="false">
      <c r="A605" s="13" t="s">
        <v>1956</v>
      </c>
      <c r="B605" s="13" t="s">
        <v>57</v>
      </c>
      <c r="C605" s="13" t="s">
        <v>258</v>
      </c>
      <c r="D605" s="13" t="s">
        <v>166</v>
      </c>
      <c r="E605" s="13" t="s">
        <v>699</v>
      </c>
      <c r="F605" s="13"/>
      <c r="G605" s="13"/>
      <c r="H605" s="31"/>
      <c r="I605" s="33" t="n">
        <v>45888.4330698958</v>
      </c>
      <c r="J605" s="33" t="n">
        <v>45888.4330698958</v>
      </c>
      <c r="K605" s="13" t="s">
        <v>153</v>
      </c>
      <c r="L605" s="13"/>
      <c r="M605" s="13" t="s">
        <v>1957</v>
      </c>
      <c r="N605" s="33" t="n">
        <v>46308.7264460648</v>
      </c>
    </row>
    <row r="606" customFormat="false" ht="15" hidden="false" customHeight="false" outlineLevel="0" collapsed="false">
      <c r="A606" s="13" t="s">
        <v>1958</v>
      </c>
      <c r="B606" s="13" t="s">
        <v>57</v>
      </c>
      <c r="C606" s="13" t="s">
        <v>185</v>
      </c>
      <c r="D606" s="13" t="s">
        <v>166</v>
      </c>
      <c r="E606" s="13" t="s">
        <v>981</v>
      </c>
      <c r="F606" s="13"/>
      <c r="G606" s="13"/>
      <c r="H606" s="31"/>
      <c r="I606" s="33" t="n">
        <v>45888.4252822454</v>
      </c>
      <c r="J606" s="33" t="n">
        <v>45888.4252822454</v>
      </c>
      <c r="K606" s="13" t="s">
        <v>153</v>
      </c>
      <c r="L606" s="13"/>
      <c r="M606" s="13" t="s">
        <v>1959</v>
      </c>
      <c r="N606" s="33" t="n">
        <v>46308.7264460648</v>
      </c>
    </row>
    <row r="607" customFormat="false" ht="15" hidden="false" customHeight="false" outlineLevel="0" collapsed="false">
      <c r="A607" s="13" t="s">
        <v>1960</v>
      </c>
      <c r="B607" s="13" t="s">
        <v>57</v>
      </c>
      <c r="C607" s="13" t="s">
        <v>1435</v>
      </c>
      <c r="D607" s="13" t="s">
        <v>166</v>
      </c>
      <c r="E607" s="13" t="s">
        <v>981</v>
      </c>
      <c r="F607" s="13"/>
      <c r="G607" s="13"/>
      <c r="H607" s="31"/>
      <c r="I607" s="33" t="n">
        <v>45888.3882851389</v>
      </c>
      <c r="J607" s="33" t="n">
        <v>45888.3882851389</v>
      </c>
      <c r="K607" s="13" t="s">
        <v>153</v>
      </c>
      <c r="L607" s="13"/>
      <c r="M607" s="13" t="s">
        <v>1961</v>
      </c>
      <c r="N607" s="33" t="n">
        <v>46308.7264460648</v>
      </c>
    </row>
    <row r="608" customFormat="false" ht="15" hidden="false" customHeight="false" outlineLevel="0" collapsed="false">
      <c r="A608" s="13" t="s">
        <v>1962</v>
      </c>
      <c r="B608" s="13" t="s">
        <v>57</v>
      </c>
      <c r="C608" s="13" t="s">
        <v>695</v>
      </c>
      <c r="D608" s="13" t="s">
        <v>166</v>
      </c>
      <c r="E608" s="13" t="s">
        <v>1285</v>
      </c>
      <c r="F608" s="13"/>
      <c r="G608" s="13"/>
      <c r="H608" s="31"/>
      <c r="I608" s="33" t="n">
        <v>45888.3689582407</v>
      </c>
      <c r="J608" s="33" t="n">
        <v>45888.3689582407</v>
      </c>
      <c r="K608" s="13" t="s">
        <v>153</v>
      </c>
      <c r="L608" s="13"/>
      <c r="M608" s="13" t="s">
        <v>1963</v>
      </c>
      <c r="N608" s="33" t="n">
        <v>46308.7264460648</v>
      </c>
    </row>
    <row r="609" customFormat="false" ht="15" hidden="false" customHeight="false" outlineLevel="0" collapsed="false">
      <c r="A609" s="13" t="s">
        <v>1964</v>
      </c>
      <c r="B609" s="13" t="s">
        <v>57</v>
      </c>
      <c r="C609" s="13" t="s">
        <v>695</v>
      </c>
      <c r="D609" s="13" t="s">
        <v>166</v>
      </c>
      <c r="E609" s="13" t="s">
        <v>696</v>
      </c>
      <c r="F609" s="13"/>
      <c r="G609" s="13"/>
      <c r="H609" s="31"/>
      <c r="I609" s="33" t="n">
        <v>45888.3688218403</v>
      </c>
      <c r="J609" s="33" t="n">
        <v>45887.3603780787</v>
      </c>
      <c r="K609" s="13" t="s">
        <v>153</v>
      </c>
      <c r="L609" s="13"/>
      <c r="M609" s="13" t="s">
        <v>1965</v>
      </c>
      <c r="N609" s="33" t="n">
        <v>46308.7264460648</v>
      </c>
    </row>
    <row r="610" customFormat="false" ht="15" hidden="false" customHeight="false" outlineLevel="0" collapsed="false">
      <c r="A610" s="13" t="s">
        <v>1966</v>
      </c>
      <c r="B610" s="13" t="s">
        <v>57</v>
      </c>
      <c r="C610" s="13" t="s">
        <v>695</v>
      </c>
      <c r="D610" s="13" t="s">
        <v>166</v>
      </c>
      <c r="E610" s="13"/>
      <c r="F610" s="13"/>
      <c r="G610" s="13"/>
      <c r="H610" s="31"/>
      <c r="I610" s="33" t="n">
        <v>45888.3671700926</v>
      </c>
      <c r="J610" s="33" t="n">
        <v>45888.3671700926</v>
      </c>
      <c r="K610" s="13" t="s">
        <v>153</v>
      </c>
      <c r="L610" s="13"/>
      <c r="M610" s="13" t="s">
        <v>1967</v>
      </c>
      <c r="N610" s="33" t="n">
        <v>46308.7264460648</v>
      </c>
    </row>
    <row r="611" customFormat="false" ht="15" hidden="false" customHeight="false" outlineLevel="0" collapsed="false">
      <c r="A611" s="13" t="s">
        <v>1968</v>
      </c>
      <c r="B611" s="13" t="s">
        <v>57</v>
      </c>
      <c r="C611" s="13" t="s">
        <v>258</v>
      </c>
      <c r="D611" s="13" t="s">
        <v>166</v>
      </c>
      <c r="E611" s="13" t="s">
        <v>1414</v>
      </c>
      <c r="F611" s="13"/>
      <c r="G611" s="13"/>
      <c r="H611" s="31"/>
      <c r="I611" s="33" t="n">
        <v>45888.3606221412</v>
      </c>
      <c r="J611" s="33" t="n">
        <v>45888.3606221412</v>
      </c>
      <c r="K611" s="13" t="s">
        <v>153</v>
      </c>
      <c r="L611" s="13"/>
      <c r="M611" s="13" t="s">
        <v>1969</v>
      </c>
      <c r="N611" s="33" t="n">
        <v>46308.7264460648</v>
      </c>
    </row>
    <row r="612" customFormat="false" ht="15" hidden="false" customHeight="false" outlineLevel="0" collapsed="false">
      <c r="A612" s="13" t="s">
        <v>1970</v>
      </c>
      <c r="B612" s="13" t="s">
        <v>57</v>
      </c>
      <c r="C612" s="13" t="s">
        <v>597</v>
      </c>
      <c r="D612" s="13" t="s">
        <v>166</v>
      </c>
      <c r="E612" s="13"/>
      <c r="F612" s="13"/>
      <c r="G612" s="13"/>
      <c r="H612" s="31"/>
      <c r="I612" s="33" t="n">
        <v>45887.6262764699</v>
      </c>
      <c r="J612" s="33" t="n">
        <v>45887.6262764699</v>
      </c>
      <c r="K612" s="13" t="s">
        <v>153</v>
      </c>
      <c r="L612" s="13"/>
      <c r="M612" s="13" t="s">
        <v>1971</v>
      </c>
      <c r="N612" s="33" t="n">
        <v>46308.7264460648</v>
      </c>
    </row>
    <row r="613" customFormat="false" ht="15" hidden="false" customHeight="false" outlineLevel="0" collapsed="false">
      <c r="A613" s="13" t="s">
        <v>1972</v>
      </c>
      <c r="B613" s="13" t="s">
        <v>57</v>
      </c>
      <c r="C613" s="13" t="s">
        <v>152</v>
      </c>
      <c r="D613" s="13" t="s">
        <v>166</v>
      </c>
      <c r="E613" s="13" t="s">
        <v>1973</v>
      </c>
      <c r="F613" s="13"/>
      <c r="G613" s="13"/>
      <c r="H613" s="31"/>
      <c r="I613" s="33" t="n">
        <v>45887.6262764699</v>
      </c>
      <c r="J613" s="33" t="n">
        <v>45887.6262764699</v>
      </c>
      <c r="K613" s="13" t="s">
        <v>153</v>
      </c>
      <c r="L613" s="13"/>
      <c r="M613" s="13" t="s">
        <v>1974</v>
      </c>
      <c r="N613" s="33" t="n">
        <v>46308.7264460648</v>
      </c>
    </row>
    <row r="614" customFormat="false" ht="15" hidden="false" customHeight="false" outlineLevel="0" collapsed="false">
      <c r="A614" s="13" t="s">
        <v>1975</v>
      </c>
      <c r="B614" s="13" t="s">
        <v>57</v>
      </c>
      <c r="C614" s="13" t="s">
        <v>1278</v>
      </c>
      <c r="D614" s="13" t="s">
        <v>166</v>
      </c>
      <c r="E614" s="13"/>
      <c r="F614" s="13"/>
      <c r="G614" s="13"/>
      <c r="H614" s="31"/>
      <c r="I614" s="33" t="n">
        <v>45887.6262764699</v>
      </c>
      <c r="J614" s="33" t="n">
        <v>45887.6262764699</v>
      </c>
      <c r="K614" s="13" t="s">
        <v>153</v>
      </c>
      <c r="L614" s="13"/>
      <c r="M614" s="13" t="s">
        <v>1976</v>
      </c>
      <c r="N614" s="33" t="n">
        <v>46308.7264460648</v>
      </c>
    </row>
    <row r="615" customFormat="false" ht="15" hidden="false" customHeight="false" outlineLevel="0" collapsed="false">
      <c r="A615" s="13" t="s">
        <v>1977</v>
      </c>
      <c r="B615" s="13" t="s">
        <v>57</v>
      </c>
      <c r="C615" s="13" t="s">
        <v>1978</v>
      </c>
      <c r="D615" s="13" t="s">
        <v>166</v>
      </c>
      <c r="E615" s="13" t="s">
        <v>977</v>
      </c>
      <c r="F615" s="13"/>
      <c r="G615" s="13"/>
      <c r="H615" s="31"/>
      <c r="I615" s="33" t="n">
        <v>45887.6257202315</v>
      </c>
      <c r="J615" s="33" t="n">
        <v>45884.6729013542</v>
      </c>
      <c r="K615" s="13" t="s">
        <v>153</v>
      </c>
      <c r="L615" s="13"/>
      <c r="M615" s="13" t="s">
        <v>1979</v>
      </c>
      <c r="N615" s="33" t="n">
        <v>46308.7264460648</v>
      </c>
    </row>
    <row r="616" customFormat="false" ht="15" hidden="false" customHeight="false" outlineLevel="0" collapsed="false">
      <c r="A616" s="13" t="s">
        <v>1980</v>
      </c>
      <c r="B616" s="13" t="s">
        <v>57</v>
      </c>
      <c r="C616" s="13" t="s">
        <v>1981</v>
      </c>
      <c r="D616" s="13" t="s">
        <v>166</v>
      </c>
      <c r="E616" s="13"/>
      <c r="F616" s="13"/>
      <c r="G616" s="13"/>
      <c r="H616" s="31"/>
      <c r="I616" s="33" t="n">
        <v>45887.6218173495</v>
      </c>
      <c r="J616" s="33" t="n">
        <v>45887.6218173495</v>
      </c>
      <c r="K616" s="13" t="s">
        <v>153</v>
      </c>
      <c r="L616" s="13"/>
      <c r="M616" s="13" t="s">
        <v>1982</v>
      </c>
      <c r="N616" s="33" t="n">
        <v>46308.7264460648</v>
      </c>
    </row>
    <row r="617" customFormat="false" ht="15" hidden="false" customHeight="false" outlineLevel="0" collapsed="false">
      <c r="A617" s="13" t="s">
        <v>1983</v>
      </c>
      <c r="B617" s="13" t="s">
        <v>57</v>
      </c>
      <c r="C617" s="13" t="s">
        <v>1984</v>
      </c>
      <c r="D617" s="13" t="s">
        <v>166</v>
      </c>
      <c r="E617" s="13"/>
      <c r="F617" s="13"/>
      <c r="G617" s="13"/>
      <c r="H617" s="31"/>
      <c r="I617" s="33" t="n">
        <v>45887.6218173495</v>
      </c>
      <c r="J617" s="33" t="n">
        <v>45887.6218173495</v>
      </c>
      <c r="K617" s="13" t="s">
        <v>153</v>
      </c>
      <c r="L617" s="13"/>
      <c r="M617" s="13" t="s">
        <v>1985</v>
      </c>
      <c r="N617" s="33" t="n">
        <v>46308.7264460648</v>
      </c>
    </row>
    <row r="618" customFormat="false" ht="15" hidden="false" customHeight="false" outlineLevel="0" collapsed="false">
      <c r="A618" s="13" t="s">
        <v>1986</v>
      </c>
      <c r="B618" s="13" t="s">
        <v>57</v>
      </c>
      <c r="C618" s="13" t="s">
        <v>1987</v>
      </c>
      <c r="D618" s="13" t="s">
        <v>166</v>
      </c>
      <c r="E618" s="13"/>
      <c r="F618" s="13"/>
      <c r="G618" s="13"/>
      <c r="H618" s="31"/>
      <c r="I618" s="33" t="n">
        <v>45887.6218173495</v>
      </c>
      <c r="J618" s="33" t="n">
        <v>45887.6218173495</v>
      </c>
      <c r="K618" s="13" t="s">
        <v>153</v>
      </c>
      <c r="L618" s="13"/>
      <c r="M618" s="13" t="s">
        <v>1988</v>
      </c>
      <c r="N618" s="33" t="n">
        <v>46308.7264460648</v>
      </c>
    </row>
    <row r="619" customFormat="false" ht="15" hidden="false" customHeight="false" outlineLevel="0" collapsed="false">
      <c r="A619" s="13" t="s">
        <v>1989</v>
      </c>
      <c r="B619" s="13" t="s">
        <v>57</v>
      </c>
      <c r="C619" s="13" t="s">
        <v>1990</v>
      </c>
      <c r="D619" s="13" t="s">
        <v>166</v>
      </c>
      <c r="E619" s="13" t="s">
        <v>853</v>
      </c>
      <c r="F619" s="13" t="s">
        <v>736</v>
      </c>
      <c r="G619" s="13"/>
      <c r="H619" s="31"/>
      <c r="I619" s="33" t="n">
        <v>45887.6218173495</v>
      </c>
      <c r="J619" s="33" t="n">
        <v>45887.6218173495</v>
      </c>
      <c r="K619" s="13" t="s">
        <v>153</v>
      </c>
      <c r="L619" s="13" t="s">
        <v>117</v>
      </c>
      <c r="M619" s="13" t="s">
        <v>1991</v>
      </c>
      <c r="N619" s="33" t="n">
        <v>46308.7264460648</v>
      </c>
    </row>
    <row r="620" customFormat="false" ht="15" hidden="false" customHeight="false" outlineLevel="0" collapsed="false">
      <c r="A620" s="13" t="s">
        <v>1992</v>
      </c>
      <c r="B620" s="13" t="s">
        <v>57</v>
      </c>
      <c r="C620" s="13" t="s">
        <v>1265</v>
      </c>
      <c r="D620" s="13" t="s">
        <v>166</v>
      </c>
      <c r="E620" s="13" t="s">
        <v>853</v>
      </c>
      <c r="F620" s="13"/>
      <c r="G620" s="13"/>
      <c r="H620" s="31"/>
      <c r="I620" s="33" t="n">
        <v>45887.5964405093</v>
      </c>
      <c r="J620" s="33" t="n">
        <v>45887.5964405093</v>
      </c>
      <c r="K620" s="13" t="s">
        <v>153</v>
      </c>
      <c r="L620" s="13"/>
      <c r="M620" s="13" t="s">
        <v>1993</v>
      </c>
      <c r="N620" s="33" t="n">
        <v>46308.7264460648</v>
      </c>
    </row>
    <row r="621" customFormat="false" ht="15" hidden="false" customHeight="false" outlineLevel="0" collapsed="false">
      <c r="A621" s="13" t="s">
        <v>1994</v>
      </c>
      <c r="B621" s="13" t="s">
        <v>57</v>
      </c>
      <c r="C621" s="13" t="s">
        <v>185</v>
      </c>
      <c r="D621" s="13" t="s">
        <v>166</v>
      </c>
      <c r="E621" s="13" t="s">
        <v>981</v>
      </c>
      <c r="F621" s="13"/>
      <c r="G621" s="13"/>
      <c r="H621" s="31"/>
      <c r="I621" s="33" t="n">
        <v>45887.4340739815</v>
      </c>
      <c r="J621" s="33" t="n">
        <v>45887.4340739815</v>
      </c>
      <c r="K621" s="13" t="s">
        <v>153</v>
      </c>
      <c r="L621" s="13"/>
      <c r="M621" s="13" t="s">
        <v>1995</v>
      </c>
      <c r="N621" s="33" t="n">
        <v>46308.7264460648</v>
      </c>
    </row>
    <row r="622" customFormat="false" ht="15" hidden="false" customHeight="false" outlineLevel="0" collapsed="false">
      <c r="A622" s="13" t="s">
        <v>1996</v>
      </c>
      <c r="B622" s="13" t="s">
        <v>57</v>
      </c>
      <c r="C622" s="13" t="s">
        <v>1997</v>
      </c>
      <c r="D622" s="13" t="s">
        <v>166</v>
      </c>
      <c r="E622" s="13" t="s">
        <v>1044</v>
      </c>
      <c r="F622" s="13"/>
      <c r="G622" s="13"/>
      <c r="H622" s="31"/>
      <c r="I622" s="33" t="n">
        <v>45887.3978352894</v>
      </c>
      <c r="J622" s="33" t="n">
        <v>45887.3977554514</v>
      </c>
      <c r="K622" s="13" t="s">
        <v>153</v>
      </c>
      <c r="L622" s="13"/>
      <c r="M622" s="13" t="s">
        <v>1998</v>
      </c>
      <c r="N622" s="33" t="n">
        <v>46308.7264460648</v>
      </c>
    </row>
    <row r="623" customFormat="false" ht="15" hidden="false" customHeight="false" outlineLevel="0" collapsed="false">
      <c r="A623" s="13" t="s">
        <v>1999</v>
      </c>
      <c r="B623" s="13" t="s">
        <v>57</v>
      </c>
      <c r="C623" s="13" t="s">
        <v>702</v>
      </c>
      <c r="D623" s="13" t="s">
        <v>166</v>
      </c>
      <c r="E623" s="13"/>
      <c r="F623" s="13"/>
      <c r="G623" s="13"/>
      <c r="H623" s="31"/>
      <c r="I623" s="33" t="n">
        <v>45887.3603780787</v>
      </c>
      <c r="J623" s="33" t="n">
        <v>45887.3603780787</v>
      </c>
      <c r="K623" s="13" t="s">
        <v>153</v>
      </c>
      <c r="L623" s="13"/>
      <c r="M623" s="13" t="s">
        <v>2000</v>
      </c>
      <c r="N623" s="33" t="n">
        <v>46308.7264460648</v>
      </c>
    </row>
    <row r="624" customFormat="false" ht="15" hidden="false" customHeight="false" outlineLevel="0" collapsed="false">
      <c r="A624" s="13" t="s">
        <v>2001</v>
      </c>
      <c r="B624" s="13" t="s">
        <v>57</v>
      </c>
      <c r="C624" s="13" t="s">
        <v>1278</v>
      </c>
      <c r="D624" s="13" t="s">
        <v>166</v>
      </c>
      <c r="E624" s="13"/>
      <c r="F624" s="13"/>
      <c r="G624" s="13"/>
      <c r="H624" s="31"/>
      <c r="I624" s="33" t="n">
        <v>45887.3603780787</v>
      </c>
      <c r="J624" s="33" t="n">
        <v>45887.3603780787</v>
      </c>
      <c r="K624" s="13" t="s">
        <v>153</v>
      </c>
      <c r="L624" s="13"/>
      <c r="M624" s="13" t="s">
        <v>2002</v>
      </c>
      <c r="N624" s="33" t="n">
        <v>46308.7264460648</v>
      </c>
    </row>
    <row r="625" customFormat="false" ht="15" hidden="false" customHeight="false" outlineLevel="0" collapsed="false">
      <c r="A625" s="13" t="s">
        <v>2003</v>
      </c>
      <c r="B625" s="13" t="s">
        <v>57</v>
      </c>
      <c r="C625" s="13" t="s">
        <v>2004</v>
      </c>
      <c r="D625" s="13" t="s">
        <v>166</v>
      </c>
      <c r="E625" s="13" t="s">
        <v>977</v>
      </c>
      <c r="F625" s="13"/>
      <c r="G625" s="13"/>
      <c r="H625" s="31"/>
      <c r="I625" s="33" t="n">
        <v>45887.3603780787</v>
      </c>
      <c r="J625" s="33" t="n">
        <v>45887.3603780787</v>
      </c>
      <c r="K625" s="13" t="s">
        <v>153</v>
      </c>
      <c r="L625" s="13"/>
      <c r="M625" s="13" t="s">
        <v>2005</v>
      </c>
      <c r="N625" s="33" t="n">
        <v>46308.7264460648</v>
      </c>
    </row>
    <row r="626" customFormat="false" ht="15" hidden="false" customHeight="false" outlineLevel="0" collapsed="false">
      <c r="A626" s="13" t="s">
        <v>2006</v>
      </c>
      <c r="B626" s="13" t="s">
        <v>57</v>
      </c>
      <c r="C626" s="13" t="s">
        <v>1278</v>
      </c>
      <c r="D626" s="13" t="s">
        <v>166</v>
      </c>
      <c r="E626" s="13"/>
      <c r="F626" s="13"/>
      <c r="G626" s="13"/>
      <c r="H626" s="31"/>
      <c r="I626" s="33" t="n">
        <v>45884.7225679051</v>
      </c>
      <c r="J626" s="33" t="n">
        <v>45884.7225679051</v>
      </c>
      <c r="K626" s="13" t="s">
        <v>153</v>
      </c>
      <c r="L626" s="13"/>
      <c r="M626" s="13" t="s">
        <v>2007</v>
      </c>
      <c r="N626" s="33" t="n">
        <v>46308.7264460648</v>
      </c>
    </row>
    <row r="627" customFormat="false" ht="15" hidden="false" customHeight="false" outlineLevel="0" collapsed="false">
      <c r="A627" s="13" t="s">
        <v>2008</v>
      </c>
      <c r="B627" s="13" t="s">
        <v>57</v>
      </c>
      <c r="C627" s="13" t="s">
        <v>2009</v>
      </c>
      <c r="D627" s="13" t="s">
        <v>166</v>
      </c>
      <c r="E627" s="13" t="s">
        <v>977</v>
      </c>
      <c r="F627" s="13"/>
      <c r="G627" s="13"/>
      <c r="H627" s="31"/>
      <c r="I627" s="33" t="n">
        <v>45884.7225679051</v>
      </c>
      <c r="J627" s="33" t="n">
        <v>45884.7225679051</v>
      </c>
      <c r="K627" s="13" t="s">
        <v>153</v>
      </c>
      <c r="L627" s="13"/>
      <c r="M627" s="13" t="s">
        <v>2010</v>
      </c>
      <c r="N627" s="33" t="n">
        <v>46308.7264460648</v>
      </c>
    </row>
    <row r="628" customFormat="false" ht="15" hidden="false" customHeight="false" outlineLevel="0" collapsed="false">
      <c r="A628" s="13" t="s">
        <v>2011</v>
      </c>
      <c r="B628" s="13" t="s">
        <v>57</v>
      </c>
      <c r="C628" s="13" t="s">
        <v>2012</v>
      </c>
      <c r="D628" s="13" t="s">
        <v>166</v>
      </c>
      <c r="E628" s="13" t="s">
        <v>1044</v>
      </c>
      <c r="F628" s="13"/>
      <c r="G628" s="13"/>
      <c r="H628" s="31"/>
      <c r="I628" s="33" t="n">
        <v>45884.7217339352</v>
      </c>
      <c r="J628" s="33" t="n">
        <v>45884.7217339352</v>
      </c>
      <c r="K628" s="13" t="s">
        <v>153</v>
      </c>
      <c r="L628" s="13"/>
      <c r="M628" s="13" t="s">
        <v>2013</v>
      </c>
      <c r="N628" s="33" t="n">
        <v>46308.7264460648</v>
      </c>
    </row>
    <row r="629" customFormat="false" ht="15" hidden="false" customHeight="false" outlineLevel="0" collapsed="false">
      <c r="A629" s="13" t="s">
        <v>2014</v>
      </c>
      <c r="B629" s="13" t="s">
        <v>57</v>
      </c>
      <c r="C629" s="13" t="s">
        <v>702</v>
      </c>
      <c r="D629" s="13" t="s">
        <v>166</v>
      </c>
      <c r="E629" s="13"/>
      <c r="F629" s="13"/>
      <c r="G629" s="13"/>
      <c r="H629" s="31"/>
      <c r="I629" s="33" t="n">
        <v>45884.721295787</v>
      </c>
      <c r="J629" s="33" t="n">
        <v>45884.721295787</v>
      </c>
      <c r="K629" s="13" t="s">
        <v>153</v>
      </c>
      <c r="L629" s="13"/>
      <c r="M629" s="13" t="s">
        <v>2015</v>
      </c>
      <c r="N629" s="33" t="n">
        <v>46308.7264460648</v>
      </c>
    </row>
    <row r="630" customFormat="false" ht="15" hidden="false" customHeight="false" outlineLevel="0" collapsed="false">
      <c r="A630" s="13" t="s">
        <v>2016</v>
      </c>
      <c r="B630" s="13" t="s">
        <v>57</v>
      </c>
      <c r="C630" s="13" t="s">
        <v>1278</v>
      </c>
      <c r="D630" s="13" t="s">
        <v>166</v>
      </c>
      <c r="E630" s="13"/>
      <c r="F630" s="13"/>
      <c r="G630" s="13"/>
      <c r="H630" s="31"/>
      <c r="I630" s="33" t="n">
        <v>45884.721295787</v>
      </c>
      <c r="J630" s="33" t="n">
        <v>45884.721295787</v>
      </c>
      <c r="K630" s="13" t="s">
        <v>153</v>
      </c>
      <c r="L630" s="13"/>
      <c r="M630" s="13" t="s">
        <v>2017</v>
      </c>
      <c r="N630" s="33" t="n">
        <v>46308.7264460648</v>
      </c>
    </row>
    <row r="631" customFormat="false" ht="15" hidden="false" customHeight="false" outlineLevel="0" collapsed="false">
      <c r="A631" s="13" t="s">
        <v>2018</v>
      </c>
      <c r="B631" s="13" t="s">
        <v>57</v>
      </c>
      <c r="C631" s="13" t="s">
        <v>2019</v>
      </c>
      <c r="D631" s="13" t="s">
        <v>166</v>
      </c>
      <c r="E631" s="13" t="s">
        <v>1028</v>
      </c>
      <c r="F631" s="13"/>
      <c r="G631" s="13"/>
      <c r="H631" s="31"/>
      <c r="I631" s="33" t="n">
        <v>45884.721295787</v>
      </c>
      <c r="J631" s="33" t="n">
        <v>45884.721295787</v>
      </c>
      <c r="K631" s="13" t="s">
        <v>153</v>
      </c>
      <c r="L631" s="13"/>
      <c r="M631" s="13" t="s">
        <v>2020</v>
      </c>
      <c r="N631" s="33" t="n">
        <v>46308.7264460648</v>
      </c>
    </row>
    <row r="632" customFormat="false" ht="15" hidden="false" customHeight="false" outlineLevel="0" collapsed="false">
      <c r="A632" s="13" t="s">
        <v>2021</v>
      </c>
      <c r="B632" s="13" t="s">
        <v>57</v>
      </c>
      <c r="C632" s="13" t="s">
        <v>2022</v>
      </c>
      <c r="D632" s="13" t="s">
        <v>166</v>
      </c>
      <c r="E632" s="13" t="s">
        <v>1044</v>
      </c>
      <c r="F632" s="13"/>
      <c r="G632" s="13"/>
      <c r="H632" s="31"/>
      <c r="I632" s="33" t="n">
        <v>45884.7184389236</v>
      </c>
      <c r="J632" s="33" t="n">
        <v>45884.7184389236</v>
      </c>
      <c r="K632" s="13" t="s">
        <v>153</v>
      </c>
      <c r="L632" s="13"/>
      <c r="M632" s="13" t="s">
        <v>2023</v>
      </c>
      <c r="N632" s="33" t="n">
        <v>46308.7264460648</v>
      </c>
    </row>
    <row r="633" customFormat="false" ht="15" hidden="false" customHeight="false" outlineLevel="0" collapsed="false">
      <c r="A633" s="13" t="s">
        <v>2024</v>
      </c>
      <c r="B633" s="13" t="s">
        <v>57</v>
      </c>
      <c r="C633" s="13" t="s">
        <v>1435</v>
      </c>
      <c r="D633" s="13" t="s">
        <v>166</v>
      </c>
      <c r="E633" s="13" t="s">
        <v>981</v>
      </c>
      <c r="F633" s="13"/>
      <c r="G633" s="13"/>
      <c r="H633" s="31"/>
      <c r="I633" s="33" t="n">
        <v>45884.7118591551</v>
      </c>
      <c r="J633" s="33" t="n">
        <v>45884.7118591551</v>
      </c>
      <c r="K633" s="13" t="s">
        <v>153</v>
      </c>
      <c r="L633" s="13"/>
      <c r="M633" s="13" t="s">
        <v>2025</v>
      </c>
      <c r="N633" s="33" t="n">
        <v>46308.7264460648</v>
      </c>
    </row>
    <row r="634" customFormat="false" ht="15" hidden="false" customHeight="false" outlineLevel="0" collapsed="false">
      <c r="A634" s="13" t="s">
        <v>2026</v>
      </c>
      <c r="B634" s="13" t="s">
        <v>57</v>
      </c>
      <c r="C634" s="13" t="s">
        <v>185</v>
      </c>
      <c r="D634" s="13" t="s">
        <v>166</v>
      </c>
      <c r="E634" s="13" t="s">
        <v>981</v>
      </c>
      <c r="F634" s="13"/>
      <c r="G634" s="13"/>
      <c r="H634" s="31"/>
      <c r="I634" s="33" t="n">
        <v>45884.7117059028</v>
      </c>
      <c r="J634" s="33" t="n">
        <v>45884.7117059028</v>
      </c>
      <c r="K634" s="13" t="s">
        <v>153</v>
      </c>
      <c r="L634" s="13"/>
      <c r="M634" s="13" t="s">
        <v>2027</v>
      </c>
      <c r="N634" s="33" t="n">
        <v>46308.7264460648</v>
      </c>
    </row>
    <row r="635" customFormat="false" ht="15" hidden="false" customHeight="false" outlineLevel="0" collapsed="false">
      <c r="A635" s="13" t="s">
        <v>2028</v>
      </c>
      <c r="B635" s="13" t="s">
        <v>57</v>
      </c>
      <c r="C635" s="13" t="s">
        <v>1573</v>
      </c>
      <c r="D635" s="13" t="s">
        <v>166</v>
      </c>
      <c r="E635" s="13"/>
      <c r="F635" s="13"/>
      <c r="G635" s="13"/>
      <c r="H635" s="31"/>
      <c r="I635" s="33" t="n">
        <v>45884.6753745255</v>
      </c>
      <c r="J635" s="33" t="n">
        <v>45884.6753745255</v>
      </c>
      <c r="K635" s="13" t="s">
        <v>153</v>
      </c>
      <c r="L635" s="13"/>
      <c r="M635" s="13" t="s">
        <v>2029</v>
      </c>
      <c r="N635" s="33" t="n">
        <v>46308.7264460648</v>
      </c>
    </row>
    <row r="636" customFormat="false" ht="15" hidden="false" customHeight="false" outlineLevel="0" collapsed="false">
      <c r="A636" s="13" t="s">
        <v>2030</v>
      </c>
      <c r="B636" s="13" t="s">
        <v>57</v>
      </c>
      <c r="C636" s="13" t="s">
        <v>2031</v>
      </c>
      <c r="D636" s="13" t="s">
        <v>166</v>
      </c>
      <c r="E636" s="13" t="s">
        <v>1044</v>
      </c>
      <c r="F636" s="13"/>
      <c r="G636" s="13"/>
      <c r="H636" s="31"/>
      <c r="I636" s="33" t="n">
        <v>45884.673385382</v>
      </c>
      <c r="J636" s="33" t="n">
        <v>45876.450471331</v>
      </c>
      <c r="K636" s="13" t="s">
        <v>153</v>
      </c>
      <c r="L636" s="13"/>
      <c r="M636" s="13" t="s">
        <v>2032</v>
      </c>
      <c r="N636" s="33" t="n">
        <v>46308.7264460648</v>
      </c>
    </row>
    <row r="637" customFormat="false" ht="15" hidden="false" customHeight="false" outlineLevel="0" collapsed="false">
      <c r="A637" s="13" t="s">
        <v>2033</v>
      </c>
      <c r="B637" s="13" t="s">
        <v>57</v>
      </c>
      <c r="C637" s="13" t="s">
        <v>1732</v>
      </c>
      <c r="D637" s="13" t="s">
        <v>166</v>
      </c>
      <c r="E637" s="13"/>
      <c r="F637" s="13"/>
      <c r="G637" s="13"/>
      <c r="H637" s="31"/>
      <c r="I637" s="33" t="n">
        <v>45884.6699223032</v>
      </c>
      <c r="J637" s="33" t="n">
        <v>45884.6699223032</v>
      </c>
      <c r="K637" s="13" t="s">
        <v>153</v>
      </c>
      <c r="L637" s="13"/>
      <c r="M637" s="13" t="s">
        <v>2034</v>
      </c>
      <c r="N637" s="33" t="n">
        <v>46308.7264460648</v>
      </c>
    </row>
    <row r="638" customFormat="false" ht="15" hidden="false" customHeight="false" outlineLevel="0" collapsed="false">
      <c r="A638" s="13" t="s">
        <v>2035</v>
      </c>
      <c r="B638" s="13" t="s">
        <v>57</v>
      </c>
      <c r="C638" s="13" t="s">
        <v>702</v>
      </c>
      <c r="D638" s="13" t="s">
        <v>166</v>
      </c>
      <c r="E638" s="13"/>
      <c r="F638" s="13"/>
      <c r="G638" s="13"/>
      <c r="H638" s="31"/>
      <c r="I638" s="33" t="n">
        <v>45884.6686740625</v>
      </c>
      <c r="J638" s="33" t="n">
        <v>45884.6686740625</v>
      </c>
      <c r="K638" s="13" t="s">
        <v>153</v>
      </c>
      <c r="L638" s="13"/>
      <c r="M638" s="13" t="s">
        <v>2036</v>
      </c>
      <c r="N638" s="33" t="n">
        <v>46308.7264460648</v>
      </c>
    </row>
    <row r="639" customFormat="false" ht="15" hidden="false" customHeight="false" outlineLevel="0" collapsed="false">
      <c r="A639" s="13" t="s">
        <v>2037</v>
      </c>
      <c r="B639" s="13" t="s">
        <v>57</v>
      </c>
      <c r="C639" s="13" t="s">
        <v>1278</v>
      </c>
      <c r="D639" s="13" t="s">
        <v>166</v>
      </c>
      <c r="E639" s="13"/>
      <c r="F639" s="13"/>
      <c r="G639" s="13"/>
      <c r="H639" s="31"/>
      <c r="I639" s="33" t="n">
        <v>45884.6686740625</v>
      </c>
      <c r="J639" s="33" t="n">
        <v>45884.6686740625</v>
      </c>
      <c r="K639" s="13" t="s">
        <v>153</v>
      </c>
      <c r="L639" s="13"/>
      <c r="M639" s="13" t="s">
        <v>2038</v>
      </c>
      <c r="N639" s="33" t="n">
        <v>46308.7264460648</v>
      </c>
    </row>
    <row r="640" customFormat="false" ht="15" hidden="false" customHeight="false" outlineLevel="0" collapsed="false">
      <c r="A640" s="13" t="s">
        <v>2039</v>
      </c>
      <c r="B640" s="13" t="s">
        <v>57</v>
      </c>
      <c r="C640" s="13" t="s">
        <v>2040</v>
      </c>
      <c r="D640" s="13" t="s">
        <v>166</v>
      </c>
      <c r="E640" s="13" t="s">
        <v>1044</v>
      </c>
      <c r="F640" s="13"/>
      <c r="G640" s="13"/>
      <c r="H640" s="31"/>
      <c r="I640" s="33" t="n">
        <v>45884.6686740625</v>
      </c>
      <c r="J640" s="33" t="n">
        <v>45884.6686740625</v>
      </c>
      <c r="K640" s="13" t="s">
        <v>153</v>
      </c>
      <c r="L640" s="13"/>
      <c r="M640" s="13" t="s">
        <v>2041</v>
      </c>
      <c r="N640" s="33" t="n">
        <v>46308.7264460648</v>
      </c>
    </row>
    <row r="641" customFormat="false" ht="15" hidden="false" customHeight="false" outlineLevel="0" collapsed="false">
      <c r="A641" s="13" t="s">
        <v>2042</v>
      </c>
      <c r="B641" s="13" t="s">
        <v>57</v>
      </c>
      <c r="C641" s="13" t="s">
        <v>258</v>
      </c>
      <c r="D641" s="13" t="s">
        <v>401</v>
      </c>
      <c r="E641" s="13" t="s">
        <v>259</v>
      </c>
      <c r="F641" s="13"/>
      <c r="G641" s="13"/>
      <c r="H641" s="31"/>
      <c r="I641" s="33" t="n">
        <v>45884.6241241204</v>
      </c>
      <c r="J641" s="33"/>
      <c r="K641" s="13" t="s">
        <v>153</v>
      </c>
      <c r="L641" s="13"/>
      <c r="M641" s="13" t="s">
        <v>2043</v>
      </c>
      <c r="N641" s="33" t="n">
        <v>46308.7264460648</v>
      </c>
    </row>
    <row r="642" customFormat="false" ht="15" hidden="false" customHeight="false" outlineLevel="0" collapsed="false">
      <c r="A642" s="13" t="s">
        <v>2044</v>
      </c>
      <c r="B642" s="13" t="s">
        <v>57</v>
      </c>
      <c r="C642" s="13" t="s">
        <v>702</v>
      </c>
      <c r="D642" s="13" t="s">
        <v>401</v>
      </c>
      <c r="E642" s="13"/>
      <c r="F642" s="13"/>
      <c r="G642" s="13"/>
      <c r="H642" s="31"/>
      <c r="I642" s="33" t="n">
        <v>45884.6237342593</v>
      </c>
      <c r="J642" s="33"/>
      <c r="K642" s="13" t="s">
        <v>153</v>
      </c>
      <c r="L642" s="13"/>
      <c r="M642" s="13" t="s">
        <v>2045</v>
      </c>
      <c r="N642" s="33" t="n">
        <v>46308.7264460648</v>
      </c>
    </row>
    <row r="643" customFormat="false" ht="15" hidden="false" customHeight="false" outlineLevel="0" collapsed="false">
      <c r="A643" s="13" t="s">
        <v>2046</v>
      </c>
      <c r="B643" s="13" t="s">
        <v>57</v>
      </c>
      <c r="C643" s="13" t="s">
        <v>185</v>
      </c>
      <c r="D643" s="13" t="s">
        <v>166</v>
      </c>
      <c r="E643" s="13" t="s">
        <v>981</v>
      </c>
      <c r="F643" s="13"/>
      <c r="G643" s="13"/>
      <c r="H643" s="31"/>
      <c r="I643" s="33" t="n">
        <v>45884.6236755787</v>
      </c>
      <c r="J643" s="33" t="n">
        <v>45884.6236755787</v>
      </c>
      <c r="K643" s="13" t="s">
        <v>153</v>
      </c>
      <c r="L643" s="13"/>
      <c r="M643" s="13" t="s">
        <v>2047</v>
      </c>
      <c r="N643" s="33" t="n">
        <v>46308.7264460648</v>
      </c>
    </row>
    <row r="644" customFormat="false" ht="15" hidden="false" customHeight="false" outlineLevel="0" collapsed="false">
      <c r="A644" s="13" t="s">
        <v>2048</v>
      </c>
      <c r="B644" s="13" t="s">
        <v>57</v>
      </c>
      <c r="C644" s="13" t="s">
        <v>702</v>
      </c>
      <c r="D644" s="13" t="s">
        <v>166</v>
      </c>
      <c r="E644" s="13" t="s">
        <v>696</v>
      </c>
      <c r="F644" s="13"/>
      <c r="G644" s="13"/>
      <c r="H644" s="31"/>
      <c r="I644" s="33" t="n">
        <v>45884.5987652894</v>
      </c>
      <c r="J644" s="33" t="n">
        <v>45884.5987652894</v>
      </c>
      <c r="K644" s="13" t="s">
        <v>153</v>
      </c>
      <c r="L644" s="13"/>
      <c r="M644" s="13" t="s">
        <v>2049</v>
      </c>
      <c r="N644" s="33" t="n">
        <v>46308.7264460648</v>
      </c>
    </row>
    <row r="645" customFormat="false" ht="15" hidden="false" customHeight="false" outlineLevel="0" collapsed="false">
      <c r="A645" s="13" t="s">
        <v>2050</v>
      </c>
      <c r="B645" s="13" t="s">
        <v>57</v>
      </c>
      <c r="C645" s="13" t="s">
        <v>1278</v>
      </c>
      <c r="D645" s="13" t="s">
        <v>166</v>
      </c>
      <c r="E645" s="13"/>
      <c r="F645" s="13"/>
      <c r="G645" s="13"/>
      <c r="H645" s="31"/>
      <c r="I645" s="33" t="n">
        <v>45884.5987652894</v>
      </c>
      <c r="J645" s="33" t="n">
        <v>45884.5987652894</v>
      </c>
      <c r="K645" s="13" t="s">
        <v>153</v>
      </c>
      <c r="L645" s="13"/>
      <c r="M645" s="13" t="s">
        <v>2051</v>
      </c>
      <c r="N645" s="33" t="n">
        <v>46308.7264460648</v>
      </c>
    </row>
    <row r="646" customFormat="false" ht="15" hidden="false" customHeight="false" outlineLevel="0" collapsed="false">
      <c r="A646" s="13" t="s">
        <v>2052</v>
      </c>
      <c r="B646" s="13" t="s">
        <v>57</v>
      </c>
      <c r="C646" s="13" t="s">
        <v>2053</v>
      </c>
      <c r="D646" s="13" t="s">
        <v>166</v>
      </c>
      <c r="E646" s="13" t="s">
        <v>1028</v>
      </c>
      <c r="F646" s="13"/>
      <c r="G646" s="13"/>
      <c r="H646" s="31"/>
      <c r="I646" s="33" t="n">
        <v>45884.5987652894</v>
      </c>
      <c r="J646" s="33" t="n">
        <v>45884.5987652894</v>
      </c>
      <c r="K646" s="13" t="s">
        <v>153</v>
      </c>
      <c r="L646" s="13"/>
      <c r="M646" s="13" t="s">
        <v>2054</v>
      </c>
      <c r="N646" s="33" t="n">
        <v>46308.7264460648</v>
      </c>
    </row>
    <row r="647" customFormat="false" ht="15" hidden="false" customHeight="false" outlineLevel="0" collapsed="false">
      <c r="A647" s="13" t="s">
        <v>2055</v>
      </c>
      <c r="B647" s="13" t="s">
        <v>57</v>
      </c>
      <c r="C647" s="13" t="s">
        <v>2056</v>
      </c>
      <c r="D647" s="13" t="s">
        <v>166</v>
      </c>
      <c r="E647" s="13" t="s">
        <v>1028</v>
      </c>
      <c r="F647" s="13"/>
      <c r="G647" s="13" t="s">
        <v>159</v>
      </c>
      <c r="H647" s="31"/>
      <c r="I647" s="33" t="n">
        <v>45884.5983422338</v>
      </c>
      <c r="J647" s="33" t="n">
        <v>45884.5983422338</v>
      </c>
      <c r="K647" s="13" t="s">
        <v>153</v>
      </c>
      <c r="L647" s="13"/>
      <c r="M647" s="13" t="s">
        <v>2057</v>
      </c>
      <c r="N647" s="33" t="n">
        <v>46308.7264460648</v>
      </c>
    </row>
    <row r="648" customFormat="false" ht="15" hidden="false" customHeight="false" outlineLevel="0" collapsed="false">
      <c r="A648" s="13" t="s">
        <v>2058</v>
      </c>
      <c r="B648" s="13" t="s">
        <v>57</v>
      </c>
      <c r="C648" s="13" t="s">
        <v>185</v>
      </c>
      <c r="D648" s="13" t="s">
        <v>166</v>
      </c>
      <c r="E648" s="13" t="s">
        <v>981</v>
      </c>
      <c r="F648" s="13"/>
      <c r="G648" s="13"/>
      <c r="H648" s="31"/>
      <c r="I648" s="33" t="n">
        <v>45884.5101773727</v>
      </c>
      <c r="J648" s="33" t="n">
        <v>45884.5101773727</v>
      </c>
      <c r="K648" s="13" t="s">
        <v>153</v>
      </c>
      <c r="L648" s="13"/>
      <c r="M648" s="13" t="s">
        <v>2059</v>
      </c>
      <c r="N648" s="33" t="n">
        <v>46308.7264460648</v>
      </c>
    </row>
    <row r="649" customFormat="false" ht="15" hidden="false" customHeight="false" outlineLevel="0" collapsed="false">
      <c r="A649" s="13" t="s">
        <v>2060</v>
      </c>
      <c r="B649" s="13" t="s">
        <v>57</v>
      </c>
      <c r="C649" s="13" t="s">
        <v>2061</v>
      </c>
      <c r="D649" s="13" t="s">
        <v>166</v>
      </c>
      <c r="E649" s="13" t="s">
        <v>95</v>
      </c>
      <c r="F649" s="13"/>
      <c r="G649" s="13" t="s">
        <v>207</v>
      </c>
      <c r="H649" s="31"/>
      <c r="I649" s="33" t="n">
        <v>45884.4428273727</v>
      </c>
      <c r="J649" s="33" t="n">
        <v>45884.4428273727</v>
      </c>
      <c r="K649" s="13" t="s">
        <v>153</v>
      </c>
      <c r="L649" s="13"/>
      <c r="M649" s="13" t="s">
        <v>2062</v>
      </c>
      <c r="N649" s="33" t="n">
        <v>46308.7264460648</v>
      </c>
    </row>
    <row r="650" customFormat="false" ht="15" hidden="false" customHeight="false" outlineLevel="0" collapsed="false">
      <c r="A650" s="13" t="s">
        <v>2063</v>
      </c>
      <c r="B650" s="13" t="s">
        <v>57</v>
      </c>
      <c r="C650" s="13" t="s">
        <v>1573</v>
      </c>
      <c r="D650" s="13" t="s">
        <v>166</v>
      </c>
      <c r="E650" s="13"/>
      <c r="F650" s="13"/>
      <c r="G650" s="13"/>
      <c r="H650" s="31"/>
      <c r="I650" s="33" t="n">
        <v>45884.4046284028</v>
      </c>
      <c r="J650" s="33" t="n">
        <v>45884.4046284028</v>
      </c>
      <c r="K650" s="13" t="s">
        <v>153</v>
      </c>
      <c r="L650" s="13"/>
      <c r="M650" s="13" t="s">
        <v>2064</v>
      </c>
      <c r="N650" s="33" t="n">
        <v>46308.7264460648</v>
      </c>
    </row>
    <row r="651" customFormat="false" ht="15" hidden="false" customHeight="false" outlineLevel="0" collapsed="false">
      <c r="A651" s="13" t="s">
        <v>2065</v>
      </c>
      <c r="B651" s="13" t="s">
        <v>57</v>
      </c>
      <c r="C651" s="13" t="s">
        <v>1265</v>
      </c>
      <c r="D651" s="13" t="s">
        <v>166</v>
      </c>
      <c r="E651" s="13" t="s">
        <v>853</v>
      </c>
      <c r="F651" s="13"/>
      <c r="G651" s="13"/>
      <c r="H651" s="31"/>
      <c r="I651" s="33" t="n">
        <v>45883.7318446528</v>
      </c>
      <c r="J651" s="33" t="n">
        <v>45883.7318446528</v>
      </c>
      <c r="K651" s="13" t="s">
        <v>153</v>
      </c>
      <c r="L651" s="13"/>
      <c r="M651" s="13" t="s">
        <v>2066</v>
      </c>
      <c r="N651" s="33" t="n">
        <v>46308.7264460648</v>
      </c>
    </row>
    <row r="652" customFormat="false" ht="15" hidden="false" customHeight="false" outlineLevel="0" collapsed="false">
      <c r="A652" s="13" t="s">
        <v>2067</v>
      </c>
      <c r="B652" s="13" t="s">
        <v>57</v>
      </c>
      <c r="C652" s="13" t="s">
        <v>1265</v>
      </c>
      <c r="D652" s="13" t="s">
        <v>166</v>
      </c>
      <c r="E652" s="13" t="s">
        <v>853</v>
      </c>
      <c r="F652" s="13"/>
      <c r="G652" s="13"/>
      <c r="H652" s="31"/>
      <c r="I652" s="33" t="n">
        <v>45883.7091600579</v>
      </c>
      <c r="J652" s="33" t="n">
        <v>45883.7091600579</v>
      </c>
      <c r="K652" s="13" t="s">
        <v>153</v>
      </c>
      <c r="L652" s="13"/>
      <c r="M652" s="13" t="s">
        <v>2068</v>
      </c>
      <c r="N652" s="33" t="n">
        <v>46308.7264460648</v>
      </c>
    </row>
    <row r="653" customFormat="false" ht="15" hidden="false" customHeight="false" outlineLevel="0" collapsed="false">
      <c r="A653" s="13" t="s">
        <v>2069</v>
      </c>
      <c r="B653" s="13" t="s">
        <v>57</v>
      </c>
      <c r="C653" s="13" t="s">
        <v>1278</v>
      </c>
      <c r="D653" s="13" t="s">
        <v>401</v>
      </c>
      <c r="E653" s="13"/>
      <c r="F653" s="13"/>
      <c r="G653" s="13"/>
      <c r="H653" s="31"/>
      <c r="I653" s="33" t="n">
        <v>45883.7064579398</v>
      </c>
      <c r="J653" s="33"/>
      <c r="K653" s="13" t="s">
        <v>153</v>
      </c>
      <c r="L653" s="13"/>
      <c r="M653" s="13" t="s">
        <v>2070</v>
      </c>
      <c r="N653" s="33" t="n">
        <v>46308.7264460648</v>
      </c>
    </row>
    <row r="654" customFormat="false" ht="15" hidden="false" customHeight="false" outlineLevel="0" collapsed="false">
      <c r="A654" s="13" t="s">
        <v>2071</v>
      </c>
      <c r="B654" s="13" t="s">
        <v>57</v>
      </c>
      <c r="C654" s="13" t="s">
        <v>1265</v>
      </c>
      <c r="D654" s="13" t="s">
        <v>166</v>
      </c>
      <c r="E654" s="13" t="s">
        <v>853</v>
      </c>
      <c r="F654" s="13"/>
      <c r="G654" s="13"/>
      <c r="H654" s="31"/>
      <c r="I654" s="33" t="n">
        <v>45883.6773322685</v>
      </c>
      <c r="J654" s="33" t="n">
        <v>45883.6773322685</v>
      </c>
      <c r="K654" s="13" t="s">
        <v>153</v>
      </c>
      <c r="L654" s="13"/>
      <c r="M654" s="13" t="s">
        <v>2072</v>
      </c>
      <c r="N654" s="33" t="n">
        <v>46308.7264460648</v>
      </c>
    </row>
    <row r="655" customFormat="false" ht="15" hidden="false" customHeight="false" outlineLevel="0" collapsed="false">
      <c r="A655" s="13" t="s">
        <v>2073</v>
      </c>
      <c r="B655" s="13" t="s">
        <v>57</v>
      </c>
      <c r="C655" s="13" t="s">
        <v>2074</v>
      </c>
      <c r="D655" s="13" t="s">
        <v>166</v>
      </c>
      <c r="E655" s="13"/>
      <c r="F655" s="13"/>
      <c r="G655" s="13"/>
      <c r="H655" s="31"/>
      <c r="I655" s="33" t="n">
        <v>45883.6052067593</v>
      </c>
      <c r="J655" s="33" t="n">
        <v>45883.5869711921</v>
      </c>
      <c r="K655" s="13" t="s">
        <v>153</v>
      </c>
      <c r="L655" s="13"/>
      <c r="M655" s="13" t="s">
        <v>2075</v>
      </c>
      <c r="N655" s="33" t="n">
        <v>46308.7264460648</v>
      </c>
    </row>
    <row r="656" customFormat="false" ht="15" hidden="false" customHeight="false" outlineLevel="0" collapsed="false">
      <c r="A656" s="13" t="s">
        <v>2076</v>
      </c>
      <c r="B656" s="13" t="s">
        <v>57</v>
      </c>
      <c r="C656" s="13" t="s">
        <v>2077</v>
      </c>
      <c r="D656" s="13" t="s">
        <v>166</v>
      </c>
      <c r="E656" s="13"/>
      <c r="F656" s="13"/>
      <c r="G656" s="13"/>
      <c r="H656" s="31"/>
      <c r="I656" s="33" t="n">
        <v>45883.6052067593</v>
      </c>
      <c r="J656" s="33" t="n">
        <v>45883.587372338</v>
      </c>
      <c r="K656" s="13" t="s">
        <v>153</v>
      </c>
      <c r="L656" s="13"/>
      <c r="M656" s="13" t="s">
        <v>2078</v>
      </c>
      <c r="N656" s="33" t="n">
        <v>46308.7264460648</v>
      </c>
    </row>
    <row r="657" customFormat="false" ht="15" hidden="false" customHeight="false" outlineLevel="0" collapsed="false">
      <c r="A657" s="13" t="s">
        <v>2079</v>
      </c>
      <c r="B657" s="13" t="s">
        <v>57</v>
      </c>
      <c r="C657" s="13" t="s">
        <v>2080</v>
      </c>
      <c r="D657" s="13" t="s">
        <v>166</v>
      </c>
      <c r="E657" s="13"/>
      <c r="F657" s="13"/>
      <c r="G657" s="13"/>
      <c r="H657" s="31"/>
      <c r="I657" s="33" t="n">
        <v>45883.6052067593</v>
      </c>
      <c r="J657" s="33" t="n">
        <v>45883.5873486343</v>
      </c>
      <c r="K657" s="13" t="s">
        <v>153</v>
      </c>
      <c r="L657" s="13"/>
      <c r="M657" s="13" t="s">
        <v>2081</v>
      </c>
      <c r="N657" s="33" t="n">
        <v>46308.7264460648</v>
      </c>
    </row>
    <row r="658" customFormat="false" ht="15" hidden="false" customHeight="false" outlineLevel="0" collapsed="false">
      <c r="A658" s="13" t="s">
        <v>2082</v>
      </c>
      <c r="B658" s="13" t="s">
        <v>57</v>
      </c>
      <c r="C658" s="13" t="s">
        <v>2083</v>
      </c>
      <c r="D658" s="13" t="s">
        <v>166</v>
      </c>
      <c r="E658" s="13"/>
      <c r="F658" s="13"/>
      <c r="G658" s="13"/>
      <c r="H658" s="31"/>
      <c r="I658" s="33" t="n">
        <v>45883.6052067593</v>
      </c>
      <c r="J658" s="33" t="n">
        <v>45883.6027794907</v>
      </c>
      <c r="K658" s="13" t="s">
        <v>153</v>
      </c>
      <c r="L658" s="13"/>
      <c r="M658" s="13" t="s">
        <v>2084</v>
      </c>
      <c r="N658" s="33" t="n">
        <v>46308.7264460648</v>
      </c>
    </row>
    <row r="659" customFormat="false" ht="15" hidden="false" customHeight="false" outlineLevel="0" collapsed="false">
      <c r="A659" s="13" t="s">
        <v>2085</v>
      </c>
      <c r="B659" s="13" t="s">
        <v>57</v>
      </c>
      <c r="C659" s="13" t="s">
        <v>2086</v>
      </c>
      <c r="D659" s="13" t="s">
        <v>166</v>
      </c>
      <c r="E659" s="13"/>
      <c r="F659" s="13"/>
      <c r="G659" s="13"/>
      <c r="H659" s="31"/>
      <c r="I659" s="33" t="n">
        <v>45883.6052067593</v>
      </c>
      <c r="J659" s="33" t="n">
        <v>45883.5872126968</v>
      </c>
      <c r="K659" s="13" t="s">
        <v>153</v>
      </c>
      <c r="L659" s="13"/>
      <c r="M659" s="13" t="s">
        <v>2087</v>
      </c>
      <c r="N659" s="33" t="n">
        <v>46308.7264460648</v>
      </c>
    </row>
    <row r="660" customFormat="false" ht="15" hidden="false" customHeight="false" outlineLevel="0" collapsed="false">
      <c r="A660" s="13" t="s">
        <v>2088</v>
      </c>
      <c r="B660" s="13" t="s">
        <v>57</v>
      </c>
      <c r="C660" s="13" t="s">
        <v>2089</v>
      </c>
      <c r="D660" s="13" t="s">
        <v>166</v>
      </c>
      <c r="E660" s="13"/>
      <c r="F660" s="13"/>
      <c r="G660" s="13"/>
      <c r="H660" s="31"/>
      <c r="I660" s="33" t="n">
        <v>45883.6052067593</v>
      </c>
      <c r="J660" s="33" t="n">
        <v>45883.5870767245</v>
      </c>
      <c r="K660" s="13" t="s">
        <v>153</v>
      </c>
      <c r="L660" s="13"/>
      <c r="M660" s="13" t="s">
        <v>2090</v>
      </c>
      <c r="N660" s="33" t="n">
        <v>46308.7264460648</v>
      </c>
    </row>
    <row r="661" customFormat="false" ht="15" hidden="false" customHeight="false" outlineLevel="0" collapsed="false">
      <c r="A661" s="13" t="s">
        <v>2091</v>
      </c>
      <c r="B661" s="13" t="s">
        <v>57</v>
      </c>
      <c r="C661" s="13" t="s">
        <v>2092</v>
      </c>
      <c r="D661" s="13" t="s">
        <v>166</v>
      </c>
      <c r="E661" s="13" t="s">
        <v>1044</v>
      </c>
      <c r="F661" s="13"/>
      <c r="G661" s="13"/>
      <c r="H661" s="31"/>
      <c r="I661" s="33" t="n">
        <v>45883.4878906134</v>
      </c>
      <c r="J661" s="33" t="n">
        <v>45883.4878906134</v>
      </c>
      <c r="K661" s="13" t="s">
        <v>153</v>
      </c>
      <c r="L661" s="13"/>
      <c r="M661" s="13" t="s">
        <v>2093</v>
      </c>
      <c r="N661" s="33" t="n">
        <v>46308.7264460648</v>
      </c>
    </row>
    <row r="662" customFormat="false" ht="15" hidden="false" customHeight="false" outlineLevel="0" collapsed="false">
      <c r="A662" s="13" t="s">
        <v>2094</v>
      </c>
      <c r="B662" s="13" t="s">
        <v>57</v>
      </c>
      <c r="C662" s="13" t="s">
        <v>852</v>
      </c>
      <c r="D662" s="13" t="s">
        <v>166</v>
      </c>
      <c r="E662" s="13"/>
      <c r="F662" s="13"/>
      <c r="G662" s="13"/>
      <c r="H662" s="31"/>
      <c r="I662" s="33" t="n">
        <v>45883.4765149074</v>
      </c>
      <c r="J662" s="33" t="n">
        <v>45883.4765149074</v>
      </c>
      <c r="K662" s="13" t="s">
        <v>153</v>
      </c>
      <c r="L662" s="13"/>
      <c r="M662" s="13" t="s">
        <v>2095</v>
      </c>
      <c r="N662" s="33" t="n">
        <v>46308.7264460648</v>
      </c>
    </row>
    <row r="663" customFormat="false" ht="15" hidden="false" customHeight="false" outlineLevel="0" collapsed="false">
      <c r="A663" s="13" t="s">
        <v>2096</v>
      </c>
      <c r="B663" s="13" t="s">
        <v>57</v>
      </c>
      <c r="C663" s="13" t="s">
        <v>2097</v>
      </c>
      <c r="D663" s="13" t="s">
        <v>166</v>
      </c>
      <c r="E663" s="13" t="s">
        <v>928</v>
      </c>
      <c r="F663" s="13"/>
      <c r="G663" s="13"/>
      <c r="H663" s="31"/>
      <c r="I663" s="33" t="n">
        <v>45883.4765149074</v>
      </c>
      <c r="J663" s="33" t="n">
        <v>45883.4765149074</v>
      </c>
      <c r="K663" s="13" t="s">
        <v>153</v>
      </c>
      <c r="L663" s="13"/>
      <c r="M663" s="13" t="s">
        <v>2098</v>
      </c>
      <c r="N663" s="33" t="n">
        <v>46308.7264460648</v>
      </c>
    </row>
    <row r="664" customFormat="false" ht="15" hidden="false" customHeight="false" outlineLevel="0" collapsed="false">
      <c r="A664" s="13" t="s">
        <v>2099</v>
      </c>
      <c r="B664" s="13" t="s">
        <v>57</v>
      </c>
      <c r="C664" s="13" t="s">
        <v>702</v>
      </c>
      <c r="D664" s="13" t="s">
        <v>166</v>
      </c>
      <c r="E664" s="13"/>
      <c r="F664" s="13"/>
      <c r="G664" s="13"/>
      <c r="H664" s="31"/>
      <c r="I664" s="33" t="n">
        <v>45883.4763469792</v>
      </c>
      <c r="J664" s="33" t="n">
        <v>45883.4763469792</v>
      </c>
      <c r="K664" s="13" t="s">
        <v>153</v>
      </c>
      <c r="L664" s="13"/>
      <c r="M664" s="13" t="s">
        <v>2100</v>
      </c>
      <c r="N664" s="33" t="n">
        <v>46308.7264460648</v>
      </c>
    </row>
    <row r="665" customFormat="false" ht="15" hidden="false" customHeight="false" outlineLevel="0" collapsed="false">
      <c r="A665" s="13" t="s">
        <v>2101</v>
      </c>
      <c r="B665" s="13" t="s">
        <v>57</v>
      </c>
      <c r="C665" s="13" t="s">
        <v>1278</v>
      </c>
      <c r="D665" s="13" t="s">
        <v>166</v>
      </c>
      <c r="E665" s="13"/>
      <c r="F665" s="13"/>
      <c r="G665" s="13"/>
      <c r="H665" s="31"/>
      <c r="I665" s="33" t="n">
        <v>45883.4763469792</v>
      </c>
      <c r="J665" s="33" t="n">
        <v>45883.4763469792</v>
      </c>
      <c r="K665" s="13" t="s">
        <v>153</v>
      </c>
      <c r="L665" s="13"/>
      <c r="M665" s="13" t="s">
        <v>2102</v>
      </c>
      <c r="N665" s="33" t="n">
        <v>46308.7264460648</v>
      </c>
    </row>
    <row r="666" customFormat="false" ht="15" hidden="false" customHeight="false" outlineLevel="0" collapsed="false">
      <c r="A666" s="13" t="s">
        <v>2103</v>
      </c>
      <c r="B666" s="13" t="s">
        <v>57</v>
      </c>
      <c r="C666" s="13" t="s">
        <v>2104</v>
      </c>
      <c r="D666" s="13" t="s">
        <v>166</v>
      </c>
      <c r="E666" s="13" t="s">
        <v>928</v>
      </c>
      <c r="F666" s="13"/>
      <c r="G666" s="13"/>
      <c r="H666" s="31"/>
      <c r="I666" s="33" t="n">
        <v>45883.4763469792</v>
      </c>
      <c r="J666" s="33" t="n">
        <v>45883.4763469792</v>
      </c>
      <c r="K666" s="13" t="s">
        <v>153</v>
      </c>
      <c r="L666" s="13"/>
      <c r="M666" s="13" t="s">
        <v>2105</v>
      </c>
      <c r="N666" s="33" t="n">
        <v>46308.7264460648</v>
      </c>
    </row>
    <row r="667" customFormat="false" ht="15" hidden="false" customHeight="false" outlineLevel="0" collapsed="false">
      <c r="A667" s="13" t="s">
        <v>2106</v>
      </c>
      <c r="B667" s="13" t="s">
        <v>57</v>
      </c>
      <c r="C667" s="13" t="s">
        <v>695</v>
      </c>
      <c r="D667" s="13" t="s">
        <v>166</v>
      </c>
      <c r="E667" s="13" t="s">
        <v>696</v>
      </c>
      <c r="F667" s="13"/>
      <c r="G667" s="13"/>
      <c r="H667" s="31"/>
      <c r="I667" s="33" t="n">
        <v>45883.4760042477</v>
      </c>
      <c r="J667" s="33" t="n">
        <v>45883.4760042477</v>
      </c>
      <c r="K667" s="13" t="s">
        <v>153</v>
      </c>
      <c r="L667" s="13"/>
      <c r="M667" s="13" t="s">
        <v>2107</v>
      </c>
      <c r="N667" s="33" t="n">
        <v>46308.7264460648</v>
      </c>
    </row>
    <row r="668" customFormat="false" ht="15" hidden="false" customHeight="false" outlineLevel="0" collapsed="false">
      <c r="A668" s="13" t="s">
        <v>2108</v>
      </c>
      <c r="B668" s="13" t="s">
        <v>57</v>
      </c>
      <c r="C668" s="13" t="s">
        <v>702</v>
      </c>
      <c r="D668" s="13" t="s">
        <v>166</v>
      </c>
      <c r="E668" s="13"/>
      <c r="F668" s="13"/>
      <c r="G668" s="13"/>
      <c r="H668" s="31"/>
      <c r="I668" s="33" t="n">
        <v>45883.4760042477</v>
      </c>
      <c r="J668" s="33" t="n">
        <v>45883.4760042477</v>
      </c>
      <c r="K668" s="13" t="s">
        <v>153</v>
      </c>
      <c r="L668" s="13"/>
      <c r="M668" s="13" t="s">
        <v>2109</v>
      </c>
      <c r="N668" s="33" t="n">
        <v>46308.7264460648</v>
      </c>
    </row>
    <row r="669" customFormat="false" ht="15" hidden="false" customHeight="false" outlineLevel="0" collapsed="false">
      <c r="A669" s="13" t="s">
        <v>2110</v>
      </c>
      <c r="B669" s="13" t="s">
        <v>57</v>
      </c>
      <c r="C669" s="13" t="s">
        <v>2111</v>
      </c>
      <c r="D669" s="13" t="s">
        <v>166</v>
      </c>
      <c r="E669" s="13" t="s">
        <v>928</v>
      </c>
      <c r="F669" s="13"/>
      <c r="G669" s="13"/>
      <c r="H669" s="31"/>
      <c r="I669" s="33" t="n">
        <v>45883.4760042477</v>
      </c>
      <c r="J669" s="33" t="n">
        <v>45883.4760042477</v>
      </c>
      <c r="K669" s="13" t="s">
        <v>153</v>
      </c>
      <c r="L669" s="13"/>
      <c r="M669" s="13" t="s">
        <v>2112</v>
      </c>
      <c r="N669" s="33" t="n">
        <v>46308.7264460648</v>
      </c>
    </row>
    <row r="670" customFormat="false" ht="15" hidden="false" customHeight="false" outlineLevel="0" collapsed="false">
      <c r="A670" s="13" t="s">
        <v>2113</v>
      </c>
      <c r="B670" s="13" t="s">
        <v>57</v>
      </c>
      <c r="C670" s="13" t="s">
        <v>1278</v>
      </c>
      <c r="D670" s="13" t="s">
        <v>166</v>
      </c>
      <c r="E670" s="13"/>
      <c r="F670" s="13"/>
      <c r="G670" s="13"/>
      <c r="H670" s="31"/>
      <c r="I670" s="33" t="n">
        <v>45883.4757488773</v>
      </c>
      <c r="J670" s="33" t="n">
        <v>45883.4757488773</v>
      </c>
      <c r="K670" s="13" t="s">
        <v>153</v>
      </c>
      <c r="L670" s="13"/>
      <c r="M670" s="13" t="s">
        <v>2114</v>
      </c>
      <c r="N670" s="33" t="n">
        <v>46308.7264460648</v>
      </c>
    </row>
    <row r="671" customFormat="false" ht="15" hidden="false" customHeight="false" outlineLevel="0" collapsed="false">
      <c r="A671" s="13" t="s">
        <v>2115</v>
      </c>
      <c r="B671" s="13" t="s">
        <v>57</v>
      </c>
      <c r="C671" s="13" t="s">
        <v>2116</v>
      </c>
      <c r="D671" s="13" t="s">
        <v>166</v>
      </c>
      <c r="E671" s="13" t="s">
        <v>1028</v>
      </c>
      <c r="F671" s="13"/>
      <c r="G671" s="13"/>
      <c r="H671" s="31"/>
      <c r="I671" s="33" t="n">
        <v>45882.6787203704</v>
      </c>
      <c r="J671" s="33" t="n">
        <v>45882.6787203704</v>
      </c>
      <c r="K671" s="13" t="s">
        <v>153</v>
      </c>
      <c r="L671" s="13"/>
      <c r="M671" s="13" t="s">
        <v>2117</v>
      </c>
      <c r="N671" s="33" t="n">
        <v>46308.7264460648</v>
      </c>
    </row>
    <row r="672" customFormat="false" ht="15" hidden="false" customHeight="false" outlineLevel="0" collapsed="false">
      <c r="A672" s="13" t="s">
        <v>2118</v>
      </c>
      <c r="B672" s="13" t="s">
        <v>57</v>
      </c>
      <c r="C672" s="13" t="s">
        <v>695</v>
      </c>
      <c r="D672" s="13" t="s">
        <v>166</v>
      </c>
      <c r="E672" s="13" t="s">
        <v>696</v>
      </c>
      <c r="F672" s="13"/>
      <c r="G672" s="13"/>
      <c r="H672" s="31"/>
      <c r="I672" s="33" t="n">
        <v>45882.6737911227</v>
      </c>
      <c r="J672" s="33" t="n">
        <v>45882.6737911227</v>
      </c>
      <c r="K672" s="13" t="s">
        <v>153</v>
      </c>
      <c r="L672" s="13"/>
      <c r="M672" s="13" t="s">
        <v>2119</v>
      </c>
      <c r="N672" s="33" t="n">
        <v>46308.7264460648</v>
      </c>
    </row>
    <row r="673" customFormat="false" ht="15" hidden="false" customHeight="false" outlineLevel="0" collapsed="false">
      <c r="A673" s="13" t="s">
        <v>2120</v>
      </c>
      <c r="B673" s="13" t="s">
        <v>57</v>
      </c>
      <c r="C673" s="13" t="s">
        <v>702</v>
      </c>
      <c r="D673" s="13" t="s">
        <v>166</v>
      </c>
      <c r="E673" s="13"/>
      <c r="F673" s="13"/>
      <c r="G673" s="13"/>
      <c r="H673" s="31"/>
      <c r="I673" s="33" t="n">
        <v>45882.6737911227</v>
      </c>
      <c r="J673" s="33" t="n">
        <v>45882.6737911227</v>
      </c>
      <c r="K673" s="13" t="s">
        <v>153</v>
      </c>
      <c r="L673" s="13"/>
      <c r="M673" s="13" t="s">
        <v>2121</v>
      </c>
      <c r="N673" s="33" t="n">
        <v>46308.7264460648</v>
      </c>
    </row>
    <row r="674" customFormat="false" ht="15" hidden="false" customHeight="false" outlineLevel="0" collapsed="false">
      <c r="A674" s="13" t="s">
        <v>2122</v>
      </c>
      <c r="B674" s="13" t="s">
        <v>57</v>
      </c>
      <c r="C674" s="13" t="s">
        <v>2123</v>
      </c>
      <c r="D674" s="13" t="s">
        <v>166</v>
      </c>
      <c r="E674" s="13" t="s">
        <v>1044</v>
      </c>
      <c r="F674" s="13"/>
      <c r="G674" s="13"/>
      <c r="H674" s="31"/>
      <c r="I674" s="33" t="n">
        <v>45882.6737911227</v>
      </c>
      <c r="J674" s="33" t="n">
        <v>45882.6737911227</v>
      </c>
      <c r="K674" s="13" t="s">
        <v>153</v>
      </c>
      <c r="L674" s="13"/>
      <c r="M674" s="13" t="s">
        <v>2124</v>
      </c>
      <c r="N674" s="33" t="n">
        <v>46308.7264460648</v>
      </c>
    </row>
    <row r="675" customFormat="false" ht="15" hidden="false" customHeight="false" outlineLevel="0" collapsed="false">
      <c r="A675" s="13" t="s">
        <v>2125</v>
      </c>
      <c r="B675" s="13" t="s">
        <v>57</v>
      </c>
      <c r="C675" s="13" t="s">
        <v>258</v>
      </c>
      <c r="D675" s="13" t="s">
        <v>166</v>
      </c>
      <c r="E675" s="13" t="s">
        <v>259</v>
      </c>
      <c r="F675" s="13"/>
      <c r="G675" s="13"/>
      <c r="H675" s="31"/>
      <c r="I675" s="33" t="n">
        <v>45880.6216427662</v>
      </c>
      <c r="J675" s="33" t="n">
        <v>45880.6216427662</v>
      </c>
      <c r="K675" s="13" t="s">
        <v>153</v>
      </c>
      <c r="L675" s="13"/>
      <c r="M675" s="13" t="s">
        <v>2126</v>
      </c>
      <c r="N675" s="33" t="n">
        <v>46308.7264460648</v>
      </c>
    </row>
    <row r="676" customFormat="false" ht="15" hidden="false" customHeight="false" outlineLevel="0" collapsed="false">
      <c r="A676" s="13" t="s">
        <v>2127</v>
      </c>
      <c r="B676" s="13" t="s">
        <v>57</v>
      </c>
      <c r="C676" s="13" t="s">
        <v>185</v>
      </c>
      <c r="D676" s="13" t="s">
        <v>166</v>
      </c>
      <c r="E676" s="13" t="s">
        <v>981</v>
      </c>
      <c r="F676" s="13"/>
      <c r="G676" s="13"/>
      <c r="H676" s="31"/>
      <c r="I676" s="33" t="n">
        <v>45880.6058141435</v>
      </c>
      <c r="J676" s="33" t="n">
        <v>45880.6058141435</v>
      </c>
      <c r="K676" s="13" t="s">
        <v>153</v>
      </c>
      <c r="L676" s="13"/>
      <c r="M676" s="13" t="s">
        <v>2128</v>
      </c>
      <c r="N676" s="33" t="n">
        <v>46308.7264460648</v>
      </c>
    </row>
    <row r="677" customFormat="false" ht="15" hidden="false" customHeight="false" outlineLevel="0" collapsed="false">
      <c r="A677" s="13" t="s">
        <v>2129</v>
      </c>
      <c r="B677" s="13" t="s">
        <v>57</v>
      </c>
      <c r="C677" s="13" t="s">
        <v>185</v>
      </c>
      <c r="D677" s="13" t="s">
        <v>166</v>
      </c>
      <c r="E677" s="13" t="s">
        <v>981</v>
      </c>
      <c r="F677" s="13"/>
      <c r="G677" s="13"/>
      <c r="H677" s="31"/>
      <c r="I677" s="33" t="n">
        <v>45880.595673912</v>
      </c>
      <c r="J677" s="33" t="n">
        <v>45880.595673912</v>
      </c>
      <c r="K677" s="13" t="s">
        <v>153</v>
      </c>
      <c r="L677" s="13"/>
      <c r="M677" s="13" t="s">
        <v>2130</v>
      </c>
      <c r="N677" s="33" t="n">
        <v>46308.7264460648</v>
      </c>
    </row>
    <row r="678" customFormat="false" ht="15" hidden="false" customHeight="false" outlineLevel="0" collapsed="false">
      <c r="A678" s="13" t="s">
        <v>2131</v>
      </c>
      <c r="B678" s="13" t="s">
        <v>57</v>
      </c>
      <c r="C678" s="13" t="s">
        <v>185</v>
      </c>
      <c r="D678" s="13" t="s">
        <v>166</v>
      </c>
      <c r="E678" s="13" t="s">
        <v>981</v>
      </c>
      <c r="F678" s="13"/>
      <c r="G678" s="13"/>
      <c r="H678" s="31"/>
      <c r="I678" s="33" t="n">
        <v>45880.5953940857</v>
      </c>
      <c r="J678" s="33" t="n">
        <v>45880.5953940857</v>
      </c>
      <c r="K678" s="13" t="s">
        <v>153</v>
      </c>
      <c r="L678" s="13"/>
      <c r="M678" s="13" t="s">
        <v>2132</v>
      </c>
      <c r="N678" s="33" t="n">
        <v>46308.7264460648</v>
      </c>
    </row>
    <row r="679" customFormat="false" ht="15" hidden="false" customHeight="false" outlineLevel="0" collapsed="false">
      <c r="A679" s="13" t="s">
        <v>2133</v>
      </c>
      <c r="B679" s="13" t="s">
        <v>57</v>
      </c>
      <c r="C679" s="13" t="s">
        <v>185</v>
      </c>
      <c r="D679" s="13" t="s">
        <v>166</v>
      </c>
      <c r="E679" s="13" t="s">
        <v>981</v>
      </c>
      <c r="F679" s="13"/>
      <c r="G679" s="13"/>
      <c r="H679" s="31"/>
      <c r="I679" s="33" t="n">
        <v>45880.5796097222</v>
      </c>
      <c r="J679" s="33" t="n">
        <v>45880.5796097222</v>
      </c>
      <c r="K679" s="13" t="s">
        <v>153</v>
      </c>
      <c r="L679" s="13"/>
      <c r="M679" s="13" t="s">
        <v>2134</v>
      </c>
      <c r="N679" s="33" t="n">
        <v>46308.7264460648</v>
      </c>
    </row>
    <row r="680" customFormat="false" ht="15" hidden="false" customHeight="false" outlineLevel="0" collapsed="false">
      <c r="A680" s="13" t="s">
        <v>2135</v>
      </c>
      <c r="B680" s="13" t="s">
        <v>57</v>
      </c>
      <c r="C680" s="13" t="s">
        <v>695</v>
      </c>
      <c r="D680" s="13" t="s">
        <v>166</v>
      </c>
      <c r="E680" s="13" t="s">
        <v>696</v>
      </c>
      <c r="F680" s="13"/>
      <c r="G680" s="13"/>
      <c r="H680" s="31"/>
      <c r="I680" s="33" t="n">
        <v>45880.5782834491</v>
      </c>
      <c r="J680" s="33" t="n">
        <v>45880.5782834491</v>
      </c>
      <c r="K680" s="13" t="s">
        <v>153</v>
      </c>
      <c r="L680" s="13"/>
      <c r="M680" s="13" t="s">
        <v>2136</v>
      </c>
      <c r="N680" s="33" t="n">
        <v>46308.7264460648</v>
      </c>
    </row>
    <row r="681" customFormat="false" ht="15" hidden="false" customHeight="false" outlineLevel="0" collapsed="false">
      <c r="A681" s="13" t="s">
        <v>2137</v>
      </c>
      <c r="B681" s="13" t="s">
        <v>57</v>
      </c>
      <c r="C681" s="13" t="s">
        <v>695</v>
      </c>
      <c r="D681" s="13" t="s">
        <v>166</v>
      </c>
      <c r="E681" s="13" t="s">
        <v>696</v>
      </c>
      <c r="F681" s="13"/>
      <c r="G681" s="13"/>
      <c r="H681" s="31"/>
      <c r="I681" s="33" t="n">
        <v>45880.5778301852</v>
      </c>
      <c r="J681" s="33" t="n">
        <v>45880.5778301852</v>
      </c>
      <c r="K681" s="13" t="s">
        <v>153</v>
      </c>
      <c r="L681" s="13"/>
      <c r="M681" s="13" t="s">
        <v>2138</v>
      </c>
      <c r="N681" s="33" t="n">
        <v>46308.7264460648</v>
      </c>
    </row>
    <row r="682" customFormat="false" ht="15" hidden="false" customHeight="false" outlineLevel="0" collapsed="false">
      <c r="A682" s="13" t="s">
        <v>2139</v>
      </c>
      <c r="B682" s="13" t="s">
        <v>57</v>
      </c>
      <c r="C682" s="13" t="s">
        <v>258</v>
      </c>
      <c r="D682" s="13" t="s">
        <v>166</v>
      </c>
      <c r="E682" s="13" t="s">
        <v>699</v>
      </c>
      <c r="F682" s="13"/>
      <c r="G682" s="13"/>
      <c r="H682" s="31"/>
      <c r="I682" s="33" t="n">
        <v>45880.4831555556</v>
      </c>
      <c r="J682" s="33" t="n">
        <v>45880.4831555556</v>
      </c>
      <c r="K682" s="13" t="s">
        <v>153</v>
      </c>
      <c r="L682" s="13"/>
      <c r="M682" s="13" t="s">
        <v>2140</v>
      </c>
      <c r="N682" s="33" t="n">
        <v>46308.7264460648</v>
      </c>
    </row>
    <row r="683" customFormat="false" ht="15" hidden="false" customHeight="false" outlineLevel="0" collapsed="false">
      <c r="A683" s="13" t="s">
        <v>2141</v>
      </c>
      <c r="B683" s="13" t="s">
        <v>57</v>
      </c>
      <c r="C683" s="13" t="s">
        <v>258</v>
      </c>
      <c r="D683" s="13" t="s">
        <v>166</v>
      </c>
      <c r="E683" s="13" t="s">
        <v>699</v>
      </c>
      <c r="F683" s="13"/>
      <c r="G683" s="13"/>
      <c r="H683" s="31"/>
      <c r="I683" s="33" t="n">
        <v>45880.425101088</v>
      </c>
      <c r="J683" s="33" t="n">
        <v>45880.425101088</v>
      </c>
      <c r="K683" s="13" t="s">
        <v>153</v>
      </c>
      <c r="L683" s="13"/>
      <c r="M683" s="13" t="s">
        <v>2142</v>
      </c>
      <c r="N683" s="33" t="n">
        <v>46308.7264460648</v>
      </c>
    </row>
    <row r="684" customFormat="false" ht="15" hidden="false" customHeight="false" outlineLevel="0" collapsed="false">
      <c r="A684" s="13" t="s">
        <v>2143</v>
      </c>
      <c r="B684" s="13" t="s">
        <v>57</v>
      </c>
      <c r="C684" s="13" t="s">
        <v>852</v>
      </c>
      <c r="D684" s="13" t="s">
        <v>166</v>
      </c>
      <c r="E684" s="13"/>
      <c r="F684" s="13"/>
      <c r="G684" s="13"/>
      <c r="H684" s="31"/>
      <c r="I684" s="33" t="n">
        <v>45877.6744591551</v>
      </c>
      <c r="J684" s="33" t="n">
        <v>45877.6744591551</v>
      </c>
      <c r="K684" s="13" t="s">
        <v>153</v>
      </c>
      <c r="L684" s="13"/>
      <c r="M684" s="13" t="s">
        <v>2144</v>
      </c>
      <c r="N684" s="33" t="n">
        <v>46308.7264460648</v>
      </c>
    </row>
    <row r="685" customFormat="false" ht="15" hidden="false" customHeight="false" outlineLevel="0" collapsed="false">
      <c r="A685" s="13" t="s">
        <v>2145</v>
      </c>
      <c r="B685" s="13" t="s">
        <v>57</v>
      </c>
      <c r="C685" s="13" t="s">
        <v>185</v>
      </c>
      <c r="D685" s="13" t="s">
        <v>166</v>
      </c>
      <c r="E685" s="13" t="s">
        <v>981</v>
      </c>
      <c r="F685" s="13"/>
      <c r="G685" s="13"/>
      <c r="H685" s="31"/>
      <c r="I685" s="33" t="n">
        <v>45877.6743058565</v>
      </c>
      <c r="J685" s="33" t="n">
        <v>45877.6743058565</v>
      </c>
      <c r="K685" s="13" t="s">
        <v>153</v>
      </c>
      <c r="L685" s="13"/>
      <c r="M685" s="13" t="s">
        <v>2146</v>
      </c>
      <c r="N685" s="33" t="n">
        <v>46308.7264460648</v>
      </c>
    </row>
    <row r="686" customFormat="false" ht="15" hidden="false" customHeight="false" outlineLevel="0" collapsed="false">
      <c r="A686" s="13" t="s">
        <v>2147</v>
      </c>
      <c r="B686" s="13" t="s">
        <v>57</v>
      </c>
      <c r="C686" s="13" t="s">
        <v>1265</v>
      </c>
      <c r="D686" s="13" t="s">
        <v>166</v>
      </c>
      <c r="E686" s="13" t="s">
        <v>853</v>
      </c>
      <c r="F686" s="13"/>
      <c r="G686" s="13"/>
      <c r="H686" s="31"/>
      <c r="I686" s="33" t="n">
        <v>45877.6741599421</v>
      </c>
      <c r="J686" s="33" t="n">
        <v>45877.6741599421</v>
      </c>
      <c r="K686" s="13" t="s">
        <v>153</v>
      </c>
      <c r="L686" s="13"/>
      <c r="M686" s="13" t="s">
        <v>2148</v>
      </c>
      <c r="N686" s="33" t="n">
        <v>46308.7264460648</v>
      </c>
    </row>
    <row r="687" customFormat="false" ht="15" hidden="false" customHeight="false" outlineLevel="0" collapsed="false">
      <c r="A687" s="13" t="s">
        <v>2149</v>
      </c>
      <c r="B687" s="13" t="s">
        <v>57</v>
      </c>
      <c r="C687" s="13" t="s">
        <v>185</v>
      </c>
      <c r="D687" s="13" t="s">
        <v>166</v>
      </c>
      <c r="E687" s="13" t="s">
        <v>981</v>
      </c>
      <c r="F687" s="13"/>
      <c r="G687" s="13"/>
      <c r="H687" s="31"/>
      <c r="I687" s="33" t="n">
        <v>45877.6300081597</v>
      </c>
      <c r="J687" s="33" t="n">
        <v>45877.6300081597</v>
      </c>
      <c r="K687" s="13" t="s">
        <v>153</v>
      </c>
      <c r="L687" s="13"/>
      <c r="M687" s="13" t="s">
        <v>2150</v>
      </c>
      <c r="N687" s="33" t="n">
        <v>46308.7264460648</v>
      </c>
    </row>
    <row r="688" customFormat="false" ht="15" hidden="false" customHeight="false" outlineLevel="0" collapsed="false">
      <c r="A688" s="13" t="s">
        <v>2151</v>
      </c>
      <c r="B688" s="13" t="s">
        <v>57</v>
      </c>
      <c r="C688" s="13" t="s">
        <v>1265</v>
      </c>
      <c r="D688" s="13" t="s">
        <v>166</v>
      </c>
      <c r="E688" s="13" t="s">
        <v>853</v>
      </c>
      <c r="F688" s="13"/>
      <c r="G688" s="13"/>
      <c r="H688" s="31"/>
      <c r="I688" s="33" t="n">
        <v>45877.6219348495</v>
      </c>
      <c r="J688" s="33" t="n">
        <v>45877.6219348495</v>
      </c>
      <c r="K688" s="13" t="s">
        <v>153</v>
      </c>
      <c r="L688" s="13"/>
      <c r="M688" s="13" t="s">
        <v>2152</v>
      </c>
      <c r="N688" s="33" t="n">
        <v>46308.7264460648</v>
      </c>
    </row>
    <row r="689" customFormat="false" ht="15" hidden="false" customHeight="false" outlineLevel="0" collapsed="false">
      <c r="A689" s="13" t="s">
        <v>2153</v>
      </c>
      <c r="B689" s="13" t="s">
        <v>57</v>
      </c>
      <c r="C689" s="13" t="s">
        <v>1278</v>
      </c>
      <c r="D689" s="13" t="s">
        <v>166</v>
      </c>
      <c r="E689" s="13"/>
      <c r="F689" s="13"/>
      <c r="G689" s="13"/>
      <c r="H689" s="31"/>
      <c r="I689" s="33" t="n">
        <v>45877.6219348495</v>
      </c>
      <c r="J689" s="33" t="n">
        <v>45877.6219348495</v>
      </c>
      <c r="K689" s="13" t="s">
        <v>153</v>
      </c>
      <c r="L689" s="13"/>
      <c r="M689" s="13" t="s">
        <v>2154</v>
      </c>
      <c r="N689" s="33" t="n">
        <v>46308.7264460648</v>
      </c>
    </row>
    <row r="690" customFormat="false" ht="15" hidden="false" customHeight="false" outlineLevel="0" collapsed="false">
      <c r="A690" s="13" t="s">
        <v>2155</v>
      </c>
      <c r="B690" s="13" t="s">
        <v>57</v>
      </c>
      <c r="C690" s="13" t="s">
        <v>258</v>
      </c>
      <c r="D690" s="13" t="s">
        <v>166</v>
      </c>
      <c r="E690" s="13" t="s">
        <v>699</v>
      </c>
      <c r="F690" s="13"/>
      <c r="G690" s="13"/>
      <c r="H690" s="31"/>
      <c r="I690" s="33" t="n">
        <v>45877.6211342593</v>
      </c>
      <c r="J690" s="33" t="n">
        <v>45877.6211342593</v>
      </c>
      <c r="K690" s="13" t="s">
        <v>153</v>
      </c>
      <c r="L690" s="13"/>
      <c r="M690" s="13" t="s">
        <v>2156</v>
      </c>
      <c r="N690" s="33" t="n">
        <v>46308.7264460648</v>
      </c>
    </row>
    <row r="691" customFormat="false" ht="15" hidden="false" customHeight="false" outlineLevel="0" collapsed="false">
      <c r="A691" s="13" t="s">
        <v>2157</v>
      </c>
      <c r="B691" s="13" t="s">
        <v>57</v>
      </c>
      <c r="C691" s="13" t="s">
        <v>702</v>
      </c>
      <c r="D691" s="13" t="s">
        <v>166</v>
      </c>
      <c r="E691" s="13"/>
      <c r="F691" s="13"/>
      <c r="G691" s="13"/>
      <c r="H691" s="31"/>
      <c r="I691" s="33" t="n">
        <v>45877.6211342593</v>
      </c>
      <c r="J691" s="33" t="n">
        <v>45877.6211342593</v>
      </c>
      <c r="K691" s="13" t="s">
        <v>153</v>
      </c>
      <c r="L691" s="13"/>
      <c r="M691" s="13" t="s">
        <v>2158</v>
      </c>
      <c r="N691" s="33" t="n">
        <v>46308.7264460648</v>
      </c>
    </row>
    <row r="692" customFormat="false" ht="15" hidden="false" customHeight="false" outlineLevel="0" collapsed="false">
      <c r="A692" s="13" t="s">
        <v>2159</v>
      </c>
      <c r="B692" s="13" t="s">
        <v>57</v>
      </c>
      <c r="C692" s="13" t="s">
        <v>1620</v>
      </c>
      <c r="D692" s="13" t="s">
        <v>166</v>
      </c>
      <c r="E692" s="13" t="s">
        <v>95</v>
      </c>
      <c r="F692" s="13"/>
      <c r="G692" s="13"/>
      <c r="H692" s="31"/>
      <c r="I692" s="33" t="n">
        <v>45877.6211342593</v>
      </c>
      <c r="J692" s="33" t="n">
        <v>45877.6211342593</v>
      </c>
      <c r="K692" s="13" t="s">
        <v>153</v>
      </c>
      <c r="L692" s="13"/>
      <c r="M692" s="13" t="s">
        <v>2160</v>
      </c>
      <c r="N692" s="33" t="n">
        <v>46308.7264460648</v>
      </c>
    </row>
    <row r="693" customFormat="false" ht="15" hidden="false" customHeight="false" outlineLevel="0" collapsed="false">
      <c r="A693" s="13" t="s">
        <v>2161</v>
      </c>
      <c r="B693" s="13" t="s">
        <v>57</v>
      </c>
      <c r="C693" s="13" t="s">
        <v>1278</v>
      </c>
      <c r="D693" s="13" t="s">
        <v>166</v>
      </c>
      <c r="E693" s="13"/>
      <c r="F693" s="13"/>
      <c r="G693" s="13"/>
      <c r="H693" s="31"/>
      <c r="I693" s="33" t="n">
        <v>45877.6211342593</v>
      </c>
      <c r="J693" s="33" t="n">
        <v>45877.6211342593</v>
      </c>
      <c r="K693" s="13" t="s">
        <v>153</v>
      </c>
      <c r="L693" s="13"/>
      <c r="M693" s="13" t="s">
        <v>2162</v>
      </c>
      <c r="N693" s="33" t="n">
        <v>46308.7264460648</v>
      </c>
    </row>
    <row r="694" customFormat="false" ht="15" hidden="false" customHeight="false" outlineLevel="0" collapsed="false">
      <c r="A694" s="13" t="s">
        <v>2163</v>
      </c>
      <c r="B694" s="13" t="s">
        <v>57</v>
      </c>
      <c r="C694" s="13" t="s">
        <v>2164</v>
      </c>
      <c r="D694" s="13" t="s">
        <v>166</v>
      </c>
      <c r="E694" s="13" t="s">
        <v>95</v>
      </c>
      <c r="F694" s="13"/>
      <c r="G694" s="13" t="s">
        <v>207</v>
      </c>
      <c r="H694" s="31"/>
      <c r="I694" s="33" t="n">
        <v>45877.6211342593</v>
      </c>
      <c r="J694" s="33" t="n">
        <v>45877.6211342593</v>
      </c>
      <c r="K694" s="13" t="s">
        <v>153</v>
      </c>
      <c r="L694" s="13"/>
      <c r="M694" s="13" t="s">
        <v>2165</v>
      </c>
      <c r="N694" s="33" t="n">
        <v>46308.7264460648</v>
      </c>
    </row>
    <row r="695" customFormat="false" ht="15" hidden="false" customHeight="false" outlineLevel="0" collapsed="false">
      <c r="A695" s="13" t="s">
        <v>2166</v>
      </c>
      <c r="B695" s="13" t="s">
        <v>57</v>
      </c>
      <c r="C695" s="13" t="s">
        <v>695</v>
      </c>
      <c r="D695" s="13" t="s">
        <v>166</v>
      </c>
      <c r="E695" s="13" t="s">
        <v>696</v>
      </c>
      <c r="F695" s="13"/>
      <c r="G695" s="13"/>
      <c r="H695" s="31"/>
      <c r="I695" s="33" t="n">
        <v>45877.6134816782</v>
      </c>
      <c r="J695" s="33" t="n">
        <v>45877.6134816782</v>
      </c>
      <c r="K695" s="13" t="s">
        <v>153</v>
      </c>
      <c r="L695" s="13"/>
      <c r="M695" s="13" t="s">
        <v>2167</v>
      </c>
      <c r="N695" s="33" t="n">
        <v>46308.7264460648</v>
      </c>
    </row>
    <row r="696" customFormat="false" ht="15" hidden="false" customHeight="false" outlineLevel="0" collapsed="false">
      <c r="A696" s="13" t="s">
        <v>2168</v>
      </c>
      <c r="B696" s="13" t="s">
        <v>57</v>
      </c>
      <c r="C696" s="13" t="s">
        <v>695</v>
      </c>
      <c r="D696" s="13" t="s">
        <v>166</v>
      </c>
      <c r="E696" s="13"/>
      <c r="F696" s="13"/>
      <c r="G696" s="13"/>
      <c r="H696" s="31"/>
      <c r="I696" s="33" t="n">
        <v>45877.6133429051</v>
      </c>
      <c r="J696" s="33" t="n">
        <v>45877.6133429051</v>
      </c>
      <c r="K696" s="13" t="s">
        <v>153</v>
      </c>
      <c r="L696" s="13"/>
      <c r="M696" s="13" t="s">
        <v>2169</v>
      </c>
      <c r="N696" s="33" t="n">
        <v>46308.7264460648</v>
      </c>
    </row>
    <row r="697" customFormat="false" ht="15" hidden="false" customHeight="false" outlineLevel="0" collapsed="false">
      <c r="A697" s="13" t="s">
        <v>2170</v>
      </c>
      <c r="B697" s="13" t="s">
        <v>57</v>
      </c>
      <c r="C697" s="13" t="s">
        <v>695</v>
      </c>
      <c r="D697" s="13" t="s">
        <v>166</v>
      </c>
      <c r="E697" s="13"/>
      <c r="F697" s="13"/>
      <c r="G697" s="13"/>
      <c r="H697" s="31"/>
      <c r="I697" s="33" t="n">
        <v>45877.6130759722</v>
      </c>
      <c r="J697" s="33" t="n">
        <v>45877.6130759722</v>
      </c>
      <c r="K697" s="13" t="s">
        <v>153</v>
      </c>
      <c r="L697" s="13"/>
      <c r="M697" s="13" t="s">
        <v>2171</v>
      </c>
      <c r="N697" s="33" t="n">
        <v>46308.7264460648</v>
      </c>
    </row>
    <row r="698" customFormat="false" ht="15" hidden="false" customHeight="false" outlineLevel="0" collapsed="false">
      <c r="A698" s="13" t="s">
        <v>2172</v>
      </c>
      <c r="B698" s="13" t="s">
        <v>57</v>
      </c>
      <c r="C698" s="13" t="s">
        <v>258</v>
      </c>
      <c r="D698" s="13" t="s">
        <v>166</v>
      </c>
      <c r="E698" s="13"/>
      <c r="F698" s="13"/>
      <c r="G698" s="13"/>
      <c r="H698" s="31"/>
      <c r="I698" s="33" t="n">
        <v>45877.6130759722</v>
      </c>
      <c r="J698" s="33" t="n">
        <v>45877.6130759722</v>
      </c>
      <c r="K698" s="13" t="s">
        <v>153</v>
      </c>
      <c r="L698" s="13"/>
      <c r="M698" s="13" t="s">
        <v>2173</v>
      </c>
      <c r="N698" s="33" t="n">
        <v>46308.7264460648</v>
      </c>
    </row>
    <row r="699" customFormat="false" ht="15" hidden="false" customHeight="false" outlineLevel="0" collapsed="false">
      <c r="A699" s="13" t="s">
        <v>2174</v>
      </c>
      <c r="B699" s="13" t="s">
        <v>57</v>
      </c>
      <c r="C699" s="13" t="s">
        <v>702</v>
      </c>
      <c r="D699" s="13" t="s">
        <v>166</v>
      </c>
      <c r="E699" s="13" t="s">
        <v>2175</v>
      </c>
      <c r="F699" s="13"/>
      <c r="G699" s="13"/>
      <c r="H699" s="31"/>
      <c r="I699" s="33" t="n">
        <v>45877.6130759722</v>
      </c>
      <c r="J699" s="33" t="n">
        <v>45877.6130759722</v>
      </c>
      <c r="K699" s="13" t="s">
        <v>153</v>
      </c>
      <c r="L699" s="13"/>
      <c r="M699" s="13" t="s">
        <v>2176</v>
      </c>
      <c r="N699" s="33" t="n">
        <v>46308.7264460648</v>
      </c>
    </row>
    <row r="700" customFormat="false" ht="15" hidden="false" customHeight="false" outlineLevel="0" collapsed="false">
      <c r="A700" s="13" t="s">
        <v>2177</v>
      </c>
      <c r="B700" s="13" t="s">
        <v>57</v>
      </c>
      <c r="C700" s="13" t="s">
        <v>185</v>
      </c>
      <c r="D700" s="13" t="s">
        <v>166</v>
      </c>
      <c r="E700" s="13" t="s">
        <v>981</v>
      </c>
      <c r="F700" s="13"/>
      <c r="G700" s="13"/>
      <c r="H700" s="31"/>
      <c r="I700" s="33" t="n">
        <v>45877.574768588</v>
      </c>
      <c r="J700" s="33" t="n">
        <v>45877.574768588</v>
      </c>
      <c r="K700" s="13" t="s">
        <v>153</v>
      </c>
      <c r="L700" s="13"/>
      <c r="M700" s="13" t="s">
        <v>2178</v>
      </c>
      <c r="N700" s="33" t="n">
        <v>46308.7264460648</v>
      </c>
    </row>
    <row r="701" customFormat="false" ht="15" hidden="false" customHeight="false" outlineLevel="0" collapsed="false">
      <c r="A701" s="13" t="s">
        <v>2179</v>
      </c>
      <c r="B701" s="13" t="s">
        <v>57</v>
      </c>
      <c r="C701" s="13" t="s">
        <v>702</v>
      </c>
      <c r="D701" s="13" t="s">
        <v>166</v>
      </c>
      <c r="E701" s="13"/>
      <c r="F701" s="13"/>
      <c r="G701" s="13"/>
      <c r="H701" s="31"/>
      <c r="I701" s="33" t="n">
        <v>45876.4355893519</v>
      </c>
      <c r="J701" s="33" t="n">
        <v>45876.4355893519</v>
      </c>
      <c r="K701" s="13" t="s">
        <v>153</v>
      </c>
      <c r="L701" s="13"/>
      <c r="M701" s="13" t="s">
        <v>2180</v>
      </c>
      <c r="N701" s="33" t="n">
        <v>46308.7264460648</v>
      </c>
    </row>
    <row r="702" customFormat="false" ht="15" hidden="false" customHeight="false" outlineLevel="0" collapsed="false">
      <c r="A702" s="13" t="s">
        <v>2181</v>
      </c>
      <c r="B702" s="13" t="s">
        <v>57</v>
      </c>
      <c r="C702" s="13" t="s">
        <v>1278</v>
      </c>
      <c r="D702" s="13" t="s">
        <v>166</v>
      </c>
      <c r="E702" s="13"/>
      <c r="F702" s="13"/>
      <c r="G702" s="13"/>
      <c r="H702" s="31"/>
      <c r="I702" s="33" t="n">
        <v>45876.4355893519</v>
      </c>
      <c r="J702" s="33" t="n">
        <v>45876.4355893519</v>
      </c>
      <c r="K702" s="13" t="s">
        <v>153</v>
      </c>
      <c r="L702" s="13"/>
      <c r="M702" s="13" t="s">
        <v>2182</v>
      </c>
      <c r="N702" s="33" t="n">
        <v>46308.7264460648</v>
      </c>
    </row>
    <row r="703" customFormat="false" ht="15" hidden="false" customHeight="false" outlineLevel="0" collapsed="false">
      <c r="A703" s="13" t="s">
        <v>2183</v>
      </c>
      <c r="B703" s="13" t="s">
        <v>57</v>
      </c>
      <c r="C703" s="13" t="s">
        <v>2184</v>
      </c>
      <c r="D703" s="13" t="s">
        <v>166</v>
      </c>
      <c r="E703" s="13"/>
      <c r="F703" s="13"/>
      <c r="G703" s="13"/>
      <c r="H703" s="31"/>
      <c r="I703" s="33" t="n">
        <v>45876.4355893519</v>
      </c>
      <c r="J703" s="33" t="n">
        <v>45876.4355893519</v>
      </c>
      <c r="K703" s="13" t="s">
        <v>153</v>
      </c>
      <c r="L703" s="13"/>
      <c r="M703" s="13" t="s">
        <v>2185</v>
      </c>
      <c r="N703" s="33" t="n">
        <v>46308.7264460648</v>
      </c>
    </row>
    <row r="704" customFormat="false" ht="15" hidden="false" customHeight="false" outlineLevel="0" collapsed="false">
      <c r="A704" s="13" t="s">
        <v>2186</v>
      </c>
      <c r="B704" s="13" t="s">
        <v>57</v>
      </c>
      <c r="C704" s="13" t="s">
        <v>1265</v>
      </c>
      <c r="D704" s="13" t="s">
        <v>166</v>
      </c>
      <c r="E704" s="13" t="s">
        <v>853</v>
      </c>
      <c r="F704" s="13"/>
      <c r="G704" s="13"/>
      <c r="H704" s="31"/>
      <c r="I704" s="33" t="n">
        <v>45876.4259371181</v>
      </c>
      <c r="J704" s="33" t="n">
        <v>45876.4259371181</v>
      </c>
      <c r="K704" s="13" t="s">
        <v>153</v>
      </c>
      <c r="L704" s="13"/>
      <c r="M704" s="13" t="s">
        <v>2187</v>
      </c>
      <c r="N704" s="33" t="n">
        <v>46308.7264460648</v>
      </c>
    </row>
    <row r="705" customFormat="false" ht="15" hidden="false" customHeight="false" outlineLevel="0" collapsed="false">
      <c r="A705" s="13" t="s">
        <v>2188</v>
      </c>
      <c r="B705" s="13" t="s">
        <v>57</v>
      </c>
      <c r="C705" s="13" t="s">
        <v>2189</v>
      </c>
      <c r="D705" s="13" t="s">
        <v>166</v>
      </c>
      <c r="E705" s="13" t="s">
        <v>259</v>
      </c>
      <c r="F705" s="13"/>
      <c r="G705" s="13"/>
      <c r="H705" s="31"/>
      <c r="I705" s="33" t="n">
        <v>45876.4033603009</v>
      </c>
      <c r="J705" s="33" t="n">
        <v>45867.5984081482</v>
      </c>
      <c r="K705" s="13" t="s">
        <v>153</v>
      </c>
      <c r="L705" s="13"/>
      <c r="M705" s="13" t="s">
        <v>2190</v>
      </c>
      <c r="N705" s="33" t="n">
        <v>46308.7264460648</v>
      </c>
    </row>
    <row r="706" customFormat="false" ht="15" hidden="false" customHeight="false" outlineLevel="0" collapsed="false">
      <c r="A706" s="13" t="s">
        <v>2191</v>
      </c>
      <c r="B706" s="13" t="s">
        <v>57</v>
      </c>
      <c r="C706" s="13" t="s">
        <v>1265</v>
      </c>
      <c r="D706" s="13" t="s">
        <v>166</v>
      </c>
      <c r="E706" s="13" t="s">
        <v>853</v>
      </c>
      <c r="F706" s="13"/>
      <c r="G706" s="13"/>
      <c r="H706" s="31"/>
      <c r="I706" s="33" t="n">
        <v>45876.371946169</v>
      </c>
      <c r="J706" s="33" t="n">
        <v>45876.371859537</v>
      </c>
      <c r="K706" s="13" t="s">
        <v>153</v>
      </c>
      <c r="L706" s="13"/>
      <c r="M706" s="13" t="s">
        <v>2192</v>
      </c>
      <c r="N706" s="33" t="n">
        <v>46308.7264460648</v>
      </c>
    </row>
    <row r="707" customFormat="false" ht="15" hidden="false" customHeight="false" outlineLevel="0" collapsed="false">
      <c r="A707" s="13" t="s">
        <v>2193</v>
      </c>
      <c r="B707" s="13" t="s">
        <v>57</v>
      </c>
      <c r="C707" s="13" t="s">
        <v>1265</v>
      </c>
      <c r="D707" s="13" t="s">
        <v>166</v>
      </c>
      <c r="E707" s="13"/>
      <c r="F707" s="13"/>
      <c r="G707" s="13"/>
      <c r="H707" s="31"/>
      <c r="I707" s="33" t="n">
        <v>45875.7184335995</v>
      </c>
      <c r="J707" s="33" t="n">
        <v>45875.7184335995</v>
      </c>
      <c r="K707" s="13" t="s">
        <v>153</v>
      </c>
      <c r="L707" s="13"/>
      <c r="M707" s="13" t="s">
        <v>2194</v>
      </c>
      <c r="N707" s="33" t="n">
        <v>46308.7264460648</v>
      </c>
    </row>
    <row r="708" customFormat="false" ht="15" hidden="false" customHeight="false" outlineLevel="0" collapsed="false">
      <c r="A708" s="13" t="s">
        <v>2195</v>
      </c>
      <c r="B708" s="13" t="s">
        <v>57</v>
      </c>
      <c r="C708" s="13" t="s">
        <v>185</v>
      </c>
      <c r="D708" s="13" t="s">
        <v>166</v>
      </c>
      <c r="E708" s="13" t="s">
        <v>981</v>
      </c>
      <c r="F708" s="13"/>
      <c r="G708" s="13"/>
      <c r="H708" s="31"/>
      <c r="I708" s="33" t="n">
        <v>45875.649154838</v>
      </c>
      <c r="J708" s="33" t="n">
        <v>45875.649154838</v>
      </c>
      <c r="K708" s="13" t="s">
        <v>153</v>
      </c>
      <c r="L708" s="13"/>
      <c r="M708" s="13" t="s">
        <v>2196</v>
      </c>
      <c r="N708" s="33" t="n">
        <v>46308.7264460648</v>
      </c>
    </row>
    <row r="709" customFormat="false" ht="15" hidden="false" customHeight="false" outlineLevel="0" collapsed="false">
      <c r="A709" s="13" t="s">
        <v>2197</v>
      </c>
      <c r="B709" s="13" t="s">
        <v>57</v>
      </c>
      <c r="C709" s="13" t="s">
        <v>185</v>
      </c>
      <c r="D709" s="13" t="s">
        <v>166</v>
      </c>
      <c r="E709" s="13"/>
      <c r="F709" s="13"/>
      <c r="G709" s="13"/>
      <c r="H709" s="31"/>
      <c r="I709" s="33" t="n">
        <v>45875.3689899653</v>
      </c>
      <c r="J709" s="33" t="n">
        <v>45875.3689899653</v>
      </c>
      <c r="K709" s="13" t="s">
        <v>153</v>
      </c>
      <c r="L709" s="13"/>
      <c r="M709" s="13" t="s">
        <v>2198</v>
      </c>
      <c r="N709" s="33" t="n">
        <v>46308.7264460648</v>
      </c>
    </row>
    <row r="710" customFormat="false" ht="15" hidden="false" customHeight="false" outlineLevel="0" collapsed="false">
      <c r="A710" s="13" t="s">
        <v>2199</v>
      </c>
      <c r="B710" s="13" t="s">
        <v>57</v>
      </c>
      <c r="C710" s="13" t="s">
        <v>702</v>
      </c>
      <c r="D710" s="13" t="s">
        <v>166</v>
      </c>
      <c r="E710" s="13"/>
      <c r="F710" s="13"/>
      <c r="G710" s="13"/>
      <c r="H710" s="31"/>
      <c r="I710" s="33" t="n">
        <v>45875.3638593981</v>
      </c>
      <c r="J710" s="33" t="n">
        <v>45875.3638593981</v>
      </c>
      <c r="K710" s="13" t="s">
        <v>153</v>
      </c>
      <c r="L710" s="13"/>
      <c r="M710" s="13" t="s">
        <v>2200</v>
      </c>
      <c r="N710" s="33" t="n">
        <v>46308.7264460648</v>
      </c>
    </row>
    <row r="711" customFormat="false" ht="15" hidden="false" customHeight="false" outlineLevel="0" collapsed="false">
      <c r="A711" s="13" t="s">
        <v>2201</v>
      </c>
      <c r="B711" s="13" t="s">
        <v>57</v>
      </c>
      <c r="C711" s="13" t="s">
        <v>2202</v>
      </c>
      <c r="D711" s="13" t="s">
        <v>166</v>
      </c>
      <c r="E711" s="13" t="s">
        <v>1374</v>
      </c>
      <c r="F711" s="13"/>
      <c r="G711" s="13"/>
      <c r="H711" s="31"/>
      <c r="I711" s="33" t="n">
        <v>45875.3638593981</v>
      </c>
      <c r="J711" s="33" t="n">
        <v>45875.3638593981</v>
      </c>
      <c r="K711" s="13" t="s">
        <v>153</v>
      </c>
      <c r="L711" s="13"/>
      <c r="M711" s="13" t="s">
        <v>2203</v>
      </c>
      <c r="N711" s="33" t="n">
        <v>46308.7264460648</v>
      </c>
    </row>
    <row r="712" customFormat="false" ht="15" hidden="false" customHeight="false" outlineLevel="0" collapsed="false">
      <c r="A712" s="13" t="s">
        <v>2204</v>
      </c>
      <c r="B712" s="13" t="s">
        <v>57</v>
      </c>
      <c r="C712" s="13" t="s">
        <v>2205</v>
      </c>
      <c r="D712" s="13" t="s">
        <v>166</v>
      </c>
      <c r="E712" s="13" t="s">
        <v>981</v>
      </c>
      <c r="F712" s="13"/>
      <c r="G712" s="13"/>
      <c r="H712" s="31"/>
      <c r="I712" s="33" t="n">
        <v>45875.3637947917</v>
      </c>
      <c r="J712" s="33" t="n">
        <v>45846.3773453357</v>
      </c>
      <c r="K712" s="13" t="s">
        <v>153</v>
      </c>
      <c r="L712" s="13"/>
      <c r="M712" s="13" t="s">
        <v>2206</v>
      </c>
      <c r="N712" s="33" t="n">
        <v>46308.7264460648</v>
      </c>
    </row>
    <row r="713" customFormat="false" ht="15" hidden="false" customHeight="false" outlineLevel="0" collapsed="false">
      <c r="A713" s="13" t="s">
        <v>2207</v>
      </c>
      <c r="B713" s="13" t="s">
        <v>57</v>
      </c>
      <c r="C713" s="13" t="s">
        <v>2208</v>
      </c>
      <c r="D713" s="13" t="s">
        <v>166</v>
      </c>
      <c r="E713" s="13"/>
      <c r="F713" s="13"/>
      <c r="G713" s="13"/>
      <c r="H713" s="31"/>
      <c r="I713" s="33" t="n">
        <v>45875.3637947917</v>
      </c>
      <c r="J713" s="33" t="n">
        <v>45862.6289203935</v>
      </c>
      <c r="K713" s="13" t="s">
        <v>153</v>
      </c>
      <c r="L713" s="13"/>
      <c r="M713" s="13" t="s">
        <v>2209</v>
      </c>
      <c r="N713" s="33" t="n">
        <v>46308.7264460648</v>
      </c>
    </row>
    <row r="714" customFormat="false" ht="15" hidden="false" customHeight="false" outlineLevel="0" collapsed="false">
      <c r="A714" s="13" t="s">
        <v>2210</v>
      </c>
      <c r="B714" s="13" t="s">
        <v>57</v>
      </c>
      <c r="C714" s="13" t="s">
        <v>2211</v>
      </c>
      <c r="D714" s="13" t="s">
        <v>166</v>
      </c>
      <c r="E714" s="13" t="s">
        <v>1044</v>
      </c>
      <c r="F714" s="13"/>
      <c r="G714" s="13"/>
      <c r="H714" s="31"/>
      <c r="I714" s="33" t="n">
        <v>45875.3617654977</v>
      </c>
      <c r="J714" s="33" t="n">
        <v>45875.3617654977</v>
      </c>
      <c r="K714" s="13" t="s">
        <v>153</v>
      </c>
      <c r="L714" s="13"/>
      <c r="M714" s="13" t="s">
        <v>2212</v>
      </c>
      <c r="N714" s="33" t="n">
        <v>46308.7264460648</v>
      </c>
    </row>
    <row r="715" customFormat="false" ht="15" hidden="false" customHeight="false" outlineLevel="0" collapsed="false">
      <c r="A715" s="13" t="s">
        <v>2213</v>
      </c>
      <c r="B715" s="13" t="s">
        <v>57</v>
      </c>
      <c r="C715" s="13" t="s">
        <v>2214</v>
      </c>
      <c r="D715" s="13" t="s">
        <v>166</v>
      </c>
      <c r="E715" s="13" t="s">
        <v>95</v>
      </c>
      <c r="F715" s="13"/>
      <c r="G715" s="13" t="s">
        <v>207</v>
      </c>
      <c r="H715" s="31"/>
      <c r="I715" s="33" t="n">
        <v>45875.3606917014</v>
      </c>
      <c r="J715" s="33" t="n">
        <v>45875.3606917014</v>
      </c>
      <c r="K715" s="13" t="s">
        <v>153</v>
      </c>
      <c r="L715" s="13"/>
      <c r="M715" s="13" t="s">
        <v>2215</v>
      </c>
      <c r="N715" s="33" t="n">
        <v>46308.7264460648</v>
      </c>
    </row>
    <row r="716" customFormat="false" ht="15" hidden="false" customHeight="false" outlineLevel="0" collapsed="false">
      <c r="A716" s="13" t="s">
        <v>2216</v>
      </c>
      <c r="B716" s="13" t="s">
        <v>57</v>
      </c>
      <c r="C716" s="13" t="s">
        <v>1573</v>
      </c>
      <c r="D716" s="13" t="s">
        <v>166</v>
      </c>
      <c r="E716" s="13" t="s">
        <v>853</v>
      </c>
      <c r="F716" s="13"/>
      <c r="G716" s="13"/>
      <c r="H716" s="31"/>
      <c r="I716" s="33" t="n">
        <v>45874.4417897569</v>
      </c>
      <c r="J716" s="33" t="n">
        <v>45874.4417897569</v>
      </c>
      <c r="K716" s="13" t="s">
        <v>153</v>
      </c>
      <c r="L716" s="13"/>
      <c r="M716" s="13" t="s">
        <v>2217</v>
      </c>
      <c r="N716" s="33" t="n">
        <v>46308.7264460648</v>
      </c>
    </row>
    <row r="717" customFormat="false" ht="15" hidden="false" customHeight="false" outlineLevel="0" collapsed="false">
      <c r="A717" s="13" t="s">
        <v>2218</v>
      </c>
      <c r="B717" s="13" t="s">
        <v>57</v>
      </c>
      <c r="C717" s="13" t="s">
        <v>1265</v>
      </c>
      <c r="D717" s="13" t="s">
        <v>166</v>
      </c>
      <c r="E717" s="13" t="s">
        <v>853</v>
      </c>
      <c r="F717" s="13"/>
      <c r="G717" s="13"/>
      <c r="H717" s="31"/>
      <c r="I717" s="33" t="n">
        <v>45874.3663344792</v>
      </c>
      <c r="J717" s="33" t="n">
        <v>45874.3663344792</v>
      </c>
      <c r="K717" s="13" t="s">
        <v>153</v>
      </c>
      <c r="L717" s="13"/>
      <c r="M717" s="13" t="s">
        <v>2219</v>
      </c>
      <c r="N717" s="33" t="n">
        <v>46308.7264460648</v>
      </c>
    </row>
    <row r="718" customFormat="false" ht="15" hidden="false" customHeight="false" outlineLevel="0" collapsed="false">
      <c r="A718" s="13" t="s">
        <v>2220</v>
      </c>
      <c r="B718" s="13" t="s">
        <v>57</v>
      </c>
      <c r="C718" s="13" t="s">
        <v>185</v>
      </c>
      <c r="D718" s="13" t="s">
        <v>166</v>
      </c>
      <c r="E718" s="13" t="s">
        <v>981</v>
      </c>
      <c r="F718" s="13"/>
      <c r="G718" s="13"/>
      <c r="H718" s="31"/>
      <c r="I718" s="33" t="n">
        <v>45873.6089385764</v>
      </c>
      <c r="J718" s="33" t="n">
        <v>45873.6089385764</v>
      </c>
      <c r="K718" s="13" t="s">
        <v>153</v>
      </c>
      <c r="L718" s="13"/>
      <c r="M718" s="13" t="s">
        <v>2221</v>
      </c>
      <c r="N718" s="33" t="n">
        <v>46308.7264460648</v>
      </c>
    </row>
    <row r="719" customFormat="false" ht="15" hidden="false" customHeight="false" outlineLevel="0" collapsed="false">
      <c r="A719" s="13" t="s">
        <v>2222</v>
      </c>
      <c r="B719" s="13" t="s">
        <v>57</v>
      </c>
      <c r="C719" s="13" t="s">
        <v>185</v>
      </c>
      <c r="D719" s="13" t="s">
        <v>166</v>
      </c>
      <c r="E719" s="13" t="s">
        <v>981</v>
      </c>
      <c r="F719" s="13"/>
      <c r="G719" s="13"/>
      <c r="H719" s="31"/>
      <c r="I719" s="33" t="n">
        <v>45873.4529492824</v>
      </c>
      <c r="J719" s="33" t="n">
        <v>45873.4529492824</v>
      </c>
      <c r="K719" s="13" t="s">
        <v>153</v>
      </c>
      <c r="L719" s="13"/>
      <c r="M719" s="13" t="s">
        <v>2223</v>
      </c>
      <c r="N719" s="33" t="n">
        <v>46308.7264460648</v>
      </c>
    </row>
    <row r="720" customFormat="false" ht="15" hidden="false" customHeight="false" outlineLevel="0" collapsed="false">
      <c r="A720" s="13" t="s">
        <v>2224</v>
      </c>
      <c r="B720" s="13" t="s">
        <v>57</v>
      </c>
      <c r="C720" s="13" t="s">
        <v>185</v>
      </c>
      <c r="D720" s="13" t="s">
        <v>166</v>
      </c>
      <c r="E720" s="13" t="s">
        <v>981</v>
      </c>
      <c r="F720" s="13"/>
      <c r="G720" s="13"/>
      <c r="H720" s="31"/>
      <c r="I720" s="33" t="n">
        <v>45873.3811981019</v>
      </c>
      <c r="J720" s="33" t="n">
        <v>45873.3811981019</v>
      </c>
      <c r="K720" s="13" t="s">
        <v>153</v>
      </c>
      <c r="L720" s="13"/>
      <c r="M720" s="13" t="s">
        <v>2225</v>
      </c>
      <c r="N720" s="33" t="n">
        <v>46308.7264460648</v>
      </c>
    </row>
    <row r="721" customFormat="false" ht="15" hidden="false" customHeight="false" outlineLevel="0" collapsed="false">
      <c r="A721" s="13" t="s">
        <v>2226</v>
      </c>
      <c r="B721" s="13" t="s">
        <v>57</v>
      </c>
      <c r="C721" s="13" t="s">
        <v>695</v>
      </c>
      <c r="D721" s="13" t="s">
        <v>166</v>
      </c>
      <c r="E721" s="13" t="s">
        <v>696</v>
      </c>
      <c r="F721" s="13"/>
      <c r="G721" s="13"/>
      <c r="H721" s="31"/>
      <c r="I721" s="33" t="n">
        <v>45873.3810677431</v>
      </c>
      <c r="J721" s="33" t="n">
        <v>45873.3810677431</v>
      </c>
      <c r="K721" s="13" t="s">
        <v>153</v>
      </c>
      <c r="L721" s="13"/>
      <c r="M721" s="13" t="s">
        <v>2227</v>
      </c>
      <c r="N721" s="33" t="n">
        <v>46308.7264460648</v>
      </c>
    </row>
    <row r="722" customFormat="false" ht="15" hidden="false" customHeight="false" outlineLevel="0" collapsed="false">
      <c r="A722" s="13" t="s">
        <v>2228</v>
      </c>
      <c r="B722" s="13" t="s">
        <v>57</v>
      </c>
      <c r="C722" s="13" t="s">
        <v>1265</v>
      </c>
      <c r="D722" s="13" t="s">
        <v>166</v>
      </c>
      <c r="E722" s="13"/>
      <c r="F722" s="13"/>
      <c r="G722" s="13"/>
      <c r="H722" s="31"/>
      <c r="I722" s="33" t="n">
        <v>45873.3728745023</v>
      </c>
      <c r="J722" s="33" t="n">
        <v>45873.3728745023</v>
      </c>
      <c r="K722" s="13" t="s">
        <v>153</v>
      </c>
      <c r="L722" s="13"/>
      <c r="M722" s="13" t="s">
        <v>2229</v>
      </c>
      <c r="N722" s="33" t="n">
        <v>46308.7264460648</v>
      </c>
    </row>
    <row r="723" customFormat="false" ht="15" hidden="false" customHeight="false" outlineLevel="0" collapsed="false">
      <c r="A723" s="13" t="s">
        <v>2230</v>
      </c>
      <c r="B723" s="13" t="s">
        <v>57</v>
      </c>
      <c r="C723" s="13" t="s">
        <v>2231</v>
      </c>
      <c r="D723" s="13" t="s">
        <v>166</v>
      </c>
      <c r="E723" s="13" t="s">
        <v>95</v>
      </c>
      <c r="F723" s="13"/>
      <c r="G723" s="13" t="s">
        <v>207</v>
      </c>
      <c r="H723" s="31"/>
      <c r="I723" s="33" t="n">
        <v>45873.3664824653</v>
      </c>
      <c r="J723" s="33" t="n">
        <v>45873.3664824653</v>
      </c>
      <c r="K723" s="13" t="s">
        <v>153</v>
      </c>
      <c r="L723" s="13"/>
      <c r="M723" s="13" t="s">
        <v>2232</v>
      </c>
      <c r="N723" s="33" t="n">
        <v>46308.7264460648</v>
      </c>
    </row>
    <row r="724" customFormat="false" ht="15" hidden="false" customHeight="false" outlineLevel="0" collapsed="false">
      <c r="A724" s="13" t="s">
        <v>2233</v>
      </c>
      <c r="B724" s="13" t="s">
        <v>57</v>
      </c>
      <c r="C724" s="13" t="s">
        <v>2234</v>
      </c>
      <c r="D724" s="13" t="s">
        <v>166</v>
      </c>
      <c r="E724" s="13" t="s">
        <v>95</v>
      </c>
      <c r="F724" s="13"/>
      <c r="G724" s="13" t="s">
        <v>207</v>
      </c>
      <c r="H724" s="31" t="n">
        <v>45869</v>
      </c>
      <c r="I724" s="33" t="n">
        <v>45870.6841963079</v>
      </c>
      <c r="J724" s="33" t="n">
        <v>45870.6841963079</v>
      </c>
      <c r="K724" s="13" t="s">
        <v>153</v>
      </c>
      <c r="L724" s="13"/>
      <c r="M724" s="13" t="s">
        <v>2235</v>
      </c>
      <c r="N724" s="33" t="n">
        <v>46308.7264460648</v>
      </c>
    </row>
    <row r="725" customFormat="false" ht="15" hidden="false" customHeight="false" outlineLevel="0" collapsed="false">
      <c r="A725" s="13" t="s">
        <v>2236</v>
      </c>
      <c r="B725" s="13" t="s">
        <v>57</v>
      </c>
      <c r="C725" s="13" t="s">
        <v>1732</v>
      </c>
      <c r="D725" s="13" t="s">
        <v>166</v>
      </c>
      <c r="E725" s="13" t="s">
        <v>259</v>
      </c>
      <c r="F725" s="13"/>
      <c r="G725" s="13"/>
      <c r="H725" s="31"/>
      <c r="I725" s="33" t="n">
        <v>45870.6188744097</v>
      </c>
      <c r="J725" s="33" t="n">
        <v>45859.456286956</v>
      </c>
      <c r="K725" s="13" t="s">
        <v>153</v>
      </c>
      <c r="L725" s="13"/>
      <c r="M725" s="13" t="s">
        <v>2237</v>
      </c>
      <c r="N725" s="33" t="n">
        <v>46308.7264460648</v>
      </c>
    </row>
    <row r="726" customFormat="false" ht="15" hidden="false" customHeight="false" outlineLevel="0" collapsed="false">
      <c r="A726" s="13" t="s">
        <v>2238</v>
      </c>
      <c r="B726" s="13" t="s">
        <v>57</v>
      </c>
      <c r="C726" s="13" t="s">
        <v>1265</v>
      </c>
      <c r="D726" s="13" t="s">
        <v>166</v>
      </c>
      <c r="E726" s="13" t="s">
        <v>853</v>
      </c>
      <c r="F726" s="13"/>
      <c r="G726" s="13"/>
      <c r="H726" s="31"/>
      <c r="I726" s="33" t="n">
        <v>45870.4765725232</v>
      </c>
      <c r="J726" s="33" t="n">
        <v>45870.4765725232</v>
      </c>
      <c r="K726" s="13" t="s">
        <v>153</v>
      </c>
      <c r="L726" s="13"/>
      <c r="M726" s="13" t="s">
        <v>2239</v>
      </c>
      <c r="N726" s="33" t="n">
        <v>46308.7264460648</v>
      </c>
    </row>
    <row r="727" customFormat="false" ht="15" hidden="false" customHeight="false" outlineLevel="0" collapsed="false">
      <c r="A727" s="13" t="s">
        <v>2240</v>
      </c>
      <c r="B727" s="13" t="s">
        <v>57</v>
      </c>
      <c r="C727" s="13" t="s">
        <v>1573</v>
      </c>
      <c r="D727" s="13" t="s">
        <v>166</v>
      </c>
      <c r="E727" s="13"/>
      <c r="F727" s="13"/>
      <c r="G727" s="13"/>
      <c r="H727" s="31"/>
      <c r="I727" s="33" t="n">
        <v>45870.4525880093</v>
      </c>
      <c r="J727" s="33" t="n">
        <v>45870.4525880093</v>
      </c>
      <c r="K727" s="13" t="s">
        <v>153</v>
      </c>
      <c r="L727" s="13"/>
      <c r="M727" s="13" t="s">
        <v>2241</v>
      </c>
      <c r="N727" s="33" t="n">
        <v>46308.7264460648</v>
      </c>
    </row>
    <row r="728" customFormat="false" ht="15" hidden="false" customHeight="false" outlineLevel="0" collapsed="false">
      <c r="A728" s="13" t="s">
        <v>2242</v>
      </c>
      <c r="B728" s="13" t="s">
        <v>57</v>
      </c>
      <c r="C728" s="13" t="s">
        <v>258</v>
      </c>
      <c r="D728" s="13" t="s">
        <v>401</v>
      </c>
      <c r="E728" s="13" t="s">
        <v>259</v>
      </c>
      <c r="F728" s="13"/>
      <c r="G728" s="13"/>
      <c r="H728" s="31"/>
      <c r="I728" s="33" t="n">
        <v>45869.7163922454</v>
      </c>
      <c r="J728" s="33"/>
      <c r="K728" s="13" t="s">
        <v>153</v>
      </c>
      <c r="L728" s="13"/>
      <c r="M728" s="13" t="s">
        <v>2243</v>
      </c>
      <c r="N728" s="33" t="n">
        <v>46308.7264460648</v>
      </c>
    </row>
    <row r="729" customFormat="false" ht="15" hidden="false" customHeight="false" outlineLevel="0" collapsed="false">
      <c r="A729" s="13" t="s">
        <v>2244</v>
      </c>
      <c r="B729" s="13" t="s">
        <v>57</v>
      </c>
      <c r="C729" s="13" t="s">
        <v>1620</v>
      </c>
      <c r="D729" s="13" t="s">
        <v>166</v>
      </c>
      <c r="E729" s="13" t="s">
        <v>95</v>
      </c>
      <c r="F729" s="13"/>
      <c r="G729" s="13"/>
      <c r="H729" s="31"/>
      <c r="I729" s="33" t="n">
        <v>45869.7154980903</v>
      </c>
      <c r="J729" s="33" t="n">
        <v>45869.7154980903</v>
      </c>
      <c r="K729" s="13" t="s">
        <v>153</v>
      </c>
      <c r="L729" s="13"/>
      <c r="M729" s="13" t="s">
        <v>2245</v>
      </c>
      <c r="N729" s="33" t="n">
        <v>46308.7264460648</v>
      </c>
    </row>
    <row r="730" customFormat="false" ht="15" hidden="false" customHeight="false" outlineLevel="0" collapsed="false">
      <c r="A730" s="13" t="s">
        <v>2246</v>
      </c>
      <c r="B730" s="13" t="s">
        <v>57</v>
      </c>
      <c r="C730" s="13" t="s">
        <v>2247</v>
      </c>
      <c r="D730" s="13" t="s">
        <v>166</v>
      </c>
      <c r="E730" s="13"/>
      <c r="F730" s="13"/>
      <c r="G730" s="13"/>
      <c r="H730" s="31"/>
      <c r="I730" s="33" t="n">
        <v>45869.7154980903</v>
      </c>
      <c r="J730" s="33" t="n">
        <v>45869.7154980903</v>
      </c>
      <c r="K730" s="13" t="s">
        <v>153</v>
      </c>
      <c r="L730" s="13"/>
      <c r="M730" s="13" t="s">
        <v>2248</v>
      </c>
      <c r="N730" s="33" t="n">
        <v>46308.7264460648</v>
      </c>
    </row>
    <row r="731" customFormat="false" ht="15" hidden="false" customHeight="false" outlineLevel="0" collapsed="false">
      <c r="A731" s="13" t="s">
        <v>2249</v>
      </c>
      <c r="B731" s="13" t="s">
        <v>57</v>
      </c>
      <c r="C731" s="13" t="s">
        <v>702</v>
      </c>
      <c r="D731" s="13" t="s">
        <v>401</v>
      </c>
      <c r="E731" s="13"/>
      <c r="F731" s="13"/>
      <c r="G731" s="13"/>
      <c r="H731" s="31"/>
      <c r="I731" s="33" t="n">
        <v>45869.6408396296</v>
      </c>
      <c r="J731" s="33"/>
      <c r="K731" s="13" t="s">
        <v>153</v>
      </c>
      <c r="L731" s="13"/>
      <c r="M731" s="13" t="s">
        <v>2250</v>
      </c>
      <c r="N731" s="33" t="n">
        <v>46308.7264460648</v>
      </c>
    </row>
    <row r="732" customFormat="false" ht="15" hidden="false" customHeight="false" outlineLevel="0" collapsed="false">
      <c r="A732" s="13" t="s">
        <v>2251</v>
      </c>
      <c r="B732" s="13" t="s">
        <v>57</v>
      </c>
      <c r="C732" s="13" t="s">
        <v>258</v>
      </c>
      <c r="D732" s="13" t="s">
        <v>166</v>
      </c>
      <c r="E732" s="13" t="s">
        <v>259</v>
      </c>
      <c r="F732" s="13"/>
      <c r="G732" s="13"/>
      <c r="H732" s="31"/>
      <c r="I732" s="33" t="n">
        <v>45869.5891870255</v>
      </c>
      <c r="J732" s="33" t="n">
        <v>45869.5891870255</v>
      </c>
      <c r="K732" s="13" t="s">
        <v>153</v>
      </c>
      <c r="L732" s="13"/>
      <c r="M732" s="13" t="s">
        <v>2252</v>
      </c>
      <c r="N732" s="33" t="n">
        <v>46308.7264460648</v>
      </c>
    </row>
    <row r="733" customFormat="false" ht="15" hidden="false" customHeight="false" outlineLevel="0" collapsed="false">
      <c r="A733" s="13" t="s">
        <v>2253</v>
      </c>
      <c r="B733" s="13" t="s">
        <v>57</v>
      </c>
      <c r="C733" s="13" t="s">
        <v>2254</v>
      </c>
      <c r="D733" s="13" t="s">
        <v>166</v>
      </c>
      <c r="E733" s="13" t="s">
        <v>1044</v>
      </c>
      <c r="F733" s="13"/>
      <c r="G733" s="13"/>
      <c r="H733" s="31"/>
      <c r="I733" s="33" t="n">
        <v>45869.5891870255</v>
      </c>
      <c r="J733" s="33" t="n">
        <v>45869.5891870255</v>
      </c>
      <c r="K733" s="13" t="s">
        <v>153</v>
      </c>
      <c r="L733" s="13"/>
      <c r="M733" s="13" t="s">
        <v>2255</v>
      </c>
      <c r="N733" s="33" t="n">
        <v>46308.7264460648</v>
      </c>
    </row>
    <row r="734" customFormat="false" ht="15" hidden="false" customHeight="false" outlineLevel="0" collapsed="false">
      <c r="A734" s="13" t="s">
        <v>2256</v>
      </c>
      <c r="B734" s="13" t="s">
        <v>57</v>
      </c>
      <c r="C734" s="13" t="s">
        <v>2257</v>
      </c>
      <c r="D734" s="13" t="s">
        <v>166</v>
      </c>
      <c r="E734" s="13" t="s">
        <v>1044</v>
      </c>
      <c r="F734" s="13"/>
      <c r="G734" s="13"/>
      <c r="H734" s="31"/>
      <c r="I734" s="33" t="n">
        <v>45869.5889052431</v>
      </c>
      <c r="J734" s="33" t="n">
        <v>45869.5889052431</v>
      </c>
      <c r="K734" s="13" t="s">
        <v>153</v>
      </c>
      <c r="L734" s="13"/>
      <c r="M734" s="13" t="s">
        <v>2258</v>
      </c>
      <c r="N734" s="33" t="n">
        <v>46308.7264460648</v>
      </c>
    </row>
    <row r="735" customFormat="false" ht="15" hidden="false" customHeight="false" outlineLevel="0" collapsed="false">
      <c r="A735" s="13" t="s">
        <v>2259</v>
      </c>
      <c r="B735" s="13" t="s">
        <v>57</v>
      </c>
      <c r="C735" s="13" t="s">
        <v>695</v>
      </c>
      <c r="D735" s="13" t="s">
        <v>166</v>
      </c>
      <c r="E735" s="13" t="s">
        <v>1285</v>
      </c>
      <c r="F735" s="13"/>
      <c r="G735" s="13"/>
      <c r="H735" s="31"/>
      <c r="I735" s="33" t="n">
        <v>45869.5888687384</v>
      </c>
      <c r="J735" s="33" t="n">
        <v>45869.5888687384</v>
      </c>
      <c r="K735" s="13" t="s">
        <v>153</v>
      </c>
      <c r="L735" s="13"/>
      <c r="M735" s="13" t="s">
        <v>2260</v>
      </c>
      <c r="N735" s="33" t="n">
        <v>46308.7264460648</v>
      </c>
    </row>
    <row r="736" customFormat="false" ht="15" hidden="false" customHeight="false" outlineLevel="0" collapsed="false">
      <c r="A736" s="13" t="s">
        <v>2261</v>
      </c>
      <c r="B736" s="13" t="s">
        <v>57</v>
      </c>
      <c r="C736" s="13" t="s">
        <v>702</v>
      </c>
      <c r="D736" s="13" t="s">
        <v>166</v>
      </c>
      <c r="E736" s="13"/>
      <c r="F736" s="13"/>
      <c r="G736" s="13"/>
      <c r="H736" s="31"/>
      <c r="I736" s="33" t="n">
        <v>45869.5888687384</v>
      </c>
      <c r="J736" s="33" t="n">
        <v>45869.5888687384</v>
      </c>
      <c r="K736" s="13" t="s">
        <v>153</v>
      </c>
      <c r="L736" s="13"/>
      <c r="M736" s="13" t="s">
        <v>2262</v>
      </c>
      <c r="N736" s="33" t="n">
        <v>46308.7264460648</v>
      </c>
    </row>
    <row r="737" customFormat="false" ht="15" hidden="false" customHeight="false" outlineLevel="0" collapsed="false">
      <c r="A737" s="13" t="s">
        <v>2263</v>
      </c>
      <c r="B737" s="13" t="s">
        <v>57</v>
      </c>
      <c r="C737" s="13" t="s">
        <v>2264</v>
      </c>
      <c r="D737" s="13" t="s">
        <v>166</v>
      </c>
      <c r="E737" s="13" t="s">
        <v>981</v>
      </c>
      <c r="F737" s="13"/>
      <c r="G737" s="13"/>
      <c r="H737" s="31"/>
      <c r="I737" s="33" t="n">
        <v>45869.4061041782</v>
      </c>
      <c r="J737" s="33" t="n">
        <v>45869.4061041782</v>
      </c>
      <c r="K737" s="13" t="s">
        <v>153</v>
      </c>
      <c r="L737" s="13"/>
      <c r="M737" s="13" t="s">
        <v>2265</v>
      </c>
      <c r="N737" s="33" t="n">
        <v>46308.7264460648</v>
      </c>
    </row>
    <row r="738" customFormat="false" ht="15" hidden="false" customHeight="false" outlineLevel="0" collapsed="false">
      <c r="A738" s="13" t="s">
        <v>2266</v>
      </c>
      <c r="B738" s="13" t="s">
        <v>57</v>
      </c>
      <c r="C738" s="13" t="s">
        <v>1620</v>
      </c>
      <c r="D738" s="13" t="s">
        <v>401</v>
      </c>
      <c r="E738" s="13" t="s">
        <v>853</v>
      </c>
      <c r="F738" s="13"/>
      <c r="G738" s="13"/>
      <c r="H738" s="31"/>
      <c r="I738" s="33" t="n">
        <v>45868.4779272338</v>
      </c>
      <c r="J738" s="33"/>
      <c r="K738" s="13" t="s">
        <v>153</v>
      </c>
      <c r="L738" s="13"/>
      <c r="M738" s="13" t="s">
        <v>2267</v>
      </c>
      <c r="N738" s="33" t="n">
        <v>46308.7264460648</v>
      </c>
    </row>
    <row r="739" customFormat="false" ht="15" hidden="false" customHeight="false" outlineLevel="0" collapsed="false">
      <c r="A739" s="13" t="s">
        <v>2268</v>
      </c>
      <c r="B739" s="13" t="s">
        <v>57</v>
      </c>
      <c r="C739" s="13" t="s">
        <v>852</v>
      </c>
      <c r="D739" s="13" t="s">
        <v>401</v>
      </c>
      <c r="E739" s="13"/>
      <c r="F739" s="13"/>
      <c r="G739" s="13"/>
      <c r="H739" s="31"/>
      <c r="I739" s="33" t="n">
        <v>45868.4777090972</v>
      </c>
      <c r="J739" s="33"/>
      <c r="K739" s="13" t="s">
        <v>153</v>
      </c>
      <c r="L739" s="13"/>
      <c r="M739" s="13" t="s">
        <v>2269</v>
      </c>
      <c r="N739" s="33" t="n">
        <v>46308.7264460648</v>
      </c>
    </row>
    <row r="740" customFormat="false" ht="15" hidden="false" customHeight="false" outlineLevel="0" collapsed="false">
      <c r="A740" s="13" t="s">
        <v>2270</v>
      </c>
      <c r="B740" s="13" t="s">
        <v>57</v>
      </c>
      <c r="C740" s="13" t="s">
        <v>258</v>
      </c>
      <c r="D740" s="13" t="s">
        <v>166</v>
      </c>
      <c r="E740" s="13"/>
      <c r="F740" s="13"/>
      <c r="G740" s="13"/>
      <c r="H740" s="31"/>
      <c r="I740" s="33" t="n">
        <v>45866.7378607523</v>
      </c>
      <c r="J740" s="33" t="n">
        <v>45866.7378607523</v>
      </c>
      <c r="K740" s="13" t="s">
        <v>153</v>
      </c>
      <c r="L740" s="13"/>
      <c r="M740" s="13" t="s">
        <v>2271</v>
      </c>
      <c r="N740" s="33" t="n">
        <v>46308.7264460648</v>
      </c>
    </row>
    <row r="741" customFormat="false" ht="15" hidden="false" customHeight="false" outlineLevel="0" collapsed="false">
      <c r="A741" s="13" t="s">
        <v>2272</v>
      </c>
      <c r="B741" s="13" t="s">
        <v>57</v>
      </c>
      <c r="C741" s="13" t="s">
        <v>2273</v>
      </c>
      <c r="D741" s="13" t="s">
        <v>166</v>
      </c>
      <c r="E741" s="13" t="s">
        <v>95</v>
      </c>
      <c r="F741" s="13"/>
      <c r="G741" s="13" t="s">
        <v>207</v>
      </c>
      <c r="H741" s="31"/>
      <c r="I741" s="33" t="n">
        <v>45862.663279213</v>
      </c>
      <c r="J741" s="33" t="n">
        <v>45862.663279213</v>
      </c>
      <c r="K741" s="13" t="s">
        <v>153</v>
      </c>
      <c r="L741" s="13"/>
      <c r="M741" s="13" t="s">
        <v>2274</v>
      </c>
      <c r="N741" s="33" t="n">
        <v>46308.7264460648</v>
      </c>
    </row>
    <row r="742" customFormat="false" ht="15" hidden="false" customHeight="false" outlineLevel="0" collapsed="false">
      <c r="A742" s="13" t="s">
        <v>2275</v>
      </c>
      <c r="B742" s="13" t="s">
        <v>57</v>
      </c>
      <c r="C742" s="13" t="s">
        <v>2276</v>
      </c>
      <c r="D742" s="13" t="s">
        <v>166</v>
      </c>
      <c r="E742" s="13"/>
      <c r="F742" s="13"/>
      <c r="G742" s="13"/>
      <c r="H742" s="31"/>
      <c r="I742" s="33" t="n">
        <v>45862.6289722454</v>
      </c>
      <c r="J742" s="33" t="n">
        <v>45862.6289722454</v>
      </c>
      <c r="K742" s="13" t="s">
        <v>153</v>
      </c>
      <c r="L742" s="13"/>
      <c r="M742" s="13" t="s">
        <v>2277</v>
      </c>
      <c r="N742" s="33" t="n">
        <v>46308.7264460648</v>
      </c>
    </row>
    <row r="743" customFormat="false" ht="15" hidden="false" customHeight="false" outlineLevel="0" collapsed="false">
      <c r="A743" s="13" t="s">
        <v>2278</v>
      </c>
      <c r="B743" s="13" t="s">
        <v>57</v>
      </c>
      <c r="C743" s="13" t="s">
        <v>2279</v>
      </c>
      <c r="D743" s="13" t="s">
        <v>166</v>
      </c>
      <c r="E743" s="13" t="s">
        <v>853</v>
      </c>
      <c r="F743" s="13"/>
      <c r="G743" s="13" t="s">
        <v>207</v>
      </c>
      <c r="H743" s="31"/>
      <c r="I743" s="33" t="n">
        <v>45861.7294159722</v>
      </c>
      <c r="J743" s="33" t="n">
        <v>45861.7294159722</v>
      </c>
      <c r="K743" s="13" t="s">
        <v>153</v>
      </c>
      <c r="L743" s="13"/>
      <c r="M743" s="13" t="s">
        <v>2280</v>
      </c>
      <c r="N743" s="33" t="n">
        <v>46308.7264460648</v>
      </c>
    </row>
    <row r="744" customFormat="false" ht="15" hidden="false" customHeight="false" outlineLevel="0" collapsed="false">
      <c r="A744" s="13" t="s">
        <v>2281</v>
      </c>
      <c r="B744" s="13" t="s">
        <v>57</v>
      </c>
      <c r="C744" s="13" t="s">
        <v>2282</v>
      </c>
      <c r="D744" s="13" t="s">
        <v>166</v>
      </c>
      <c r="E744" s="13" t="s">
        <v>1414</v>
      </c>
      <c r="F744" s="13"/>
      <c r="G744" s="13"/>
      <c r="H744" s="31"/>
      <c r="I744" s="33" t="n">
        <v>45861.7292635301</v>
      </c>
      <c r="J744" s="33" t="n">
        <v>45861.7292635301</v>
      </c>
      <c r="K744" s="13" t="s">
        <v>153</v>
      </c>
      <c r="L744" s="13"/>
      <c r="M744" s="13" t="s">
        <v>2283</v>
      </c>
      <c r="N744" s="33" t="n">
        <v>46308.7264460648</v>
      </c>
    </row>
    <row r="745" customFormat="false" ht="15" hidden="false" customHeight="false" outlineLevel="0" collapsed="false">
      <c r="A745" s="13" t="s">
        <v>2284</v>
      </c>
      <c r="B745" s="13" t="s">
        <v>57</v>
      </c>
      <c r="C745" s="13" t="s">
        <v>2285</v>
      </c>
      <c r="D745" s="13" t="s">
        <v>166</v>
      </c>
      <c r="E745" s="13" t="s">
        <v>1414</v>
      </c>
      <c r="F745" s="13"/>
      <c r="G745" s="13"/>
      <c r="H745" s="31"/>
      <c r="I745" s="33" t="n">
        <v>45861.7287684028</v>
      </c>
      <c r="J745" s="33" t="n">
        <v>45861.7287684028</v>
      </c>
      <c r="K745" s="13" t="s">
        <v>153</v>
      </c>
      <c r="L745" s="13"/>
      <c r="M745" s="13" t="s">
        <v>2286</v>
      </c>
      <c r="N745" s="33" t="n">
        <v>46308.7264460648</v>
      </c>
    </row>
    <row r="746" customFormat="false" ht="15" hidden="false" customHeight="false" outlineLevel="0" collapsed="false">
      <c r="A746" s="13" t="s">
        <v>2287</v>
      </c>
      <c r="B746" s="13" t="s">
        <v>57</v>
      </c>
      <c r="C746" s="13" t="s">
        <v>597</v>
      </c>
      <c r="D746" s="13" t="s">
        <v>166</v>
      </c>
      <c r="E746" s="13" t="s">
        <v>696</v>
      </c>
      <c r="F746" s="13"/>
      <c r="G746" s="13"/>
      <c r="H746" s="31"/>
      <c r="I746" s="33" t="n">
        <v>45859.6545322801</v>
      </c>
      <c r="J746" s="33" t="n">
        <v>45859.6545322801</v>
      </c>
      <c r="K746" s="13" t="s">
        <v>153</v>
      </c>
      <c r="L746" s="13"/>
      <c r="M746" s="13" t="s">
        <v>2288</v>
      </c>
      <c r="N746" s="33" t="n">
        <v>46308.7264460648</v>
      </c>
    </row>
    <row r="747" customFormat="false" ht="15" hidden="false" customHeight="false" outlineLevel="0" collapsed="false">
      <c r="A747" s="13" t="s">
        <v>2289</v>
      </c>
      <c r="B747" s="13" t="s">
        <v>57</v>
      </c>
      <c r="C747" s="13" t="s">
        <v>2290</v>
      </c>
      <c r="D747" s="13" t="s">
        <v>166</v>
      </c>
      <c r="E747" s="13" t="s">
        <v>95</v>
      </c>
      <c r="F747" s="13"/>
      <c r="G747" s="13" t="s">
        <v>189</v>
      </c>
      <c r="H747" s="31"/>
      <c r="I747" s="33" t="n">
        <v>45859.6144958565</v>
      </c>
      <c r="J747" s="33" t="n">
        <v>45859.6144958565</v>
      </c>
      <c r="K747" s="13" t="s">
        <v>153</v>
      </c>
      <c r="L747" s="13"/>
      <c r="M747" s="13" t="s">
        <v>2291</v>
      </c>
      <c r="N747" s="33" t="n">
        <v>46308.7264460648</v>
      </c>
    </row>
    <row r="748" customFormat="false" ht="15" hidden="false" customHeight="false" outlineLevel="0" collapsed="false">
      <c r="A748" s="13" t="s">
        <v>2292</v>
      </c>
      <c r="B748" s="13" t="s">
        <v>57</v>
      </c>
      <c r="C748" s="13" t="s">
        <v>597</v>
      </c>
      <c r="D748" s="13" t="s">
        <v>166</v>
      </c>
      <c r="E748" s="13" t="s">
        <v>696</v>
      </c>
      <c r="F748" s="13"/>
      <c r="G748" s="13"/>
      <c r="H748" s="31"/>
      <c r="I748" s="33" t="n">
        <v>45859.4534578125</v>
      </c>
      <c r="J748" s="33" t="n">
        <v>45859.4534578125</v>
      </c>
      <c r="K748" s="13" t="s">
        <v>153</v>
      </c>
      <c r="L748" s="13"/>
      <c r="M748" s="13" t="s">
        <v>2293</v>
      </c>
      <c r="N748" s="33" t="n">
        <v>46308.7264460648</v>
      </c>
    </row>
    <row r="749" customFormat="false" ht="15" hidden="false" customHeight="false" outlineLevel="0" collapsed="false">
      <c r="A749" s="13" t="s">
        <v>2294</v>
      </c>
      <c r="B749" s="13" t="s">
        <v>57</v>
      </c>
      <c r="C749" s="13" t="s">
        <v>2295</v>
      </c>
      <c r="D749" s="13" t="s">
        <v>166</v>
      </c>
      <c r="E749" s="13" t="s">
        <v>981</v>
      </c>
      <c r="F749" s="13"/>
      <c r="G749" s="13" t="s">
        <v>207</v>
      </c>
      <c r="H749" s="31"/>
      <c r="I749" s="33" t="n">
        <v>45856.3698327662</v>
      </c>
      <c r="J749" s="33" t="n">
        <v>45856.3698327662</v>
      </c>
      <c r="K749" s="13" t="s">
        <v>153</v>
      </c>
      <c r="L749" s="13"/>
      <c r="M749" s="13" t="s">
        <v>2296</v>
      </c>
      <c r="N749" s="33" t="n">
        <v>46308.7264460648</v>
      </c>
    </row>
    <row r="750" customFormat="false" ht="15" hidden="false" customHeight="false" outlineLevel="0" collapsed="false">
      <c r="A750" s="13" t="s">
        <v>2297</v>
      </c>
      <c r="B750" s="13" t="s">
        <v>57</v>
      </c>
      <c r="C750" s="13" t="s">
        <v>2298</v>
      </c>
      <c r="D750" s="13" t="s">
        <v>166</v>
      </c>
      <c r="E750" s="13" t="s">
        <v>981</v>
      </c>
      <c r="F750" s="13"/>
      <c r="G750" s="13"/>
      <c r="H750" s="31"/>
      <c r="I750" s="33" t="n">
        <v>45856.3694413657</v>
      </c>
      <c r="J750" s="33" t="n">
        <v>45856.3694413657</v>
      </c>
      <c r="K750" s="13" t="s">
        <v>153</v>
      </c>
      <c r="L750" s="13"/>
      <c r="M750" s="13" t="s">
        <v>2299</v>
      </c>
      <c r="N750" s="33" t="n">
        <v>46308.7264460648</v>
      </c>
    </row>
    <row r="751" customFormat="false" ht="15" hidden="false" customHeight="false" outlineLevel="0" collapsed="false">
      <c r="A751" s="13" t="s">
        <v>2300</v>
      </c>
      <c r="B751" s="13" t="s">
        <v>57</v>
      </c>
      <c r="C751" s="13" t="s">
        <v>702</v>
      </c>
      <c r="D751" s="13" t="s">
        <v>166</v>
      </c>
      <c r="E751" s="13"/>
      <c r="F751" s="13"/>
      <c r="G751" s="13"/>
      <c r="H751" s="31"/>
      <c r="I751" s="33" t="n">
        <v>45855.7269549306</v>
      </c>
      <c r="J751" s="33" t="n">
        <v>45855.7269549306</v>
      </c>
      <c r="K751" s="13" t="s">
        <v>153</v>
      </c>
      <c r="L751" s="13"/>
      <c r="M751" s="13" t="s">
        <v>2301</v>
      </c>
      <c r="N751" s="33" t="n">
        <v>46308.7264460648</v>
      </c>
    </row>
    <row r="752" customFormat="false" ht="15" hidden="false" customHeight="false" outlineLevel="0" collapsed="false">
      <c r="A752" s="13" t="s">
        <v>2302</v>
      </c>
      <c r="B752" s="13" t="s">
        <v>57</v>
      </c>
      <c r="C752" s="13" t="s">
        <v>2303</v>
      </c>
      <c r="D752" s="13" t="s">
        <v>166</v>
      </c>
      <c r="E752" s="13" t="s">
        <v>928</v>
      </c>
      <c r="F752" s="13"/>
      <c r="G752" s="13"/>
      <c r="H752" s="31"/>
      <c r="I752" s="33" t="n">
        <v>45855.7269549306</v>
      </c>
      <c r="J752" s="33" t="n">
        <v>45855.7269549306</v>
      </c>
      <c r="K752" s="13" t="s">
        <v>153</v>
      </c>
      <c r="L752" s="13"/>
      <c r="M752" s="13" t="s">
        <v>2304</v>
      </c>
      <c r="N752" s="33" t="n">
        <v>46308.7264460648</v>
      </c>
    </row>
    <row r="753" customFormat="false" ht="15" hidden="false" customHeight="false" outlineLevel="0" collapsed="false">
      <c r="A753" s="13" t="s">
        <v>2305</v>
      </c>
      <c r="B753" s="13" t="s">
        <v>57</v>
      </c>
      <c r="C753" s="13" t="s">
        <v>258</v>
      </c>
      <c r="D753" s="13" t="s">
        <v>166</v>
      </c>
      <c r="E753" s="13" t="s">
        <v>1414</v>
      </c>
      <c r="F753" s="13"/>
      <c r="G753" s="13"/>
      <c r="H753" s="31"/>
      <c r="I753" s="33" t="n">
        <v>45855.4440249884</v>
      </c>
      <c r="J753" s="33" t="n">
        <v>45854.4846745139</v>
      </c>
      <c r="K753" s="13" t="s">
        <v>153</v>
      </c>
      <c r="L753" s="13"/>
      <c r="M753" s="13" t="s">
        <v>2306</v>
      </c>
      <c r="N753" s="33" t="n">
        <v>46308.7264460648</v>
      </c>
    </row>
    <row r="754" customFormat="false" ht="15" hidden="false" customHeight="false" outlineLevel="0" collapsed="false">
      <c r="A754" s="13" t="s">
        <v>2307</v>
      </c>
      <c r="B754" s="13" t="s">
        <v>57</v>
      </c>
      <c r="C754" s="13" t="s">
        <v>258</v>
      </c>
      <c r="D754" s="13" t="s">
        <v>166</v>
      </c>
      <c r="E754" s="13" t="s">
        <v>1414</v>
      </c>
      <c r="F754" s="13"/>
      <c r="G754" s="13"/>
      <c r="H754" s="31"/>
      <c r="I754" s="33" t="n">
        <v>45854.4886280208</v>
      </c>
      <c r="J754" s="33" t="n">
        <v>45854.4886280208</v>
      </c>
      <c r="K754" s="13" t="s">
        <v>153</v>
      </c>
      <c r="L754" s="13"/>
      <c r="M754" s="13" t="s">
        <v>2308</v>
      </c>
      <c r="N754" s="33" t="n">
        <v>46308.7264460648</v>
      </c>
    </row>
    <row r="755" customFormat="false" ht="15" hidden="false" customHeight="false" outlineLevel="0" collapsed="false">
      <c r="A755" s="13" t="s">
        <v>2309</v>
      </c>
      <c r="B755" s="13" t="s">
        <v>57</v>
      </c>
      <c r="C755" s="13" t="s">
        <v>185</v>
      </c>
      <c r="D755" s="13" t="s">
        <v>166</v>
      </c>
      <c r="E755" s="13" t="s">
        <v>981</v>
      </c>
      <c r="F755" s="13"/>
      <c r="G755" s="13"/>
      <c r="H755" s="31"/>
      <c r="I755" s="33" t="n">
        <v>45854.487729213</v>
      </c>
      <c r="J755" s="33" t="n">
        <v>45854.487729213</v>
      </c>
      <c r="K755" s="13" t="s">
        <v>153</v>
      </c>
      <c r="L755" s="13"/>
      <c r="M755" s="13" t="s">
        <v>2310</v>
      </c>
      <c r="N755" s="33" t="n">
        <v>46308.7264460648</v>
      </c>
    </row>
    <row r="756" customFormat="false" ht="15" hidden="false" customHeight="false" outlineLevel="0" collapsed="false">
      <c r="A756" s="13" t="s">
        <v>2311</v>
      </c>
      <c r="B756" s="13" t="s">
        <v>57</v>
      </c>
      <c r="C756" s="13" t="s">
        <v>695</v>
      </c>
      <c r="D756" s="13" t="s">
        <v>166</v>
      </c>
      <c r="E756" s="13" t="s">
        <v>696</v>
      </c>
      <c r="F756" s="13"/>
      <c r="G756" s="13"/>
      <c r="H756" s="31"/>
      <c r="I756" s="33" t="n">
        <v>45854.4022951273</v>
      </c>
      <c r="J756" s="33" t="n">
        <v>45854.4022951273</v>
      </c>
      <c r="K756" s="13" t="s">
        <v>153</v>
      </c>
      <c r="L756" s="13"/>
      <c r="M756" s="13" t="s">
        <v>2312</v>
      </c>
      <c r="N756" s="33" t="n">
        <v>46308.7264460648</v>
      </c>
    </row>
    <row r="757" customFormat="false" ht="15" hidden="false" customHeight="false" outlineLevel="0" collapsed="false">
      <c r="A757" s="13" t="s">
        <v>2313</v>
      </c>
      <c r="B757" s="13" t="s">
        <v>57</v>
      </c>
      <c r="C757" s="13" t="s">
        <v>695</v>
      </c>
      <c r="D757" s="13" t="s">
        <v>166</v>
      </c>
      <c r="E757" s="13" t="s">
        <v>696</v>
      </c>
      <c r="F757" s="13"/>
      <c r="G757" s="13"/>
      <c r="H757" s="31"/>
      <c r="I757" s="33" t="n">
        <v>45854.4012490394</v>
      </c>
      <c r="J757" s="33" t="n">
        <v>45854.4012490394</v>
      </c>
      <c r="K757" s="13" t="s">
        <v>153</v>
      </c>
      <c r="L757" s="13"/>
      <c r="M757" s="13" t="s">
        <v>2314</v>
      </c>
      <c r="N757" s="33" t="n">
        <v>46308.7264460648</v>
      </c>
    </row>
    <row r="758" customFormat="false" ht="15" hidden="false" customHeight="false" outlineLevel="0" collapsed="false">
      <c r="A758" s="13" t="s">
        <v>2315</v>
      </c>
      <c r="B758" s="13" t="s">
        <v>57</v>
      </c>
      <c r="C758" s="13" t="s">
        <v>2316</v>
      </c>
      <c r="D758" s="13" t="s">
        <v>166</v>
      </c>
      <c r="E758" s="13" t="s">
        <v>95</v>
      </c>
      <c r="F758" s="13"/>
      <c r="G758" s="13" t="s">
        <v>189</v>
      </c>
      <c r="H758" s="31"/>
      <c r="I758" s="33" t="n">
        <v>45848.7157501968</v>
      </c>
      <c r="J758" s="33" t="n">
        <v>45848.7157501968</v>
      </c>
      <c r="K758" s="13" t="s">
        <v>153</v>
      </c>
      <c r="L758" s="13"/>
      <c r="M758" s="13" t="s">
        <v>2317</v>
      </c>
      <c r="N758" s="33" t="n">
        <v>46308.7264460648</v>
      </c>
    </row>
    <row r="759" customFormat="false" ht="15" hidden="false" customHeight="false" outlineLevel="0" collapsed="false">
      <c r="A759" s="13" t="s">
        <v>2318</v>
      </c>
      <c r="B759" s="13" t="s">
        <v>57</v>
      </c>
      <c r="C759" s="13" t="s">
        <v>2319</v>
      </c>
      <c r="D759" s="13" t="s">
        <v>166</v>
      </c>
      <c r="E759" s="13"/>
      <c r="F759" s="13"/>
      <c r="G759" s="13" t="s">
        <v>207</v>
      </c>
      <c r="H759" s="31"/>
      <c r="I759" s="33" t="n">
        <v>45848.6855031713</v>
      </c>
      <c r="J759" s="33" t="n">
        <v>45848.6855031713</v>
      </c>
      <c r="K759" s="13" t="s">
        <v>153</v>
      </c>
      <c r="L759" s="13"/>
      <c r="M759" s="13" t="s">
        <v>2320</v>
      </c>
      <c r="N759" s="33" t="n">
        <v>46308.7264460648</v>
      </c>
    </row>
    <row r="760" customFormat="false" ht="15" hidden="false" customHeight="false" outlineLevel="0" collapsed="false">
      <c r="A760" s="13" t="s">
        <v>2321</v>
      </c>
      <c r="B760" s="13" t="s">
        <v>57</v>
      </c>
      <c r="C760" s="13" t="s">
        <v>258</v>
      </c>
      <c r="D760" s="13" t="s">
        <v>166</v>
      </c>
      <c r="E760" s="13" t="s">
        <v>259</v>
      </c>
      <c r="F760" s="13"/>
      <c r="G760" s="13"/>
      <c r="H760" s="31"/>
      <c r="I760" s="33" t="n">
        <v>45848.6182737963</v>
      </c>
      <c r="J760" s="33" t="n">
        <v>45848.6181649421</v>
      </c>
      <c r="K760" s="13" t="s">
        <v>153</v>
      </c>
      <c r="L760" s="13"/>
      <c r="M760" s="13" t="s">
        <v>2322</v>
      </c>
      <c r="N760" s="33" t="n">
        <v>46308.7264460648</v>
      </c>
    </row>
    <row r="761" customFormat="false" ht="15" hidden="false" customHeight="false" outlineLevel="0" collapsed="false">
      <c r="A761" s="13" t="s">
        <v>2323</v>
      </c>
      <c r="B761" s="13" t="s">
        <v>57</v>
      </c>
      <c r="C761" s="13" t="s">
        <v>2324</v>
      </c>
      <c r="D761" s="13" t="s">
        <v>166</v>
      </c>
      <c r="E761" s="13" t="s">
        <v>95</v>
      </c>
      <c r="F761" s="13"/>
      <c r="G761" s="13"/>
      <c r="H761" s="31"/>
      <c r="I761" s="33" t="n">
        <v>45848.4683981829</v>
      </c>
      <c r="J761" s="33" t="n">
        <v>45848.4683981829</v>
      </c>
      <c r="K761" s="13" t="s">
        <v>153</v>
      </c>
      <c r="L761" s="13"/>
      <c r="M761" s="13" t="s">
        <v>2325</v>
      </c>
      <c r="N761" s="33" t="n">
        <v>46308.7264460648</v>
      </c>
    </row>
    <row r="762" customFormat="false" ht="15" hidden="false" customHeight="false" outlineLevel="0" collapsed="false">
      <c r="A762" s="13" t="s">
        <v>2326</v>
      </c>
      <c r="B762" s="13" t="s">
        <v>57</v>
      </c>
      <c r="C762" s="13" t="s">
        <v>1278</v>
      </c>
      <c r="D762" s="13" t="s">
        <v>166</v>
      </c>
      <c r="E762" s="13"/>
      <c r="F762" s="13"/>
      <c r="G762" s="13"/>
      <c r="H762" s="31"/>
      <c r="I762" s="33" t="n">
        <v>45848.4683981829</v>
      </c>
      <c r="J762" s="33" t="n">
        <v>45848.4683981829</v>
      </c>
      <c r="K762" s="13" t="s">
        <v>153</v>
      </c>
      <c r="L762" s="13"/>
      <c r="M762" s="13" t="s">
        <v>2327</v>
      </c>
      <c r="N762" s="33" t="n">
        <v>46308.7264460648</v>
      </c>
    </row>
    <row r="763" customFormat="false" ht="15" hidden="false" customHeight="false" outlineLevel="0" collapsed="false">
      <c r="A763" s="13" t="s">
        <v>2328</v>
      </c>
      <c r="B763" s="13" t="s">
        <v>57</v>
      </c>
      <c r="C763" s="13" t="s">
        <v>2329</v>
      </c>
      <c r="D763" s="13" t="s">
        <v>166</v>
      </c>
      <c r="E763" s="13"/>
      <c r="F763" s="13"/>
      <c r="G763" s="13"/>
      <c r="H763" s="31"/>
      <c r="I763" s="33" t="n">
        <v>45848.4671983102</v>
      </c>
      <c r="J763" s="33" t="n">
        <v>45848.4671983102</v>
      </c>
      <c r="K763" s="13" t="s">
        <v>153</v>
      </c>
      <c r="L763" s="13"/>
      <c r="M763" s="13" t="s">
        <v>2330</v>
      </c>
      <c r="N763" s="33" t="n">
        <v>46308.7264460648</v>
      </c>
    </row>
    <row r="764" customFormat="false" ht="15" hidden="false" customHeight="false" outlineLevel="0" collapsed="false">
      <c r="A764" s="13" t="s">
        <v>2331</v>
      </c>
      <c r="B764" s="13" t="s">
        <v>57</v>
      </c>
      <c r="C764" s="13" t="s">
        <v>702</v>
      </c>
      <c r="D764" s="13" t="s">
        <v>166</v>
      </c>
      <c r="E764" s="13"/>
      <c r="F764" s="13"/>
      <c r="G764" s="13"/>
      <c r="H764" s="31"/>
      <c r="I764" s="33" t="n">
        <v>45848.4662845949</v>
      </c>
      <c r="J764" s="33" t="n">
        <v>45848.4662845949</v>
      </c>
      <c r="K764" s="13" t="s">
        <v>153</v>
      </c>
      <c r="L764" s="13"/>
      <c r="M764" s="13" t="s">
        <v>2332</v>
      </c>
      <c r="N764" s="33" t="n">
        <v>46308.7264460648</v>
      </c>
    </row>
    <row r="765" customFormat="false" ht="15" hidden="false" customHeight="false" outlineLevel="0" collapsed="false">
      <c r="A765" s="13" t="s">
        <v>2333</v>
      </c>
      <c r="B765" s="13" t="s">
        <v>57</v>
      </c>
      <c r="C765" s="13" t="s">
        <v>2334</v>
      </c>
      <c r="D765" s="13" t="s">
        <v>166</v>
      </c>
      <c r="E765" s="13" t="s">
        <v>1044</v>
      </c>
      <c r="F765" s="13"/>
      <c r="G765" s="13"/>
      <c r="H765" s="31"/>
      <c r="I765" s="33" t="n">
        <v>45848.4662845949</v>
      </c>
      <c r="J765" s="33" t="n">
        <v>45848.4662845949</v>
      </c>
      <c r="K765" s="13" t="s">
        <v>153</v>
      </c>
      <c r="L765" s="13"/>
      <c r="M765" s="13" t="s">
        <v>2335</v>
      </c>
      <c r="N765" s="33" t="n">
        <v>46308.7264460648</v>
      </c>
    </row>
    <row r="766" customFormat="false" ht="15" hidden="false" customHeight="false" outlineLevel="0" collapsed="false">
      <c r="A766" s="13" t="s">
        <v>2336</v>
      </c>
      <c r="B766" s="13" t="s">
        <v>57</v>
      </c>
      <c r="C766" s="13" t="s">
        <v>1278</v>
      </c>
      <c r="D766" s="13" t="s">
        <v>166</v>
      </c>
      <c r="E766" s="13"/>
      <c r="F766" s="13"/>
      <c r="G766" s="13"/>
      <c r="H766" s="31"/>
      <c r="I766" s="33" t="n">
        <v>45848.4623128125</v>
      </c>
      <c r="J766" s="33" t="n">
        <v>45848.4623128125</v>
      </c>
      <c r="K766" s="13" t="s">
        <v>153</v>
      </c>
      <c r="L766" s="13"/>
      <c r="M766" s="13" t="s">
        <v>2337</v>
      </c>
      <c r="N766" s="33" t="n">
        <v>46308.7264460648</v>
      </c>
    </row>
    <row r="767" customFormat="false" ht="15" hidden="false" customHeight="false" outlineLevel="0" collapsed="false">
      <c r="A767" s="13" t="s">
        <v>2338</v>
      </c>
      <c r="B767" s="13" t="s">
        <v>57</v>
      </c>
      <c r="C767" s="13" t="s">
        <v>258</v>
      </c>
      <c r="D767" s="13" t="s">
        <v>166</v>
      </c>
      <c r="E767" s="13" t="s">
        <v>699</v>
      </c>
      <c r="F767" s="13" t="s">
        <v>736</v>
      </c>
      <c r="G767" s="13"/>
      <c r="H767" s="31"/>
      <c r="I767" s="33" t="n">
        <v>45848.4620028357</v>
      </c>
      <c r="J767" s="33" t="n">
        <v>45848.4620028357</v>
      </c>
      <c r="K767" s="13" t="s">
        <v>153</v>
      </c>
      <c r="L767" s="13" t="s">
        <v>117</v>
      </c>
      <c r="M767" s="13" t="s">
        <v>2339</v>
      </c>
      <c r="N767" s="33" t="n">
        <v>46308.7264460648</v>
      </c>
    </row>
    <row r="768" customFormat="false" ht="15" hidden="false" customHeight="false" outlineLevel="0" collapsed="false">
      <c r="A768" s="13" t="s">
        <v>2340</v>
      </c>
      <c r="B768" s="13" t="s">
        <v>57</v>
      </c>
      <c r="C768" s="13" t="s">
        <v>702</v>
      </c>
      <c r="D768" s="13" t="s">
        <v>166</v>
      </c>
      <c r="E768" s="13"/>
      <c r="F768" s="13"/>
      <c r="G768" s="13"/>
      <c r="H768" s="31"/>
      <c r="I768" s="33" t="n">
        <v>45848.4620028357</v>
      </c>
      <c r="J768" s="33" t="n">
        <v>45848.4620028357</v>
      </c>
      <c r="K768" s="13" t="s">
        <v>153</v>
      </c>
      <c r="L768" s="13"/>
      <c r="M768" s="13" t="s">
        <v>2341</v>
      </c>
      <c r="N768" s="33" t="n">
        <v>46308.7264460648</v>
      </c>
    </row>
    <row r="769" customFormat="false" ht="15" hidden="false" customHeight="false" outlineLevel="0" collapsed="false">
      <c r="A769" s="13" t="s">
        <v>2342</v>
      </c>
      <c r="B769" s="13" t="s">
        <v>57</v>
      </c>
      <c r="C769" s="13" t="s">
        <v>2343</v>
      </c>
      <c r="D769" s="13" t="s">
        <v>166</v>
      </c>
      <c r="E769" s="13"/>
      <c r="F769" s="13"/>
      <c r="G769" s="13"/>
      <c r="H769" s="31"/>
      <c r="I769" s="33" t="n">
        <v>45848.4620028357</v>
      </c>
      <c r="J769" s="33" t="n">
        <v>45848.4620028357</v>
      </c>
      <c r="K769" s="13" t="s">
        <v>153</v>
      </c>
      <c r="L769" s="13"/>
      <c r="M769" s="13" t="s">
        <v>2344</v>
      </c>
      <c r="N769" s="33" t="n">
        <v>46308.7264460648</v>
      </c>
    </row>
    <row r="770" customFormat="false" ht="15" hidden="false" customHeight="false" outlineLevel="0" collapsed="false">
      <c r="A770" s="13" t="s">
        <v>2345</v>
      </c>
      <c r="B770" s="13" t="s">
        <v>57</v>
      </c>
      <c r="C770" s="13" t="s">
        <v>1278</v>
      </c>
      <c r="D770" s="13" t="s">
        <v>166</v>
      </c>
      <c r="E770" s="13"/>
      <c r="F770" s="13"/>
      <c r="G770" s="13"/>
      <c r="H770" s="31"/>
      <c r="I770" s="33" t="n">
        <v>45848.4616982176</v>
      </c>
      <c r="J770" s="33" t="n">
        <v>45848.4616982176</v>
      </c>
      <c r="K770" s="13" t="s">
        <v>153</v>
      </c>
      <c r="L770" s="13"/>
      <c r="M770" s="13" t="s">
        <v>2346</v>
      </c>
      <c r="N770" s="33" t="n">
        <v>46308.7264460648</v>
      </c>
    </row>
    <row r="771" customFormat="false" ht="15" hidden="false" customHeight="false" outlineLevel="0" collapsed="false">
      <c r="A771" s="13" t="s">
        <v>2347</v>
      </c>
      <c r="B771" s="13" t="s">
        <v>57</v>
      </c>
      <c r="C771" s="13" t="s">
        <v>1278</v>
      </c>
      <c r="D771" s="13" t="s">
        <v>166</v>
      </c>
      <c r="E771" s="13"/>
      <c r="F771" s="13"/>
      <c r="G771" s="13"/>
      <c r="H771" s="31"/>
      <c r="I771" s="33" t="n">
        <v>45848.4616982176</v>
      </c>
      <c r="J771" s="33" t="n">
        <v>45848.4616982176</v>
      </c>
      <c r="K771" s="13" t="s">
        <v>153</v>
      </c>
      <c r="L771" s="13"/>
      <c r="M771" s="13" t="s">
        <v>2348</v>
      </c>
      <c r="N771" s="33" t="n">
        <v>46308.7264460648</v>
      </c>
    </row>
    <row r="772" customFormat="false" ht="15" hidden="false" customHeight="false" outlineLevel="0" collapsed="false">
      <c r="A772" s="13" t="s">
        <v>2349</v>
      </c>
      <c r="B772" s="13" t="s">
        <v>57</v>
      </c>
      <c r="C772" s="13" t="s">
        <v>1278</v>
      </c>
      <c r="D772" s="13" t="s">
        <v>166</v>
      </c>
      <c r="E772" s="13"/>
      <c r="F772" s="13"/>
      <c r="G772" s="13"/>
      <c r="H772" s="31"/>
      <c r="I772" s="33" t="n">
        <v>45848.4616982176</v>
      </c>
      <c r="J772" s="33" t="n">
        <v>45848.4616982176</v>
      </c>
      <c r="K772" s="13" t="s">
        <v>153</v>
      </c>
      <c r="L772" s="13"/>
      <c r="M772" s="13" t="s">
        <v>2350</v>
      </c>
      <c r="N772" s="33" t="n">
        <v>46308.7264460648</v>
      </c>
    </row>
    <row r="773" customFormat="false" ht="15" hidden="false" customHeight="false" outlineLevel="0" collapsed="false">
      <c r="A773" s="13" t="s">
        <v>2351</v>
      </c>
      <c r="B773" s="13" t="s">
        <v>57</v>
      </c>
      <c r="C773" s="13" t="s">
        <v>2352</v>
      </c>
      <c r="D773" s="13" t="s">
        <v>166</v>
      </c>
      <c r="E773" s="13" t="s">
        <v>928</v>
      </c>
      <c r="F773" s="13"/>
      <c r="G773" s="13" t="s">
        <v>207</v>
      </c>
      <c r="H773" s="31"/>
      <c r="I773" s="33" t="n">
        <v>45848.4616982176</v>
      </c>
      <c r="J773" s="33" t="n">
        <v>45848.4616982176</v>
      </c>
      <c r="K773" s="13" t="s">
        <v>153</v>
      </c>
      <c r="L773" s="13"/>
      <c r="M773" s="13" t="s">
        <v>2353</v>
      </c>
      <c r="N773" s="33" t="n">
        <v>46308.7264460648</v>
      </c>
    </row>
    <row r="774" customFormat="false" ht="15" hidden="false" customHeight="false" outlineLevel="0" collapsed="false">
      <c r="A774" s="13" t="s">
        <v>2354</v>
      </c>
      <c r="B774" s="13" t="s">
        <v>57</v>
      </c>
      <c r="C774" s="13" t="s">
        <v>2355</v>
      </c>
      <c r="D774" s="13" t="s">
        <v>166</v>
      </c>
      <c r="E774" s="13" t="s">
        <v>928</v>
      </c>
      <c r="F774" s="13"/>
      <c r="G774" s="13" t="s">
        <v>207</v>
      </c>
      <c r="H774" s="31"/>
      <c r="I774" s="33" t="n">
        <v>45848.4616982176</v>
      </c>
      <c r="J774" s="33" t="n">
        <v>45848.4616982176</v>
      </c>
      <c r="K774" s="13" t="s">
        <v>153</v>
      </c>
      <c r="L774" s="13"/>
      <c r="M774" s="13" t="s">
        <v>2356</v>
      </c>
      <c r="N774" s="33" t="n">
        <v>46308.7264460648</v>
      </c>
    </row>
    <row r="775" customFormat="false" ht="15" hidden="false" customHeight="false" outlineLevel="0" collapsed="false">
      <c r="A775" s="13" t="s">
        <v>2357</v>
      </c>
      <c r="B775" s="13" t="s">
        <v>57</v>
      </c>
      <c r="C775" s="13" t="s">
        <v>2358</v>
      </c>
      <c r="D775" s="13" t="s">
        <v>166</v>
      </c>
      <c r="E775" s="13" t="s">
        <v>928</v>
      </c>
      <c r="F775" s="13"/>
      <c r="G775" s="13" t="s">
        <v>207</v>
      </c>
      <c r="H775" s="31"/>
      <c r="I775" s="33" t="n">
        <v>45848.4616982176</v>
      </c>
      <c r="J775" s="33" t="n">
        <v>45848.4616982176</v>
      </c>
      <c r="K775" s="13" t="s">
        <v>153</v>
      </c>
      <c r="L775" s="13"/>
      <c r="M775" s="13" t="s">
        <v>2359</v>
      </c>
      <c r="N775" s="33" t="n">
        <v>46308.7264460648</v>
      </c>
    </row>
    <row r="776" customFormat="false" ht="15" hidden="false" customHeight="false" outlineLevel="0" collapsed="false">
      <c r="A776" s="13" t="s">
        <v>2360</v>
      </c>
      <c r="B776" s="13" t="s">
        <v>57</v>
      </c>
      <c r="C776" s="13" t="s">
        <v>2361</v>
      </c>
      <c r="D776" s="13" t="s">
        <v>166</v>
      </c>
      <c r="E776" s="13" t="s">
        <v>928</v>
      </c>
      <c r="F776" s="13"/>
      <c r="G776" s="13" t="s">
        <v>207</v>
      </c>
      <c r="H776" s="31"/>
      <c r="I776" s="33" t="n">
        <v>45848.4616982176</v>
      </c>
      <c r="J776" s="33" t="n">
        <v>45848.4616982176</v>
      </c>
      <c r="K776" s="13" t="s">
        <v>153</v>
      </c>
      <c r="L776" s="13"/>
      <c r="M776" s="13" t="s">
        <v>2362</v>
      </c>
      <c r="N776" s="33" t="n">
        <v>46308.7264460648</v>
      </c>
    </row>
    <row r="777" customFormat="false" ht="15" hidden="false" customHeight="false" outlineLevel="0" collapsed="false">
      <c r="A777" s="13" t="s">
        <v>2363</v>
      </c>
      <c r="B777" s="13" t="s">
        <v>57</v>
      </c>
      <c r="C777" s="13" t="s">
        <v>2364</v>
      </c>
      <c r="D777" s="13" t="s">
        <v>166</v>
      </c>
      <c r="E777" s="13" t="s">
        <v>928</v>
      </c>
      <c r="F777" s="13"/>
      <c r="G777" s="13" t="s">
        <v>207</v>
      </c>
      <c r="H777" s="31"/>
      <c r="I777" s="33" t="n">
        <v>45848.4616982176</v>
      </c>
      <c r="J777" s="33" t="n">
        <v>45848.4616982176</v>
      </c>
      <c r="K777" s="13" t="s">
        <v>153</v>
      </c>
      <c r="L777" s="13"/>
      <c r="M777" s="13" t="s">
        <v>2365</v>
      </c>
      <c r="N777" s="33" t="n">
        <v>46308.7264460648</v>
      </c>
    </row>
    <row r="778" customFormat="false" ht="15" hidden="false" customHeight="false" outlineLevel="0" collapsed="false">
      <c r="A778" s="13" t="s">
        <v>2366</v>
      </c>
      <c r="B778" s="13" t="s">
        <v>57</v>
      </c>
      <c r="C778" s="13" t="s">
        <v>1620</v>
      </c>
      <c r="D778" s="13" t="s">
        <v>166</v>
      </c>
      <c r="E778" s="13" t="s">
        <v>95</v>
      </c>
      <c r="F778" s="13"/>
      <c r="G778" s="13"/>
      <c r="H778" s="31"/>
      <c r="I778" s="33" t="n">
        <v>45848.377961331</v>
      </c>
      <c r="J778" s="33" t="n">
        <v>45848.377961331</v>
      </c>
      <c r="K778" s="13" t="s">
        <v>153</v>
      </c>
      <c r="L778" s="13"/>
      <c r="M778" s="13" t="s">
        <v>2367</v>
      </c>
      <c r="N778" s="33" t="n">
        <v>46308.7264460648</v>
      </c>
    </row>
    <row r="779" customFormat="false" ht="15" hidden="false" customHeight="false" outlineLevel="0" collapsed="false">
      <c r="A779" s="13" t="s">
        <v>2368</v>
      </c>
      <c r="B779" s="13" t="s">
        <v>57</v>
      </c>
      <c r="C779" s="13" t="s">
        <v>695</v>
      </c>
      <c r="D779" s="13" t="s">
        <v>166</v>
      </c>
      <c r="E779" s="13" t="s">
        <v>696</v>
      </c>
      <c r="F779" s="13"/>
      <c r="G779" s="13"/>
      <c r="H779" s="31"/>
      <c r="I779" s="33" t="n">
        <v>45847.707269537</v>
      </c>
      <c r="J779" s="33" t="n">
        <v>45847.7072678009</v>
      </c>
      <c r="K779" s="13" t="s">
        <v>153</v>
      </c>
      <c r="L779" s="13"/>
      <c r="M779" s="13" t="s">
        <v>2369</v>
      </c>
      <c r="N779" s="33" t="n">
        <v>46308.7264460648</v>
      </c>
    </row>
    <row r="780" customFormat="false" ht="15" hidden="false" customHeight="false" outlineLevel="0" collapsed="false">
      <c r="A780" s="13" t="s">
        <v>2370</v>
      </c>
      <c r="B780" s="13" t="s">
        <v>57</v>
      </c>
      <c r="C780" s="13" t="s">
        <v>258</v>
      </c>
      <c r="D780" s="13" t="s">
        <v>166</v>
      </c>
      <c r="E780" s="13" t="s">
        <v>259</v>
      </c>
      <c r="F780" s="13"/>
      <c r="G780" s="13"/>
      <c r="H780" s="31"/>
      <c r="I780" s="33" t="n">
        <v>45847.6817334259</v>
      </c>
      <c r="J780" s="33" t="n">
        <v>45847.6817334259</v>
      </c>
      <c r="K780" s="13" t="s">
        <v>153</v>
      </c>
      <c r="L780" s="13"/>
      <c r="M780" s="13" t="s">
        <v>2371</v>
      </c>
      <c r="N780" s="33" t="n">
        <v>46308.7264460648</v>
      </c>
    </row>
    <row r="781" customFormat="false" ht="15" hidden="false" customHeight="false" outlineLevel="0" collapsed="false">
      <c r="A781" s="13" t="s">
        <v>2372</v>
      </c>
      <c r="B781" s="13" t="s">
        <v>57</v>
      </c>
      <c r="C781" s="13" t="s">
        <v>695</v>
      </c>
      <c r="D781" s="13" t="s">
        <v>166</v>
      </c>
      <c r="E781" s="13" t="s">
        <v>696</v>
      </c>
      <c r="F781" s="13"/>
      <c r="G781" s="13"/>
      <c r="H781" s="31"/>
      <c r="I781" s="33" t="n">
        <v>45847.6435816319</v>
      </c>
      <c r="J781" s="33" t="n">
        <v>45847.6435785648</v>
      </c>
      <c r="K781" s="13" t="s">
        <v>153</v>
      </c>
      <c r="L781" s="13"/>
      <c r="M781" s="13" t="s">
        <v>2373</v>
      </c>
      <c r="N781" s="33" t="n">
        <v>46308.7264460648</v>
      </c>
    </row>
    <row r="782" customFormat="false" ht="15" hidden="false" customHeight="false" outlineLevel="0" collapsed="false">
      <c r="A782" s="13" t="s">
        <v>2374</v>
      </c>
      <c r="B782" s="13" t="s">
        <v>57</v>
      </c>
      <c r="C782" s="13" t="s">
        <v>185</v>
      </c>
      <c r="D782" s="13" t="s">
        <v>166</v>
      </c>
      <c r="E782" s="13" t="s">
        <v>981</v>
      </c>
      <c r="F782" s="13"/>
      <c r="G782" s="13"/>
      <c r="H782" s="31"/>
      <c r="I782" s="33" t="n">
        <v>45847.6015858449</v>
      </c>
      <c r="J782" s="33" t="n">
        <v>45847.6015858449</v>
      </c>
      <c r="K782" s="13" t="s">
        <v>153</v>
      </c>
      <c r="L782" s="13"/>
      <c r="M782" s="13" t="s">
        <v>2375</v>
      </c>
      <c r="N782" s="33" t="n">
        <v>46308.7264460648</v>
      </c>
    </row>
    <row r="783" customFormat="false" ht="15" hidden="false" customHeight="false" outlineLevel="0" collapsed="false">
      <c r="A783" s="13" t="s">
        <v>2376</v>
      </c>
      <c r="B783" s="13" t="s">
        <v>57</v>
      </c>
      <c r="C783" s="13" t="s">
        <v>2377</v>
      </c>
      <c r="D783" s="13" t="s">
        <v>166</v>
      </c>
      <c r="E783" s="13" t="s">
        <v>1044</v>
      </c>
      <c r="F783" s="13"/>
      <c r="G783" s="13"/>
      <c r="H783" s="31"/>
      <c r="I783" s="33" t="n">
        <v>45847.6015858449</v>
      </c>
      <c r="J783" s="33" t="n">
        <v>45847.6015858449</v>
      </c>
      <c r="K783" s="13" t="s">
        <v>153</v>
      </c>
      <c r="L783" s="13"/>
      <c r="M783" s="13" t="s">
        <v>2378</v>
      </c>
      <c r="N783" s="33" t="n">
        <v>46308.7264460648</v>
      </c>
    </row>
    <row r="784" customFormat="false" ht="15" hidden="false" customHeight="false" outlineLevel="0" collapsed="false">
      <c r="A784" s="13" t="s">
        <v>2379</v>
      </c>
      <c r="B784" s="13" t="s">
        <v>57</v>
      </c>
      <c r="C784" s="13" t="s">
        <v>702</v>
      </c>
      <c r="D784" s="13" t="s">
        <v>166</v>
      </c>
      <c r="E784" s="13"/>
      <c r="F784" s="13"/>
      <c r="G784" s="13"/>
      <c r="H784" s="31"/>
      <c r="I784" s="33" t="n">
        <v>45847.6002564699</v>
      </c>
      <c r="J784" s="33" t="n">
        <v>45847.6002564699</v>
      </c>
      <c r="K784" s="13" t="s">
        <v>153</v>
      </c>
      <c r="L784" s="13"/>
      <c r="M784" s="13" t="s">
        <v>2380</v>
      </c>
      <c r="N784" s="33" t="n">
        <v>46308.7264460648</v>
      </c>
    </row>
    <row r="785" customFormat="false" ht="15" hidden="false" customHeight="false" outlineLevel="0" collapsed="false">
      <c r="A785" s="13" t="s">
        <v>2381</v>
      </c>
      <c r="B785" s="13" t="s">
        <v>57</v>
      </c>
      <c r="C785" s="13" t="s">
        <v>2382</v>
      </c>
      <c r="D785" s="13" t="s">
        <v>166</v>
      </c>
      <c r="E785" s="13" t="s">
        <v>928</v>
      </c>
      <c r="F785" s="13"/>
      <c r="G785" s="13"/>
      <c r="H785" s="31"/>
      <c r="I785" s="33" t="n">
        <v>45847.6002564699</v>
      </c>
      <c r="J785" s="33" t="n">
        <v>45847.6002564699</v>
      </c>
      <c r="K785" s="13" t="s">
        <v>153</v>
      </c>
      <c r="L785" s="13"/>
      <c r="M785" s="13" t="s">
        <v>2383</v>
      </c>
      <c r="N785" s="33" t="n">
        <v>46308.7264460648</v>
      </c>
    </row>
    <row r="786" customFormat="false" ht="15" hidden="false" customHeight="false" outlineLevel="0" collapsed="false">
      <c r="A786" s="13" t="s">
        <v>2384</v>
      </c>
      <c r="B786" s="13" t="s">
        <v>57</v>
      </c>
      <c r="C786" s="13" t="s">
        <v>2385</v>
      </c>
      <c r="D786" s="13" t="s">
        <v>166</v>
      </c>
      <c r="E786" s="13" t="s">
        <v>95</v>
      </c>
      <c r="F786" s="13"/>
      <c r="G786" s="13"/>
      <c r="H786" s="31"/>
      <c r="I786" s="33" t="n">
        <v>45847.5576913079</v>
      </c>
      <c r="J786" s="33" t="n">
        <v>45847.5576913079</v>
      </c>
      <c r="K786" s="13" t="s">
        <v>153</v>
      </c>
      <c r="L786" s="13"/>
      <c r="M786" s="13" t="s">
        <v>2386</v>
      </c>
      <c r="N786" s="33" t="n">
        <v>46308.7264460648</v>
      </c>
    </row>
    <row r="787" customFormat="false" ht="15" hidden="false" customHeight="false" outlineLevel="0" collapsed="false">
      <c r="A787" s="13" t="s">
        <v>2387</v>
      </c>
      <c r="B787" s="13" t="s">
        <v>57</v>
      </c>
      <c r="C787" s="13" t="s">
        <v>1278</v>
      </c>
      <c r="D787" s="13" t="s">
        <v>166</v>
      </c>
      <c r="E787" s="13"/>
      <c r="F787" s="13"/>
      <c r="G787" s="13"/>
      <c r="H787" s="31"/>
      <c r="I787" s="33" t="n">
        <v>45847.4761465278</v>
      </c>
      <c r="J787" s="33" t="n">
        <v>45847.4761465278</v>
      </c>
      <c r="K787" s="13" t="s">
        <v>153</v>
      </c>
      <c r="L787" s="13"/>
      <c r="M787" s="13" t="s">
        <v>2388</v>
      </c>
      <c r="N787" s="33" t="n">
        <v>46308.7264460648</v>
      </c>
    </row>
    <row r="788" customFormat="false" ht="15" hidden="false" customHeight="false" outlineLevel="0" collapsed="false">
      <c r="A788" s="13" t="s">
        <v>2389</v>
      </c>
      <c r="B788" s="13" t="s">
        <v>57</v>
      </c>
      <c r="C788" s="13" t="s">
        <v>2390</v>
      </c>
      <c r="D788" s="13" t="s">
        <v>166</v>
      </c>
      <c r="E788" s="13" t="s">
        <v>1044</v>
      </c>
      <c r="F788" s="13"/>
      <c r="G788" s="13"/>
      <c r="H788" s="31"/>
      <c r="I788" s="33" t="n">
        <v>45847.471784456</v>
      </c>
      <c r="J788" s="33" t="n">
        <v>45847.471784456</v>
      </c>
      <c r="K788" s="13" t="s">
        <v>153</v>
      </c>
      <c r="L788" s="13"/>
      <c r="M788" s="13" t="s">
        <v>2391</v>
      </c>
      <c r="N788" s="33" t="n">
        <v>46308.7264460648</v>
      </c>
    </row>
    <row r="789" customFormat="false" ht="15" hidden="false" customHeight="false" outlineLevel="0" collapsed="false">
      <c r="A789" s="13" t="s">
        <v>2392</v>
      </c>
      <c r="B789" s="13" t="s">
        <v>57</v>
      </c>
      <c r="C789" s="13" t="s">
        <v>702</v>
      </c>
      <c r="D789" s="13" t="s">
        <v>166</v>
      </c>
      <c r="E789" s="13"/>
      <c r="F789" s="13"/>
      <c r="G789" s="13"/>
      <c r="H789" s="31"/>
      <c r="I789" s="33" t="n">
        <v>45847.4716948727</v>
      </c>
      <c r="J789" s="33" t="n">
        <v>45847.4716948727</v>
      </c>
      <c r="K789" s="13" t="s">
        <v>153</v>
      </c>
      <c r="L789" s="13"/>
      <c r="M789" s="13" t="s">
        <v>2393</v>
      </c>
      <c r="N789" s="33" t="n">
        <v>46308.7264460648</v>
      </c>
    </row>
    <row r="790" customFormat="false" ht="15" hidden="false" customHeight="false" outlineLevel="0" collapsed="false">
      <c r="A790" s="13" t="s">
        <v>2394</v>
      </c>
      <c r="B790" s="13" t="s">
        <v>57</v>
      </c>
      <c r="C790" s="13" t="s">
        <v>258</v>
      </c>
      <c r="D790" s="13" t="s">
        <v>166</v>
      </c>
      <c r="E790" s="13" t="s">
        <v>1414</v>
      </c>
      <c r="F790" s="13"/>
      <c r="G790" s="13"/>
      <c r="H790" s="31"/>
      <c r="I790" s="33" t="n">
        <v>45847.4715364815</v>
      </c>
      <c r="J790" s="33" t="n">
        <v>45847.4715364815</v>
      </c>
      <c r="K790" s="13" t="s">
        <v>153</v>
      </c>
      <c r="L790" s="13"/>
      <c r="M790" s="13" t="s">
        <v>2395</v>
      </c>
      <c r="N790" s="33" t="n">
        <v>46308.7264460648</v>
      </c>
    </row>
    <row r="791" customFormat="false" ht="15" hidden="false" customHeight="false" outlineLevel="0" collapsed="false">
      <c r="A791" s="13" t="s">
        <v>2396</v>
      </c>
      <c r="B791" s="13" t="s">
        <v>57</v>
      </c>
      <c r="C791" s="13" t="s">
        <v>2397</v>
      </c>
      <c r="D791" s="13" t="s">
        <v>166</v>
      </c>
      <c r="E791" s="13" t="s">
        <v>928</v>
      </c>
      <c r="F791" s="13"/>
      <c r="G791" s="13"/>
      <c r="H791" s="31"/>
      <c r="I791" s="33" t="n">
        <v>45847.4539862732</v>
      </c>
      <c r="J791" s="33" t="n">
        <v>45847.4539862732</v>
      </c>
      <c r="K791" s="13" t="s">
        <v>153</v>
      </c>
      <c r="L791" s="13"/>
      <c r="M791" s="13" t="s">
        <v>2398</v>
      </c>
      <c r="N791" s="33" t="n">
        <v>46308.7264460648</v>
      </c>
    </row>
    <row r="792" customFormat="false" ht="15" hidden="false" customHeight="false" outlineLevel="0" collapsed="false">
      <c r="A792" s="13" t="s">
        <v>2399</v>
      </c>
      <c r="B792" s="13" t="s">
        <v>57</v>
      </c>
      <c r="C792" s="13" t="s">
        <v>1620</v>
      </c>
      <c r="D792" s="13" t="s">
        <v>166</v>
      </c>
      <c r="E792" s="13" t="s">
        <v>853</v>
      </c>
      <c r="F792" s="13"/>
      <c r="G792" s="13"/>
      <c r="H792" s="31"/>
      <c r="I792" s="33" t="n">
        <v>45847.4439054745</v>
      </c>
      <c r="J792" s="33" t="n">
        <v>45847.4439054745</v>
      </c>
      <c r="K792" s="13" t="s">
        <v>153</v>
      </c>
      <c r="L792" s="13"/>
      <c r="M792" s="13" t="s">
        <v>2400</v>
      </c>
      <c r="N792" s="33" t="n">
        <v>46308.7264460648</v>
      </c>
    </row>
    <row r="793" customFormat="false" ht="15" hidden="false" customHeight="false" outlineLevel="0" collapsed="false">
      <c r="A793" s="13" t="s">
        <v>2401</v>
      </c>
      <c r="B793" s="13" t="s">
        <v>57</v>
      </c>
      <c r="C793" s="13" t="s">
        <v>852</v>
      </c>
      <c r="D793" s="13" t="s">
        <v>166</v>
      </c>
      <c r="E793" s="13"/>
      <c r="F793" s="13"/>
      <c r="G793" s="13"/>
      <c r="H793" s="31"/>
      <c r="I793" s="33" t="n">
        <v>45847.4439054745</v>
      </c>
      <c r="J793" s="33" t="n">
        <v>45847.4439054745</v>
      </c>
      <c r="K793" s="13" t="s">
        <v>153</v>
      </c>
      <c r="L793" s="13"/>
      <c r="M793" s="13" t="s">
        <v>2402</v>
      </c>
      <c r="N793" s="33" t="n">
        <v>46308.7264460648</v>
      </c>
    </row>
    <row r="794" customFormat="false" ht="15" hidden="false" customHeight="false" outlineLevel="0" collapsed="false">
      <c r="A794" s="13" t="s">
        <v>2403</v>
      </c>
      <c r="B794" s="13" t="s">
        <v>57</v>
      </c>
      <c r="C794" s="13" t="s">
        <v>1732</v>
      </c>
      <c r="D794" s="13" t="s">
        <v>166</v>
      </c>
      <c r="E794" s="13" t="s">
        <v>699</v>
      </c>
      <c r="F794" s="13"/>
      <c r="G794" s="13"/>
      <c r="H794" s="31"/>
      <c r="I794" s="33" t="n">
        <v>45847.4439054745</v>
      </c>
      <c r="J794" s="33" t="n">
        <v>45847.4439054745</v>
      </c>
      <c r="K794" s="13" t="s">
        <v>153</v>
      </c>
      <c r="L794" s="13"/>
      <c r="M794" s="13" t="s">
        <v>2404</v>
      </c>
      <c r="N794" s="33" t="n">
        <v>46308.7264460648</v>
      </c>
    </row>
    <row r="795" customFormat="false" ht="15" hidden="false" customHeight="false" outlineLevel="0" collapsed="false">
      <c r="A795" s="13" t="s">
        <v>2405</v>
      </c>
      <c r="B795" s="13" t="s">
        <v>57</v>
      </c>
      <c r="C795" s="13" t="s">
        <v>702</v>
      </c>
      <c r="D795" s="13" t="s">
        <v>166</v>
      </c>
      <c r="E795" s="13"/>
      <c r="F795" s="13"/>
      <c r="G795" s="13"/>
      <c r="H795" s="31"/>
      <c r="I795" s="33" t="n">
        <v>45847.4439054745</v>
      </c>
      <c r="J795" s="33" t="n">
        <v>45847.4439054745</v>
      </c>
      <c r="K795" s="13" t="s">
        <v>153</v>
      </c>
      <c r="L795" s="13"/>
      <c r="M795" s="13" t="s">
        <v>2406</v>
      </c>
      <c r="N795" s="33" t="n">
        <v>46308.7264460648</v>
      </c>
    </row>
    <row r="796" customFormat="false" ht="15" hidden="false" customHeight="false" outlineLevel="0" collapsed="false">
      <c r="A796" s="13" t="s">
        <v>2407</v>
      </c>
      <c r="B796" s="13" t="s">
        <v>57</v>
      </c>
      <c r="C796" s="13" t="s">
        <v>2408</v>
      </c>
      <c r="D796" s="13" t="s">
        <v>166</v>
      </c>
      <c r="E796" s="13"/>
      <c r="F796" s="13"/>
      <c r="G796" s="13"/>
      <c r="H796" s="31"/>
      <c r="I796" s="33" t="n">
        <v>45847.4439054745</v>
      </c>
      <c r="J796" s="33" t="n">
        <v>45847.4439054745</v>
      </c>
      <c r="K796" s="13" t="s">
        <v>153</v>
      </c>
      <c r="L796" s="13"/>
      <c r="M796" s="13" t="s">
        <v>2409</v>
      </c>
      <c r="N796" s="33" t="n">
        <v>46308.7264460648</v>
      </c>
    </row>
    <row r="797" customFormat="false" ht="15" hidden="false" customHeight="false" outlineLevel="0" collapsed="false">
      <c r="A797" s="13" t="s">
        <v>2410</v>
      </c>
      <c r="B797" s="13" t="s">
        <v>57</v>
      </c>
      <c r="C797" s="13" t="s">
        <v>695</v>
      </c>
      <c r="D797" s="13" t="s">
        <v>166</v>
      </c>
      <c r="E797" s="13" t="s">
        <v>696</v>
      </c>
      <c r="F797" s="13"/>
      <c r="G797" s="13"/>
      <c r="H797" s="31"/>
      <c r="I797" s="33" t="n">
        <v>45846.6575576042</v>
      </c>
      <c r="J797" s="33" t="n">
        <v>45846.6575576042</v>
      </c>
      <c r="K797" s="13" t="s">
        <v>153</v>
      </c>
      <c r="L797" s="13"/>
      <c r="M797" s="13" t="s">
        <v>2411</v>
      </c>
      <c r="N797" s="33" t="n">
        <v>46308.7264460648</v>
      </c>
    </row>
    <row r="798" customFormat="false" ht="15" hidden="false" customHeight="false" outlineLevel="0" collapsed="false">
      <c r="A798" s="13" t="s">
        <v>2412</v>
      </c>
      <c r="B798" s="13" t="s">
        <v>57</v>
      </c>
      <c r="C798" s="13" t="s">
        <v>695</v>
      </c>
      <c r="D798" s="13" t="s">
        <v>166</v>
      </c>
      <c r="E798" s="13" t="s">
        <v>696</v>
      </c>
      <c r="F798" s="13"/>
      <c r="G798" s="13"/>
      <c r="H798" s="31"/>
      <c r="I798" s="33" t="n">
        <v>45846.6572344676</v>
      </c>
      <c r="J798" s="33" t="n">
        <v>45846.6572344676</v>
      </c>
      <c r="K798" s="13" t="s">
        <v>153</v>
      </c>
      <c r="L798" s="13"/>
      <c r="M798" s="13" t="s">
        <v>2413</v>
      </c>
      <c r="N798" s="33" t="n">
        <v>46308.7264460648</v>
      </c>
    </row>
    <row r="799" customFormat="false" ht="15" hidden="false" customHeight="false" outlineLevel="0" collapsed="false">
      <c r="A799" s="13" t="s">
        <v>2414</v>
      </c>
      <c r="B799" s="13" t="s">
        <v>57</v>
      </c>
      <c r="C799" s="13" t="s">
        <v>2385</v>
      </c>
      <c r="D799" s="13" t="s">
        <v>166</v>
      </c>
      <c r="E799" s="13" t="s">
        <v>95</v>
      </c>
      <c r="F799" s="13"/>
      <c r="G799" s="13"/>
      <c r="H799" s="31"/>
      <c r="I799" s="33" t="n">
        <v>45846.478127963</v>
      </c>
      <c r="J799" s="33" t="n">
        <v>45846.478127963</v>
      </c>
      <c r="K799" s="13" t="s">
        <v>153</v>
      </c>
      <c r="L799" s="13"/>
      <c r="M799" s="13" t="s">
        <v>2415</v>
      </c>
      <c r="N799" s="33" t="n">
        <v>46308.7264460648</v>
      </c>
    </row>
    <row r="800" customFormat="false" ht="15" hidden="false" customHeight="false" outlineLevel="0" collapsed="false">
      <c r="A800" s="13" t="s">
        <v>2416</v>
      </c>
      <c r="B800" s="13" t="s">
        <v>57</v>
      </c>
      <c r="C800" s="13" t="s">
        <v>1278</v>
      </c>
      <c r="D800" s="13" t="s">
        <v>166</v>
      </c>
      <c r="E800" s="13"/>
      <c r="F800" s="13"/>
      <c r="G800" s="13"/>
      <c r="H800" s="31"/>
      <c r="I800" s="33" t="n">
        <v>45846.478127963</v>
      </c>
      <c r="J800" s="33" t="n">
        <v>45846.478127963</v>
      </c>
      <c r="K800" s="13" t="s">
        <v>153</v>
      </c>
      <c r="L800" s="13"/>
      <c r="M800" s="13" t="s">
        <v>2417</v>
      </c>
      <c r="N800" s="33" t="n">
        <v>46308.7264460648</v>
      </c>
    </row>
    <row r="801" customFormat="false" ht="15" hidden="false" customHeight="false" outlineLevel="0" collapsed="false">
      <c r="A801" s="13" t="s">
        <v>2418</v>
      </c>
      <c r="B801" s="13" t="s">
        <v>57</v>
      </c>
      <c r="C801" s="13" t="s">
        <v>2419</v>
      </c>
      <c r="D801" s="13" t="s">
        <v>166</v>
      </c>
      <c r="E801" s="13" t="s">
        <v>95</v>
      </c>
      <c r="F801" s="13"/>
      <c r="G801" s="13" t="s">
        <v>207</v>
      </c>
      <c r="H801" s="31" t="n">
        <v>45842</v>
      </c>
      <c r="I801" s="33" t="n">
        <v>45846.478127963</v>
      </c>
      <c r="J801" s="33" t="n">
        <v>45846.478127963</v>
      </c>
      <c r="K801" s="13" t="s">
        <v>153</v>
      </c>
      <c r="L801" s="13"/>
      <c r="M801" s="13" t="s">
        <v>2420</v>
      </c>
      <c r="N801" s="33" t="n">
        <v>46308.7264460648</v>
      </c>
    </row>
    <row r="802" customFormat="false" ht="15" hidden="false" customHeight="false" outlineLevel="0" collapsed="false">
      <c r="A802" s="13" t="s">
        <v>2421</v>
      </c>
      <c r="B802" s="13" t="s">
        <v>57</v>
      </c>
      <c r="C802" s="13" t="s">
        <v>2422</v>
      </c>
      <c r="D802" s="13" t="s">
        <v>166</v>
      </c>
      <c r="E802" s="13" t="s">
        <v>1044</v>
      </c>
      <c r="F802" s="13"/>
      <c r="G802" s="13"/>
      <c r="H802" s="31"/>
      <c r="I802" s="33" t="n">
        <v>45846.4399182523</v>
      </c>
      <c r="J802" s="33" t="n">
        <v>45846.4399182523</v>
      </c>
      <c r="K802" s="13" t="s">
        <v>153</v>
      </c>
      <c r="L802" s="13"/>
      <c r="M802" s="13" t="s">
        <v>2423</v>
      </c>
      <c r="N802" s="33" t="n">
        <v>46308.7264460648</v>
      </c>
    </row>
    <row r="803" customFormat="false" ht="15" hidden="false" customHeight="false" outlineLevel="0" collapsed="false">
      <c r="A803" s="13" t="s">
        <v>2424</v>
      </c>
      <c r="B803" s="13" t="s">
        <v>57</v>
      </c>
      <c r="C803" s="13" t="s">
        <v>2425</v>
      </c>
      <c r="D803" s="13" t="s">
        <v>166</v>
      </c>
      <c r="E803" s="13" t="s">
        <v>95</v>
      </c>
      <c r="F803" s="13"/>
      <c r="G803" s="13" t="s">
        <v>189</v>
      </c>
      <c r="H803" s="31"/>
      <c r="I803" s="33" t="n">
        <v>45846.4223017361</v>
      </c>
      <c r="J803" s="33" t="n">
        <v>45846.4223017361</v>
      </c>
      <c r="K803" s="13" t="s">
        <v>153</v>
      </c>
      <c r="L803" s="13"/>
      <c r="M803" s="13" t="s">
        <v>2426</v>
      </c>
      <c r="N803" s="33" t="n">
        <v>46308.7264460648</v>
      </c>
    </row>
    <row r="804" customFormat="false" ht="15" hidden="false" customHeight="false" outlineLevel="0" collapsed="false">
      <c r="A804" s="13" t="s">
        <v>2427</v>
      </c>
      <c r="B804" s="13" t="s">
        <v>57</v>
      </c>
      <c r="C804" s="13" t="s">
        <v>258</v>
      </c>
      <c r="D804" s="13" t="s">
        <v>166</v>
      </c>
      <c r="E804" s="13" t="s">
        <v>259</v>
      </c>
      <c r="F804" s="13"/>
      <c r="G804" s="13"/>
      <c r="H804" s="31"/>
      <c r="I804" s="33" t="n">
        <v>45846.4085320255</v>
      </c>
      <c r="J804" s="33" t="n">
        <v>45846.4085320255</v>
      </c>
      <c r="K804" s="13" t="s">
        <v>153</v>
      </c>
      <c r="L804" s="13"/>
      <c r="M804" s="13" t="s">
        <v>2428</v>
      </c>
      <c r="N804" s="33" t="n">
        <v>46308.7264460648</v>
      </c>
    </row>
    <row r="805" customFormat="false" ht="15" hidden="false" customHeight="false" outlineLevel="0" collapsed="false">
      <c r="A805" s="13" t="s">
        <v>2429</v>
      </c>
      <c r="B805" s="13" t="s">
        <v>57</v>
      </c>
      <c r="C805" s="13" t="s">
        <v>695</v>
      </c>
      <c r="D805" s="13" t="s">
        <v>166</v>
      </c>
      <c r="E805" s="13" t="s">
        <v>1285</v>
      </c>
      <c r="F805" s="13"/>
      <c r="G805" s="13"/>
      <c r="H805" s="31" t="n">
        <v>45846</v>
      </c>
      <c r="I805" s="33" t="n">
        <v>45846.3813404398</v>
      </c>
      <c r="J805" s="33" t="n">
        <v>45846.3813404398</v>
      </c>
      <c r="K805" s="13" t="s">
        <v>153</v>
      </c>
      <c r="L805" s="13"/>
      <c r="M805" s="13" t="s">
        <v>2430</v>
      </c>
      <c r="N805" s="33" t="n">
        <v>46308.7264460648</v>
      </c>
    </row>
    <row r="806" customFormat="false" ht="15" hidden="false" customHeight="false" outlineLevel="0" collapsed="false">
      <c r="A806" s="13" t="s">
        <v>2431</v>
      </c>
      <c r="B806" s="13" t="s">
        <v>57</v>
      </c>
      <c r="C806" s="13" t="s">
        <v>2432</v>
      </c>
      <c r="D806" s="13" t="s">
        <v>166</v>
      </c>
      <c r="E806" s="13" t="s">
        <v>981</v>
      </c>
      <c r="F806" s="13"/>
      <c r="G806" s="13"/>
      <c r="H806" s="31"/>
      <c r="I806" s="33" t="n">
        <v>45846.3773923148</v>
      </c>
      <c r="J806" s="33" t="n">
        <v>45846.3773923148</v>
      </c>
      <c r="K806" s="13" t="s">
        <v>153</v>
      </c>
      <c r="L806" s="13"/>
      <c r="M806" s="13" t="s">
        <v>2433</v>
      </c>
      <c r="N806" s="33" t="n">
        <v>46308.7264460648</v>
      </c>
    </row>
    <row r="807" customFormat="false" ht="15" hidden="false" customHeight="false" outlineLevel="0" collapsed="false">
      <c r="A807" s="13" t="s">
        <v>2434</v>
      </c>
      <c r="B807" s="13" t="s">
        <v>57</v>
      </c>
      <c r="C807" s="13" t="s">
        <v>185</v>
      </c>
      <c r="D807" s="13" t="s">
        <v>166</v>
      </c>
      <c r="E807" s="13" t="s">
        <v>981</v>
      </c>
      <c r="F807" s="13"/>
      <c r="G807" s="13"/>
      <c r="H807" s="31"/>
      <c r="I807" s="33" t="n">
        <v>45845.7380372454</v>
      </c>
      <c r="J807" s="33" t="n">
        <v>45845.7380372454</v>
      </c>
      <c r="K807" s="13" t="s">
        <v>153</v>
      </c>
      <c r="L807" s="13"/>
      <c r="M807" s="13" t="s">
        <v>2435</v>
      </c>
      <c r="N807" s="33" t="n">
        <v>46308.7264460648</v>
      </c>
    </row>
    <row r="808" customFormat="false" ht="15" hidden="false" customHeight="false" outlineLevel="0" collapsed="false">
      <c r="A808" s="13" t="s">
        <v>2436</v>
      </c>
      <c r="B808" s="13" t="s">
        <v>57</v>
      </c>
      <c r="C808" s="13" t="s">
        <v>1435</v>
      </c>
      <c r="D808" s="13" t="s">
        <v>166</v>
      </c>
      <c r="E808" s="13" t="s">
        <v>981</v>
      </c>
      <c r="F808" s="13"/>
      <c r="G808" s="13"/>
      <c r="H808" s="31"/>
      <c r="I808" s="33" t="n">
        <v>45845.6872882407</v>
      </c>
      <c r="J808" s="33" t="n">
        <v>45845.6872882407</v>
      </c>
      <c r="K808" s="13" t="s">
        <v>153</v>
      </c>
      <c r="L808" s="13"/>
      <c r="M808" s="13" t="s">
        <v>2437</v>
      </c>
      <c r="N808" s="33" t="n">
        <v>46308.7264460648</v>
      </c>
    </row>
    <row r="809" customFormat="false" ht="15" hidden="false" customHeight="false" outlineLevel="0" collapsed="false">
      <c r="A809" s="13" t="s">
        <v>2438</v>
      </c>
      <c r="B809" s="13" t="s">
        <v>57</v>
      </c>
      <c r="C809" s="13" t="s">
        <v>695</v>
      </c>
      <c r="D809" s="13" t="s">
        <v>166</v>
      </c>
      <c r="E809" s="13" t="s">
        <v>696</v>
      </c>
      <c r="F809" s="13"/>
      <c r="G809" s="13"/>
      <c r="H809" s="31"/>
      <c r="I809" s="33" t="n">
        <v>45842.6402267245</v>
      </c>
      <c r="J809" s="33" t="n">
        <v>45842.6402267245</v>
      </c>
      <c r="K809" s="13" t="s">
        <v>153</v>
      </c>
      <c r="L809" s="13"/>
      <c r="M809" s="13" t="s">
        <v>2439</v>
      </c>
      <c r="N809" s="33" t="n">
        <v>46308.7264460648</v>
      </c>
    </row>
    <row r="810" customFormat="false" ht="15" hidden="false" customHeight="false" outlineLevel="0" collapsed="false">
      <c r="A810" s="13" t="s">
        <v>2440</v>
      </c>
      <c r="B810" s="13" t="s">
        <v>57</v>
      </c>
      <c r="C810" s="13" t="s">
        <v>695</v>
      </c>
      <c r="D810" s="13" t="s">
        <v>166</v>
      </c>
      <c r="E810" s="13" t="s">
        <v>696</v>
      </c>
      <c r="F810" s="13"/>
      <c r="G810" s="13"/>
      <c r="H810" s="31"/>
      <c r="I810" s="33" t="n">
        <v>45842.6394261343</v>
      </c>
      <c r="J810" s="33" t="n">
        <v>45842.6394261343</v>
      </c>
      <c r="K810" s="13" t="s">
        <v>153</v>
      </c>
      <c r="L810" s="13"/>
      <c r="M810" s="13" t="s">
        <v>2441</v>
      </c>
      <c r="N810" s="33" t="n">
        <v>46308.7264460648</v>
      </c>
    </row>
    <row r="811" customFormat="false" ht="15" hidden="false" customHeight="false" outlineLevel="0" collapsed="false">
      <c r="A811" s="13" t="s">
        <v>2442</v>
      </c>
      <c r="B811" s="13" t="s">
        <v>57</v>
      </c>
      <c r="C811" s="13" t="s">
        <v>2443</v>
      </c>
      <c r="D811" s="13" t="s">
        <v>166</v>
      </c>
      <c r="E811" s="13" t="s">
        <v>981</v>
      </c>
      <c r="F811" s="13"/>
      <c r="G811" s="13" t="s">
        <v>207</v>
      </c>
      <c r="H811" s="31"/>
      <c r="I811" s="33" t="n">
        <v>45842.4445677315</v>
      </c>
      <c r="J811" s="33" t="n">
        <v>45842.4445677315</v>
      </c>
      <c r="K811" s="13" t="s">
        <v>153</v>
      </c>
      <c r="L811" s="13"/>
      <c r="M811" s="13" t="s">
        <v>2444</v>
      </c>
      <c r="N811" s="33" t="n">
        <v>46308.7264460648</v>
      </c>
    </row>
    <row r="812" customFormat="false" ht="15" hidden="false" customHeight="false" outlineLevel="0" collapsed="false">
      <c r="A812" s="13" t="s">
        <v>2445</v>
      </c>
      <c r="B812" s="13" t="s">
        <v>57</v>
      </c>
      <c r="C812" s="13" t="s">
        <v>1435</v>
      </c>
      <c r="D812" s="13" t="s">
        <v>166</v>
      </c>
      <c r="E812" s="13" t="s">
        <v>981</v>
      </c>
      <c r="F812" s="13"/>
      <c r="G812" s="13"/>
      <c r="H812" s="31"/>
      <c r="I812" s="33" t="n">
        <v>45839.3791584144</v>
      </c>
      <c r="J812" s="33" t="n">
        <v>45839.3791584144</v>
      </c>
      <c r="K812" s="13" t="s">
        <v>153</v>
      </c>
      <c r="L812" s="13"/>
      <c r="M812" s="13" t="s">
        <v>2446</v>
      </c>
      <c r="N812" s="33" t="n">
        <v>46308.7264460648</v>
      </c>
    </row>
    <row r="813" customFormat="false" ht="15" hidden="false" customHeight="false" outlineLevel="0" collapsed="false">
      <c r="A813" s="13" t="s">
        <v>2447</v>
      </c>
      <c r="B813" s="13" t="s">
        <v>57</v>
      </c>
      <c r="C813" s="13" t="s">
        <v>1435</v>
      </c>
      <c r="D813" s="13" t="s">
        <v>166</v>
      </c>
      <c r="E813" s="13"/>
      <c r="F813" s="13"/>
      <c r="G813" s="13"/>
      <c r="H813" s="31"/>
      <c r="I813" s="33" t="n">
        <v>45839.366872963</v>
      </c>
      <c r="J813" s="33" t="n">
        <v>45839.366872963</v>
      </c>
      <c r="K813" s="13" t="s">
        <v>153</v>
      </c>
      <c r="L813" s="13"/>
      <c r="M813" s="13" t="s">
        <v>2448</v>
      </c>
      <c r="N813" s="33" t="n">
        <v>46308.7264460648</v>
      </c>
    </row>
    <row r="814" customFormat="false" ht="15" hidden="false" customHeight="false" outlineLevel="0" collapsed="false">
      <c r="A814" s="13" t="s">
        <v>2449</v>
      </c>
      <c r="B814" s="13" t="s">
        <v>57</v>
      </c>
      <c r="C814" s="13" t="s">
        <v>258</v>
      </c>
      <c r="D814" s="13" t="s">
        <v>166</v>
      </c>
      <c r="E814" s="13" t="s">
        <v>259</v>
      </c>
      <c r="F814" s="13"/>
      <c r="G814" s="13"/>
      <c r="H814" s="31"/>
      <c r="I814" s="33" t="n">
        <v>45838.5965964468</v>
      </c>
      <c r="J814" s="33" t="n">
        <v>45838.5965964468</v>
      </c>
      <c r="K814" s="13" t="s">
        <v>153</v>
      </c>
      <c r="L814" s="13"/>
      <c r="M814" s="13" t="s">
        <v>2450</v>
      </c>
      <c r="N814" s="33" t="n">
        <v>46308.7264460648</v>
      </c>
    </row>
    <row r="815" customFormat="false" ht="15" hidden="false" customHeight="false" outlineLevel="0" collapsed="false">
      <c r="A815" s="13" t="s">
        <v>2451</v>
      </c>
      <c r="B815" s="13" t="s">
        <v>57</v>
      </c>
      <c r="C815" s="13" t="s">
        <v>2385</v>
      </c>
      <c r="D815" s="13" t="s">
        <v>166</v>
      </c>
      <c r="E815" s="13" t="s">
        <v>95</v>
      </c>
      <c r="F815" s="13"/>
      <c r="G815" s="13"/>
      <c r="H815" s="31"/>
      <c r="I815" s="33" t="n">
        <v>45838.3918923727</v>
      </c>
      <c r="J815" s="33" t="n">
        <v>45838.3918923727</v>
      </c>
      <c r="K815" s="13" t="s">
        <v>153</v>
      </c>
      <c r="L815" s="13"/>
      <c r="M815" s="13" t="s">
        <v>2452</v>
      </c>
      <c r="N815" s="33" t="n">
        <v>46308.7264460648</v>
      </c>
    </row>
    <row r="816" customFormat="false" ht="15" hidden="false" customHeight="false" outlineLevel="0" collapsed="false">
      <c r="A816" s="13" t="s">
        <v>2453</v>
      </c>
      <c r="B816" s="13" t="s">
        <v>57</v>
      </c>
      <c r="C816" s="13" t="s">
        <v>2454</v>
      </c>
      <c r="D816" s="13" t="s">
        <v>166</v>
      </c>
      <c r="E816" s="13" t="s">
        <v>699</v>
      </c>
      <c r="F816" s="13"/>
      <c r="G816" s="13"/>
      <c r="H816" s="31"/>
      <c r="I816" s="33" t="n">
        <v>45838.3570019445</v>
      </c>
      <c r="J816" s="33" t="n">
        <v>45838.3570019445</v>
      </c>
      <c r="K816" s="13" t="s">
        <v>153</v>
      </c>
      <c r="L816" s="13"/>
      <c r="M816" s="13" t="s">
        <v>2455</v>
      </c>
      <c r="N816" s="33" t="n">
        <v>46308.7264460648</v>
      </c>
    </row>
    <row r="817" customFormat="false" ht="15" hidden="false" customHeight="false" outlineLevel="0" collapsed="false">
      <c r="A817" s="13" t="s">
        <v>2456</v>
      </c>
      <c r="B817" s="13" t="s">
        <v>57</v>
      </c>
      <c r="C817" s="13" t="s">
        <v>2457</v>
      </c>
      <c r="D817" s="13" t="s">
        <v>166</v>
      </c>
      <c r="E817" s="13" t="s">
        <v>928</v>
      </c>
      <c r="F817" s="13"/>
      <c r="G817" s="13" t="s">
        <v>207</v>
      </c>
      <c r="H817" s="31"/>
      <c r="I817" s="33" t="n">
        <v>45838.3570019445</v>
      </c>
      <c r="J817" s="33" t="n">
        <v>45838.3570019445</v>
      </c>
      <c r="K817" s="13" t="s">
        <v>153</v>
      </c>
      <c r="L817" s="13"/>
      <c r="M817" s="13" t="s">
        <v>2458</v>
      </c>
      <c r="N817" s="33" t="n">
        <v>46308.7264460648</v>
      </c>
    </row>
    <row r="818" customFormat="false" ht="15" hidden="false" customHeight="false" outlineLevel="0" collapsed="false">
      <c r="A818" s="13" t="s">
        <v>2459</v>
      </c>
      <c r="B818" s="13" t="s">
        <v>57</v>
      </c>
      <c r="C818" s="13" t="s">
        <v>2460</v>
      </c>
      <c r="D818" s="13" t="s">
        <v>166</v>
      </c>
      <c r="E818" s="13" t="s">
        <v>696</v>
      </c>
      <c r="F818" s="13"/>
      <c r="G818" s="13"/>
      <c r="H818" s="31"/>
      <c r="I818" s="33" t="n">
        <v>45834.6689073032</v>
      </c>
      <c r="J818" s="33" t="n">
        <v>45834.6689073032</v>
      </c>
      <c r="K818" s="13" t="s">
        <v>153</v>
      </c>
      <c r="L818" s="13"/>
      <c r="M818" s="13" t="s">
        <v>2461</v>
      </c>
      <c r="N818" s="33" t="n">
        <v>46308.7264460648</v>
      </c>
    </row>
    <row r="819" customFormat="false" ht="15" hidden="false" customHeight="false" outlineLevel="0" collapsed="false">
      <c r="A819" s="13" t="s">
        <v>2462</v>
      </c>
      <c r="B819" s="13" t="s">
        <v>57</v>
      </c>
      <c r="C819" s="13" t="s">
        <v>1299</v>
      </c>
      <c r="D819" s="13" t="s">
        <v>166</v>
      </c>
      <c r="E819" s="13"/>
      <c r="F819" s="13"/>
      <c r="G819" s="13"/>
      <c r="H819" s="31"/>
      <c r="I819" s="33" t="n">
        <v>45834.6689073032</v>
      </c>
      <c r="J819" s="33" t="n">
        <v>45834.6689073032</v>
      </c>
      <c r="K819" s="13" t="s">
        <v>153</v>
      </c>
      <c r="L819" s="13"/>
      <c r="M819" s="13" t="s">
        <v>2463</v>
      </c>
      <c r="N819" s="33" t="n">
        <v>46308.7264460648</v>
      </c>
    </row>
    <row r="820" customFormat="false" ht="15" hidden="false" customHeight="false" outlineLevel="0" collapsed="false">
      <c r="A820" s="13" t="s">
        <v>2464</v>
      </c>
      <c r="B820" s="13" t="s">
        <v>57</v>
      </c>
      <c r="C820" s="13" t="s">
        <v>2465</v>
      </c>
      <c r="D820" s="13" t="s">
        <v>166</v>
      </c>
      <c r="E820" s="13" t="s">
        <v>1028</v>
      </c>
      <c r="F820" s="13" t="s">
        <v>736</v>
      </c>
      <c r="G820" s="13"/>
      <c r="H820" s="31"/>
      <c r="I820" s="33" t="n">
        <v>45834.6689073032</v>
      </c>
      <c r="J820" s="33" t="n">
        <v>45834.6689073032</v>
      </c>
      <c r="K820" s="13" t="s">
        <v>153</v>
      </c>
      <c r="L820" s="13" t="s">
        <v>117</v>
      </c>
      <c r="M820" s="13" t="s">
        <v>2466</v>
      </c>
      <c r="N820" s="33" t="n">
        <v>46308.7264460648</v>
      </c>
    </row>
    <row r="821" customFormat="false" ht="15" hidden="false" customHeight="false" outlineLevel="0" collapsed="false">
      <c r="A821" s="13" t="s">
        <v>2467</v>
      </c>
      <c r="B821" s="13" t="s">
        <v>57</v>
      </c>
      <c r="C821" s="34" t="s">
        <v>2468</v>
      </c>
      <c r="D821" s="13" t="s">
        <v>166</v>
      </c>
      <c r="E821" s="13" t="s">
        <v>981</v>
      </c>
      <c r="F821" s="13"/>
      <c r="G821" s="13"/>
      <c r="H821" s="31"/>
      <c r="I821" s="33" t="n">
        <v>45833.6881314815</v>
      </c>
      <c r="J821" s="33" t="n">
        <v>45833.6881314815</v>
      </c>
      <c r="K821" s="13" t="s">
        <v>153</v>
      </c>
      <c r="L821" s="13"/>
      <c r="M821" s="13" t="s">
        <v>2469</v>
      </c>
      <c r="N821" s="33" t="n">
        <v>46308.7264460648</v>
      </c>
    </row>
    <row r="822" customFormat="false" ht="15" hidden="false" customHeight="false" outlineLevel="0" collapsed="false">
      <c r="A822" s="13" t="s">
        <v>2470</v>
      </c>
      <c r="B822" s="13" t="s">
        <v>57</v>
      </c>
      <c r="C822" s="13" t="s">
        <v>2471</v>
      </c>
      <c r="D822" s="13" t="s">
        <v>166</v>
      </c>
      <c r="E822" s="13" t="s">
        <v>802</v>
      </c>
      <c r="F822" s="13" t="s">
        <v>60</v>
      </c>
      <c r="G822" s="13"/>
      <c r="H822" s="31"/>
      <c r="I822" s="33" t="n">
        <v>45833.4424977778</v>
      </c>
      <c r="J822" s="33" t="n">
        <v>45833.4424977778</v>
      </c>
      <c r="K822" s="13" t="s">
        <v>153</v>
      </c>
      <c r="L822" s="13" t="s">
        <v>280</v>
      </c>
      <c r="M822" s="13" t="s">
        <v>2472</v>
      </c>
      <c r="N822" s="33" t="n">
        <v>46308.7264460648</v>
      </c>
    </row>
    <row r="823" customFormat="false" ht="15" hidden="false" customHeight="false" outlineLevel="0" collapsed="false">
      <c r="A823" s="13" t="s">
        <v>2473</v>
      </c>
      <c r="B823" s="13" t="s">
        <v>57</v>
      </c>
      <c r="C823" s="13" t="s">
        <v>2474</v>
      </c>
      <c r="D823" s="13" t="s">
        <v>166</v>
      </c>
      <c r="E823" s="13" t="s">
        <v>699</v>
      </c>
      <c r="F823" s="13"/>
      <c r="G823" s="13"/>
      <c r="H823" s="31"/>
      <c r="I823" s="33" t="n">
        <v>45832.6657700463</v>
      </c>
      <c r="J823" s="33" t="n">
        <v>45819.3798642245</v>
      </c>
      <c r="K823" s="13" t="s">
        <v>153</v>
      </c>
      <c r="L823" s="13"/>
      <c r="M823" s="13" t="s">
        <v>2475</v>
      </c>
      <c r="N823" s="33" t="n">
        <v>46308.7264460648</v>
      </c>
    </row>
    <row r="824" customFormat="false" ht="15" hidden="false" customHeight="false" outlineLevel="0" collapsed="false">
      <c r="A824" s="13" t="s">
        <v>2476</v>
      </c>
      <c r="B824" s="13" t="s">
        <v>57</v>
      </c>
      <c r="C824" s="13" t="s">
        <v>1193</v>
      </c>
      <c r="D824" s="13" t="s">
        <v>166</v>
      </c>
      <c r="E824" s="13" t="s">
        <v>981</v>
      </c>
      <c r="F824" s="13"/>
      <c r="G824" s="13"/>
      <c r="H824" s="31"/>
      <c r="I824" s="33" t="n">
        <v>45832.6024656597</v>
      </c>
      <c r="J824" s="33" t="n">
        <v>45832.6024656597</v>
      </c>
      <c r="K824" s="13" t="s">
        <v>153</v>
      </c>
      <c r="L824" s="13"/>
      <c r="M824" s="13" t="s">
        <v>2477</v>
      </c>
      <c r="N824" s="33" t="n">
        <v>46308.7264460648</v>
      </c>
    </row>
    <row r="825" customFormat="false" ht="15" hidden="false" customHeight="false" outlineLevel="0" collapsed="false">
      <c r="A825" s="13" t="s">
        <v>2478</v>
      </c>
      <c r="B825" s="13" t="s">
        <v>57</v>
      </c>
      <c r="C825" s="13" t="s">
        <v>2479</v>
      </c>
      <c r="D825" s="13" t="s">
        <v>166</v>
      </c>
      <c r="E825" s="13" t="s">
        <v>95</v>
      </c>
      <c r="F825" s="13"/>
      <c r="G825" s="13" t="s">
        <v>207</v>
      </c>
      <c r="H825" s="31"/>
      <c r="I825" s="33" t="n">
        <v>45832.5877425116</v>
      </c>
      <c r="J825" s="33" t="n">
        <v>45832.5877425116</v>
      </c>
      <c r="K825" s="13" t="s">
        <v>153</v>
      </c>
      <c r="L825" s="13"/>
      <c r="M825" s="13" t="s">
        <v>2480</v>
      </c>
      <c r="N825" s="33" t="n">
        <v>46308.7264460648</v>
      </c>
    </row>
    <row r="826" customFormat="false" ht="15" hidden="false" customHeight="false" outlineLevel="0" collapsed="false">
      <c r="A826" s="13" t="s">
        <v>2481</v>
      </c>
      <c r="B826" s="13" t="s">
        <v>57</v>
      </c>
      <c r="C826" s="13" t="s">
        <v>1278</v>
      </c>
      <c r="D826" s="13" t="s">
        <v>166</v>
      </c>
      <c r="E826" s="13"/>
      <c r="F826" s="13"/>
      <c r="G826" s="13"/>
      <c r="H826" s="31"/>
      <c r="I826" s="33" t="n">
        <v>45832.4407122107</v>
      </c>
      <c r="J826" s="33" t="n">
        <v>45832.4407122107</v>
      </c>
      <c r="K826" s="13" t="s">
        <v>153</v>
      </c>
      <c r="L826" s="13"/>
      <c r="M826" s="13" t="s">
        <v>2482</v>
      </c>
      <c r="N826" s="33" t="n">
        <v>46308.7264460648</v>
      </c>
    </row>
    <row r="827" customFormat="false" ht="15" hidden="false" customHeight="false" outlineLevel="0" collapsed="false">
      <c r="A827" s="13" t="s">
        <v>2483</v>
      </c>
      <c r="B827" s="13" t="s">
        <v>57</v>
      </c>
      <c r="C827" s="13" t="s">
        <v>2484</v>
      </c>
      <c r="D827" s="13" t="s">
        <v>166</v>
      </c>
      <c r="E827" s="13" t="s">
        <v>928</v>
      </c>
      <c r="F827" s="13"/>
      <c r="G827" s="13" t="s">
        <v>207</v>
      </c>
      <c r="H827" s="31"/>
      <c r="I827" s="33" t="n">
        <v>45832.4407122107</v>
      </c>
      <c r="J827" s="33" t="n">
        <v>45832.4407122107</v>
      </c>
      <c r="K827" s="13" t="s">
        <v>153</v>
      </c>
      <c r="L827" s="13"/>
      <c r="M827" s="13" t="s">
        <v>2485</v>
      </c>
      <c r="N827" s="33" t="n">
        <v>46308.7264460648</v>
      </c>
    </row>
    <row r="828" customFormat="false" ht="15" hidden="false" customHeight="false" outlineLevel="0" collapsed="false">
      <c r="A828" s="13" t="s">
        <v>2486</v>
      </c>
      <c r="B828" s="13" t="s">
        <v>57</v>
      </c>
      <c r="C828" s="13" t="s">
        <v>1278</v>
      </c>
      <c r="D828" s="13" t="s">
        <v>166</v>
      </c>
      <c r="E828" s="13"/>
      <c r="F828" s="13"/>
      <c r="G828" s="13"/>
      <c r="H828" s="31"/>
      <c r="I828" s="33" t="n">
        <v>45832.4405477894</v>
      </c>
      <c r="J828" s="33" t="n">
        <v>45832.4405477894</v>
      </c>
      <c r="K828" s="13" t="s">
        <v>153</v>
      </c>
      <c r="L828" s="13"/>
      <c r="M828" s="13" t="s">
        <v>2487</v>
      </c>
      <c r="N828" s="33" t="n">
        <v>46308.7264460648</v>
      </c>
    </row>
    <row r="829" customFormat="false" ht="15" hidden="false" customHeight="false" outlineLevel="0" collapsed="false">
      <c r="A829" s="13" t="s">
        <v>2488</v>
      </c>
      <c r="B829" s="13" t="s">
        <v>57</v>
      </c>
      <c r="C829" s="13" t="s">
        <v>2489</v>
      </c>
      <c r="D829" s="13" t="s">
        <v>166</v>
      </c>
      <c r="E829" s="13" t="s">
        <v>928</v>
      </c>
      <c r="F829" s="13"/>
      <c r="G829" s="13" t="s">
        <v>207</v>
      </c>
      <c r="H829" s="31"/>
      <c r="I829" s="33" t="n">
        <v>45832.4405477894</v>
      </c>
      <c r="J829" s="33" t="n">
        <v>45832.4405477894</v>
      </c>
      <c r="K829" s="13" t="s">
        <v>153</v>
      </c>
      <c r="L829" s="13"/>
      <c r="M829" s="13" t="s">
        <v>2490</v>
      </c>
      <c r="N829" s="33" t="n">
        <v>46308.7264460648</v>
      </c>
    </row>
    <row r="830" customFormat="false" ht="15" hidden="false" customHeight="false" outlineLevel="0" collapsed="false">
      <c r="A830" s="13" t="s">
        <v>2491</v>
      </c>
      <c r="B830" s="13" t="s">
        <v>57</v>
      </c>
      <c r="C830" s="13" t="s">
        <v>1278</v>
      </c>
      <c r="D830" s="13" t="s">
        <v>166</v>
      </c>
      <c r="E830" s="13"/>
      <c r="F830" s="13"/>
      <c r="G830" s="13"/>
      <c r="H830" s="31"/>
      <c r="I830" s="33" t="n">
        <v>45832.4404408333</v>
      </c>
      <c r="J830" s="33" t="n">
        <v>45832.4404408333</v>
      </c>
      <c r="K830" s="13" t="s">
        <v>153</v>
      </c>
      <c r="L830" s="13"/>
      <c r="M830" s="13" t="s">
        <v>2492</v>
      </c>
      <c r="N830" s="33" t="n">
        <v>46308.7264460648</v>
      </c>
    </row>
    <row r="831" customFormat="false" ht="15" hidden="false" customHeight="false" outlineLevel="0" collapsed="false">
      <c r="A831" s="13" t="s">
        <v>2493</v>
      </c>
      <c r="B831" s="13" t="s">
        <v>57</v>
      </c>
      <c r="C831" s="13" t="s">
        <v>2494</v>
      </c>
      <c r="D831" s="13" t="s">
        <v>166</v>
      </c>
      <c r="E831" s="13" t="s">
        <v>928</v>
      </c>
      <c r="F831" s="13"/>
      <c r="G831" s="13" t="s">
        <v>207</v>
      </c>
      <c r="H831" s="31"/>
      <c r="I831" s="33" t="n">
        <v>45832.4404408333</v>
      </c>
      <c r="J831" s="33" t="n">
        <v>45832.4404408333</v>
      </c>
      <c r="K831" s="13" t="s">
        <v>153</v>
      </c>
      <c r="L831" s="13"/>
      <c r="M831" s="13" t="s">
        <v>2495</v>
      </c>
      <c r="N831" s="33" t="n">
        <v>46308.7264460648</v>
      </c>
    </row>
    <row r="832" customFormat="false" ht="15" hidden="false" customHeight="false" outlineLevel="0" collapsed="false">
      <c r="A832" s="13" t="s">
        <v>2496</v>
      </c>
      <c r="B832" s="13" t="s">
        <v>57</v>
      </c>
      <c r="C832" s="13" t="s">
        <v>2497</v>
      </c>
      <c r="D832" s="13" t="s">
        <v>166</v>
      </c>
      <c r="E832" s="13" t="s">
        <v>928</v>
      </c>
      <c r="F832" s="13"/>
      <c r="G832" s="13" t="s">
        <v>207</v>
      </c>
      <c r="H832" s="31"/>
      <c r="I832" s="33" t="n">
        <v>45832.4402458449</v>
      </c>
      <c r="J832" s="33" t="n">
        <v>45832.4402458449</v>
      </c>
      <c r="K832" s="13" t="s">
        <v>153</v>
      </c>
      <c r="L832" s="13"/>
      <c r="M832" s="13" t="s">
        <v>2498</v>
      </c>
      <c r="N832" s="33" t="n">
        <v>46308.7264460648</v>
      </c>
    </row>
    <row r="833" customFormat="false" ht="15" hidden="false" customHeight="false" outlineLevel="0" collapsed="false">
      <c r="A833" s="13" t="s">
        <v>2499</v>
      </c>
      <c r="B833" s="13" t="s">
        <v>57</v>
      </c>
      <c r="C833" s="13" t="s">
        <v>2500</v>
      </c>
      <c r="D833" s="13" t="s">
        <v>166</v>
      </c>
      <c r="E833" s="13" t="s">
        <v>95</v>
      </c>
      <c r="F833" s="13"/>
      <c r="G833" s="13"/>
      <c r="H833" s="31"/>
      <c r="I833" s="33" t="n">
        <v>45832.3814629977</v>
      </c>
      <c r="J833" s="33" t="n">
        <v>45832.3814629977</v>
      </c>
      <c r="K833" s="13" t="s">
        <v>153</v>
      </c>
      <c r="L833" s="13"/>
      <c r="M833" s="13" t="s">
        <v>2501</v>
      </c>
      <c r="N833" s="33" t="n">
        <v>46308.7264460648</v>
      </c>
    </row>
    <row r="834" customFormat="false" ht="15" hidden="false" customHeight="false" outlineLevel="0" collapsed="false">
      <c r="A834" s="13" t="s">
        <v>2502</v>
      </c>
      <c r="B834" s="13" t="s">
        <v>57</v>
      </c>
      <c r="C834" s="13" t="s">
        <v>702</v>
      </c>
      <c r="D834" s="13" t="s">
        <v>166</v>
      </c>
      <c r="E834" s="13"/>
      <c r="F834" s="13"/>
      <c r="G834" s="13"/>
      <c r="H834" s="31"/>
      <c r="I834" s="33" t="n">
        <v>45832.3784386921</v>
      </c>
      <c r="J834" s="33" t="n">
        <v>45832.3784386921</v>
      </c>
      <c r="K834" s="13" t="s">
        <v>153</v>
      </c>
      <c r="L834" s="13"/>
      <c r="M834" s="13" t="s">
        <v>2503</v>
      </c>
      <c r="N834" s="33" t="n">
        <v>46308.7264460648</v>
      </c>
    </row>
    <row r="835" customFormat="false" ht="15" hidden="false" customHeight="false" outlineLevel="0" collapsed="false">
      <c r="A835" s="13" t="s">
        <v>2504</v>
      </c>
      <c r="B835" s="13" t="s">
        <v>57</v>
      </c>
      <c r="C835" s="13" t="s">
        <v>2505</v>
      </c>
      <c r="D835" s="13" t="s">
        <v>166</v>
      </c>
      <c r="E835" s="13" t="s">
        <v>928</v>
      </c>
      <c r="F835" s="13"/>
      <c r="G835" s="13" t="s">
        <v>159</v>
      </c>
      <c r="H835" s="31"/>
      <c r="I835" s="33" t="n">
        <v>45832.3784386921</v>
      </c>
      <c r="J835" s="33" t="n">
        <v>45832.3784386921</v>
      </c>
      <c r="K835" s="13" t="s">
        <v>153</v>
      </c>
      <c r="L835" s="13"/>
      <c r="M835" s="13" t="s">
        <v>2506</v>
      </c>
      <c r="N835" s="33" t="n">
        <v>46308.7264460648</v>
      </c>
    </row>
    <row r="836" customFormat="false" ht="15" hidden="false" customHeight="false" outlineLevel="0" collapsed="false">
      <c r="A836" s="13" t="s">
        <v>2507</v>
      </c>
      <c r="B836" s="13" t="s">
        <v>57</v>
      </c>
      <c r="C836" s="13" t="s">
        <v>2508</v>
      </c>
      <c r="D836" s="13" t="s">
        <v>166</v>
      </c>
      <c r="E836" s="13"/>
      <c r="F836" s="13"/>
      <c r="G836" s="13"/>
      <c r="H836" s="31"/>
      <c r="I836" s="33" t="n">
        <v>45832.3782814236</v>
      </c>
      <c r="J836" s="33" t="n">
        <v>45832.3782814236</v>
      </c>
      <c r="K836" s="13" t="s">
        <v>153</v>
      </c>
      <c r="L836" s="13"/>
      <c r="M836" s="13" t="s">
        <v>2509</v>
      </c>
      <c r="N836" s="33" t="n">
        <v>46308.7264460648</v>
      </c>
    </row>
    <row r="837" customFormat="false" ht="15" hidden="false" customHeight="false" outlineLevel="0" collapsed="false">
      <c r="A837" s="13" t="s">
        <v>2510</v>
      </c>
      <c r="B837" s="13" t="s">
        <v>57</v>
      </c>
      <c r="C837" s="13" t="s">
        <v>1296</v>
      </c>
      <c r="D837" s="13" t="s">
        <v>166</v>
      </c>
      <c r="E837" s="13"/>
      <c r="F837" s="13"/>
      <c r="G837" s="13"/>
      <c r="H837" s="31"/>
      <c r="I837" s="33" t="n">
        <v>45832.3770311227</v>
      </c>
      <c r="J837" s="33" t="n">
        <v>45832.3770311227</v>
      </c>
      <c r="K837" s="13" t="s">
        <v>153</v>
      </c>
      <c r="L837" s="13"/>
      <c r="M837" s="13" t="s">
        <v>2511</v>
      </c>
      <c r="N837" s="33" t="n">
        <v>46308.7264460648</v>
      </c>
    </row>
    <row r="838" customFormat="false" ht="15" hidden="false" customHeight="false" outlineLevel="0" collapsed="false">
      <c r="A838" s="13" t="s">
        <v>2512</v>
      </c>
      <c r="B838" s="13" t="s">
        <v>57</v>
      </c>
      <c r="C838" s="13" t="s">
        <v>2513</v>
      </c>
      <c r="D838" s="13" t="s">
        <v>166</v>
      </c>
      <c r="E838" s="13" t="s">
        <v>699</v>
      </c>
      <c r="F838" s="13"/>
      <c r="G838" s="13"/>
      <c r="H838" s="31"/>
      <c r="I838" s="33" t="n">
        <v>45832.3739609722</v>
      </c>
      <c r="J838" s="33" t="n">
        <v>45832.3739609722</v>
      </c>
      <c r="K838" s="13" t="s">
        <v>153</v>
      </c>
      <c r="L838" s="13"/>
      <c r="M838" s="13" t="s">
        <v>2514</v>
      </c>
      <c r="N838" s="33" t="n">
        <v>46308.7264460648</v>
      </c>
    </row>
    <row r="839" customFormat="false" ht="15" hidden="false" customHeight="false" outlineLevel="0" collapsed="false">
      <c r="A839" s="13" t="s">
        <v>2515</v>
      </c>
      <c r="B839" s="13" t="s">
        <v>57</v>
      </c>
      <c r="C839" s="13" t="s">
        <v>2516</v>
      </c>
      <c r="D839" s="13" t="s">
        <v>166</v>
      </c>
      <c r="E839" s="13"/>
      <c r="F839" s="13"/>
      <c r="G839" s="13"/>
      <c r="H839" s="31"/>
      <c r="I839" s="33" t="n">
        <v>45832.3739609722</v>
      </c>
      <c r="J839" s="33" t="n">
        <v>45832.3739609722</v>
      </c>
      <c r="K839" s="13" t="s">
        <v>153</v>
      </c>
      <c r="L839" s="13"/>
      <c r="M839" s="13" t="s">
        <v>2517</v>
      </c>
      <c r="N839" s="33" t="n">
        <v>46308.7264460648</v>
      </c>
    </row>
    <row r="840" customFormat="false" ht="15" hidden="false" customHeight="false" outlineLevel="0" collapsed="false">
      <c r="A840" s="13" t="s">
        <v>2518</v>
      </c>
      <c r="B840" s="13" t="s">
        <v>57</v>
      </c>
      <c r="C840" s="13" t="s">
        <v>2519</v>
      </c>
      <c r="D840" s="13" t="s">
        <v>166</v>
      </c>
      <c r="E840" s="13" t="s">
        <v>2520</v>
      </c>
      <c r="F840" s="13"/>
      <c r="G840" s="13"/>
      <c r="H840" s="31"/>
      <c r="I840" s="33" t="n">
        <v>45832.3677197338</v>
      </c>
      <c r="J840" s="33" t="n">
        <v>45832.3677197338</v>
      </c>
      <c r="K840" s="13" t="s">
        <v>153</v>
      </c>
      <c r="L840" s="13"/>
      <c r="M840" s="13" t="s">
        <v>2521</v>
      </c>
      <c r="N840" s="33" t="n">
        <v>46308.7264460648</v>
      </c>
    </row>
    <row r="841" customFormat="false" ht="15" hidden="false" customHeight="false" outlineLevel="0" collapsed="false">
      <c r="A841" s="13" t="s">
        <v>2522</v>
      </c>
      <c r="B841" s="13" t="s">
        <v>57</v>
      </c>
      <c r="C841" s="13" t="s">
        <v>1278</v>
      </c>
      <c r="D841" s="13" t="s">
        <v>166</v>
      </c>
      <c r="E841" s="13"/>
      <c r="F841" s="13"/>
      <c r="G841" s="13"/>
      <c r="H841" s="31"/>
      <c r="I841" s="33" t="n">
        <v>45832.3666952778</v>
      </c>
      <c r="J841" s="33" t="n">
        <v>45832.3666952778</v>
      </c>
      <c r="K841" s="13" t="s">
        <v>153</v>
      </c>
      <c r="L841" s="13"/>
      <c r="M841" s="13" t="s">
        <v>2523</v>
      </c>
      <c r="N841" s="33" t="n">
        <v>46308.7264460648</v>
      </c>
    </row>
    <row r="842" customFormat="false" ht="15" hidden="false" customHeight="false" outlineLevel="0" collapsed="false">
      <c r="A842" s="13" t="s">
        <v>2524</v>
      </c>
      <c r="B842" s="13" t="s">
        <v>57</v>
      </c>
      <c r="C842" s="13" t="s">
        <v>2385</v>
      </c>
      <c r="D842" s="13" t="s">
        <v>166</v>
      </c>
      <c r="E842" s="13" t="s">
        <v>95</v>
      </c>
      <c r="F842" s="13"/>
      <c r="G842" s="13"/>
      <c r="H842" s="31"/>
      <c r="I842" s="33" t="n">
        <v>45832.3666529051</v>
      </c>
      <c r="J842" s="33" t="n">
        <v>45832.3666529051</v>
      </c>
      <c r="K842" s="13" t="s">
        <v>153</v>
      </c>
      <c r="L842" s="13"/>
      <c r="M842" s="13" t="s">
        <v>2525</v>
      </c>
      <c r="N842" s="33" t="n">
        <v>46308.7264460648</v>
      </c>
    </row>
    <row r="843" customFormat="false" ht="15" hidden="false" customHeight="false" outlineLevel="0" collapsed="false">
      <c r="A843" s="13" t="s">
        <v>2526</v>
      </c>
      <c r="B843" s="13" t="s">
        <v>57</v>
      </c>
      <c r="C843" s="13" t="s">
        <v>2527</v>
      </c>
      <c r="D843" s="13" t="s">
        <v>166</v>
      </c>
      <c r="E843" s="13" t="s">
        <v>928</v>
      </c>
      <c r="F843" s="13"/>
      <c r="G843" s="13" t="s">
        <v>159</v>
      </c>
      <c r="H843" s="31"/>
      <c r="I843" s="33" t="n">
        <v>45832.3664136921</v>
      </c>
      <c r="J843" s="33" t="n">
        <v>45832.3664136921</v>
      </c>
      <c r="K843" s="13" t="s">
        <v>153</v>
      </c>
      <c r="L843" s="13"/>
      <c r="M843" s="13" t="s">
        <v>2528</v>
      </c>
      <c r="N843" s="33" t="n">
        <v>46308.7264460648</v>
      </c>
    </row>
    <row r="844" customFormat="false" ht="15" hidden="false" customHeight="false" outlineLevel="0" collapsed="false">
      <c r="A844" s="13" t="s">
        <v>2529</v>
      </c>
      <c r="B844" s="13" t="s">
        <v>57</v>
      </c>
      <c r="C844" s="13" t="s">
        <v>1435</v>
      </c>
      <c r="D844" s="13" t="s">
        <v>166</v>
      </c>
      <c r="E844" s="13" t="s">
        <v>981</v>
      </c>
      <c r="F844" s="13"/>
      <c r="G844" s="13"/>
      <c r="H844" s="31"/>
      <c r="I844" s="33" t="n">
        <v>45831.5615058102</v>
      </c>
      <c r="J844" s="33" t="n">
        <v>45831.5615058102</v>
      </c>
      <c r="K844" s="13" t="s">
        <v>153</v>
      </c>
      <c r="L844" s="13"/>
      <c r="M844" s="13" t="s">
        <v>2530</v>
      </c>
      <c r="N844" s="33" t="n">
        <v>46308.7264460648</v>
      </c>
    </row>
    <row r="845" customFormat="false" ht="15" hidden="false" customHeight="false" outlineLevel="0" collapsed="false">
      <c r="A845" s="13" t="s">
        <v>2531</v>
      </c>
      <c r="B845" s="13" t="s">
        <v>57</v>
      </c>
      <c r="C845" s="13" t="s">
        <v>702</v>
      </c>
      <c r="D845" s="13" t="s">
        <v>166</v>
      </c>
      <c r="E845" s="13"/>
      <c r="F845" s="13"/>
      <c r="G845" s="13"/>
      <c r="H845" s="31"/>
      <c r="I845" s="33" t="n">
        <v>45828.6964891551</v>
      </c>
      <c r="J845" s="33" t="n">
        <v>45828.6964891551</v>
      </c>
      <c r="K845" s="13" t="s">
        <v>153</v>
      </c>
      <c r="L845" s="13"/>
      <c r="M845" s="13" t="s">
        <v>2532</v>
      </c>
      <c r="N845" s="33" t="n">
        <v>46308.7264460648</v>
      </c>
    </row>
    <row r="846" customFormat="false" ht="15" hidden="false" customHeight="false" outlineLevel="0" collapsed="false">
      <c r="A846" s="13" t="s">
        <v>2533</v>
      </c>
      <c r="B846" s="13" t="s">
        <v>57</v>
      </c>
      <c r="C846" s="13" t="s">
        <v>2534</v>
      </c>
      <c r="D846" s="13" t="s">
        <v>166</v>
      </c>
      <c r="E846" s="13"/>
      <c r="F846" s="13"/>
      <c r="G846" s="13"/>
      <c r="H846" s="31"/>
      <c r="I846" s="33" t="n">
        <v>45828.6964891551</v>
      </c>
      <c r="J846" s="33" t="n">
        <v>45828.6964891551</v>
      </c>
      <c r="K846" s="13" t="s">
        <v>153</v>
      </c>
      <c r="L846" s="13"/>
      <c r="M846" s="13" t="s">
        <v>2535</v>
      </c>
      <c r="N846" s="33" t="n">
        <v>46308.7264460648</v>
      </c>
    </row>
    <row r="847" customFormat="false" ht="15" hidden="false" customHeight="false" outlineLevel="0" collapsed="false">
      <c r="A847" s="13" t="s">
        <v>2536</v>
      </c>
      <c r="B847" s="13" t="s">
        <v>57</v>
      </c>
      <c r="C847" s="13" t="s">
        <v>258</v>
      </c>
      <c r="D847" s="13" t="s">
        <v>166</v>
      </c>
      <c r="E847" s="13" t="s">
        <v>1414</v>
      </c>
      <c r="F847" s="13"/>
      <c r="G847" s="13"/>
      <c r="H847" s="31"/>
      <c r="I847" s="33" t="n">
        <v>45828.4060789352</v>
      </c>
      <c r="J847" s="33" t="n">
        <v>45825.6914052778</v>
      </c>
      <c r="K847" s="13" t="s">
        <v>153</v>
      </c>
      <c r="L847" s="13"/>
      <c r="M847" s="13" t="s">
        <v>2537</v>
      </c>
      <c r="N847" s="33" t="n">
        <v>46308.7264460648</v>
      </c>
    </row>
    <row r="848" customFormat="false" ht="15" hidden="false" customHeight="false" outlineLevel="0" collapsed="false">
      <c r="A848" s="13" t="s">
        <v>2538</v>
      </c>
      <c r="B848" s="13" t="s">
        <v>57</v>
      </c>
      <c r="C848" s="13" t="s">
        <v>258</v>
      </c>
      <c r="D848" s="13" t="s">
        <v>166</v>
      </c>
      <c r="E848" s="13" t="s">
        <v>1414</v>
      </c>
      <c r="F848" s="13"/>
      <c r="G848" s="13"/>
      <c r="H848" s="31"/>
      <c r="I848" s="33" t="n">
        <v>45826.6895554167</v>
      </c>
      <c r="J848" s="33" t="n">
        <v>45826.6895554167</v>
      </c>
      <c r="K848" s="13" t="s">
        <v>153</v>
      </c>
      <c r="L848" s="13"/>
      <c r="M848" s="13" t="s">
        <v>2539</v>
      </c>
      <c r="N848" s="33" t="n">
        <v>46308.7264460648</v>
      </c>
    </row>
    <row r="849" customFormat="false" ht="15" hidden="false" customHeight="false" outlineLevel="0" collapsed="false">
      <c r="A849" s="13" t="s">
        <v>2540</v>
      </c>
      <c r="B849" s="13" t="s">
        <v>57</v>
      </c>
      <c r="C849" s="13" t="s">
        <v>258</v>
      </c>
      <c r="D849" s="13" t="s">
        <v>166</v>
      </c>
      <c r="E849" s="13" t="s">
        <v>699</v>
      </c>
      <c r="F849" s="13"/>
      <c r="G849" s="13"/>
      <c r="H849" s="31"/>
      <c r="I849" s="33" t="n">
        <v>45826.6618616667</v>
      </c>
      <c r="J849" s="33" t="n">
        <v>45826.6618616667</v>
      </c>
      <c r="K849" s="13" t="s">
        <v>153</v>
      </c>
      <c r="L849" s="13"/>
      <c r="M849" s="13" t="s">
        <v>2541</v>
      </c>
      <c r="N849" s="33" t="n">
        <v>46308.7264460648</v>
      </c>
    </row>
    <row r="850" customFormat="false" ht="15" hidden="false" customHeight="false" outlineLevel="0" collapsed="false">
      <c r="A850" s="13" t="s">
        <v>2542</v>
      </c>
      <c r="B850" s="13" t="s">
        <v>57</v>
      </c>
      <c r="C850" s="13" t="s">
        <v>1296</v>
      </c>
      <c r="D850" s="13" t="s">
        <v>166</v>
      </c>
      <c r="E850" s="13" t="s">
        <v>699</v>
      </c>
      <c r="F850" s="13"/>
      <c r="G850" s="13"/>
      <c r="H850" s="31"/>
      <c r="I850" s="33" t="n">
        <v>45826.6618616667</v>
      </c>
      <c r="J850" s="33" t="n">
        <v>45826.6618616667</v>
      </c>
      <c r="K850" s="13" t="s">
        <v>153</v>
      </c>
      <c r="L850" s="13"/>
      <c r="M850" s="13" t="s">
        <v>2543</v>
      </c>
      <c r="N850" s="33" t="n">
        <v>46308.7264460648</v>
      </c>
    </row>
    <row r="851" customFormat="false" ht="15" hidden="false" customHeight="false" outlineLevel="0" collapsed="false">
      <c r="A851" s="13" t="s">
        <v>2544</v>
      </c>
      <c r="B851" s="13" t="s">
        <v>57</v>
      </c>
      <c r="C851" s="13" t="s">
        <v>2545</v>
      </c>
      <c r="D851" s="13" t="s">
        <v>166</v>
      </c>
      <c r="E851" s="13" t="s">
        <v>1044</v>
      </c>
      <c r="F851" s="13"/>
      <c r="G851" s="13"/>
      <c r="H851" s="31"/>
      <c r="I851" s="33" t="n">
        <v>45826.6618616667</v>
      </c>
      <c r="J851" s="33" t="n">
        <v>45826.6618616667</v>
      </c>
      <c r="K851" s="13" t="s">
        <v>153</v>
      </c>
      <c r="L851" s="13"/>
      <c r="M851" s="13" t="s">
        <v>2546</v>
      </c>
      <c r="N851" s="33" t="n">
        <v>46308.7264460648</v>
      </c>
    </row>
    <row r="852" customFormat="false" ht="15" hidden="false" customHeight="false" outlineLevel="0" collapsed="false">
      <c r="A852" s="13" t="s">
        <v>2547</v>
      </c>
      <c r="B852" s="13" t="s">
        <v>57</v>
      </c>
      <c r="C852" s="13" t="s">
        <v>1278</v>
      </c>
      <c r="D852" s="13" t="s">
        <v>166</v>
      </c>
      <c r="E852" s="13"/>
      <c r="F852" s="13"/>
      <c r="G852" s="13"/>
      <c r="H852" s="31"/>
      <c r="I852" s="33" t="n">
        <v>45826.5154147222</v>
      </c>
      <c r="J852" s="33" t="n">
        <v>45826.5154147222</v>
      </c>
      <c r="K852" s="13" t="s">
        <v>153</v>
      </c>
      <c r="L852" s="13"/>
      <c r="M852" s="13" t="s">
        <v>2548</v>
      </c>
      <c r="N852" s="33" t="n">
        <v>46308.7264460648</v>
      </c>
    </row>
    <row r="853" customFormat="false" ht="15" hidden="false" customHeight="false" outlineLevel="0" collapsed="false">
      <c r="A853" s="13" t="s">
        <v>2549</v>
      </c>
      <c r="B853" s="13" t="s">
        <v>57</v>
      </c>
      <c r="C853" s="13" t="s">
        <v>695</v>
      </c>
      <c r="D853" s="13" t="s">
        <v>166</v>
      </c>
      <c r="E853" s="13"/>
      <c r="F853" s="13"/>
      <c r="G853" s="13"/>
      <c r="H853" s="31"/>
      <c r="I853" s="33" t="n">
        <v>45825.6208967593</v>
      </c>
      <c r="J853" s="33" t="n">
        <v>45825.6208967593</v>
      </c>
      <c r="K853" s="13" t="s">
        <v>153</v>
      </c>
      <c r="L853" s="13"/>
      <c r="M853" s="13" t="s">
        <v>2550</v>
      </c>
      <c r="N853" s="33" t="n">
        <v>46308.7264460648</v>
      </c>
    </row>
    <row r="854" customFormat="false" ht="15" hidden="false" customHeight="false" outlineLevel="0" collapsed="false">
      <c r="A854" s="13" t="s">
        <v>2551</v>
      </c>
      <c r="B854" s="13" t="s">
        <v>57</v>
      </c>
      <c r="C854" s="13" t="s">
        <v>702</v>
      </c>
      <c r="D854" s="13" t="s">
        <v>166</v>
      </c>
      <c r="E854" s="13"/>
      <c r="F854" s="13"/>
      <c r="G854" s="13"/>
      <c r="H854" s="31"/>
      <c r="I854" s="33" t="n">
        <v>45825.6208967593</v>
      </c>
      <c r="J854" s="33" t="n">
        <v>45825.6208967593</v>
      </c>
      <c r="K854" s="13" t="s">
        <v>153</v>
      </c>
      <c r="L854" s="13"/>
      <c r="M854" s="13" t="s">
        <v>2552</v>
      </c>
      <c r="N854" s="33" t="n">
        <v>46308.7264460648</v>
      </c>
    </row>
    <row r="855" customFormat="false" ht="15" hidden="false" customHeight="false" outlineLevel="0" collapsed="false">
      <c r="A855" s="13" t="s">
        <v>2553</v>
      </c>
      <c r="B855" s="13" t="s">
        <v>57</v>
      </c>
      <c r="C855" s="13" t="s">
        <v>2554</v>
      </c>
      <c r="D855" s="13" t="s">
        <v>166</v>
      </c>
      <c r="E855" s="13" t="s">
        <v>2555</v>
      </c>
      <c r="F855" s="13" t="s">
        <v>736</v>
      </c>
      <c r="G855" s="13" t="s">
        <v>159</v>
      </c>
      <c r="H855" s="31"/>
      <c r="I855" s="33" t="n">
        <v>45825.6208967593</v>
      </c>
      <c r="J855" s="33" t="n">
        <v>45825.6208967593</v>
      </c>
      <c r="K855" s="13" t="s">
        <v>153</v>
      </c>
      <c r="L855" s="13" t="s">
        <v>117</v>
      </c>
      <c r="M855" s="13" t="s">
        <v>2556</v>
      </c>
      <c r="N855" s="33" t="n">
        <v>46308.7264460648</v>
      </c>
    </row>
    <row r="856" customFormat="false" ht="15" hidden="false" customHeight="false" outlineLevel="0" collapsed="false">
      <c r="A856" s="13" t="s">
        <v>2557</v>
      </c>
      <c r="B856" s="13" t="s">
        <v>57</v>
      </c>
      <c r="C856" s="13" t="s">
        <v>695</v>
      </c>
      <c r="D856" s="13" t="s">
        <v>166</v>
      </c>
      <c r="E856" s="13" t="s">
        <v>696</v>
      </c>
      <c r="F856" s="13"/>
      <c r="G856" s="13"/>
      <c r="H856" s="31"/>
      <c r="I856" s="33" t="n">
        <v>45825.6059124653</v>
      </c>
      <c r="J856" s="33" t="n">
        <v>45825.6059124653</v>
      </c>
      <c r="K856" s="13" t="s">
        <v>153</v>
      </c>
      <c r="L856" s="13"/>
      <c r="M856" s="13" t="s">
        <v>2558</v>
      </c>
      <c r="N856" s="33" t="n">
        <v>46308.7264460648</v>
      </c>
    </row>
    <row r="857" customFormat="false" ht="15" hidden="false" customHeight="false" outlineLevel="0" collapsed="false">
      <c r="A857" s="13" t="s">
        <v>2559</v>
      </c>
      <c r="B857" s="13" t="s">
        <v>57</v>
      </c>
      <c r="C857" s="13" t="s">
        <v>695</v>
      </c>
      <c r="D857" s="13" t="s">
        <v>166</v>
      </c>
      <c r="E857" s="13" t="s">
        <v>696</v>
      </c>
      <c r="F857" s="13"/>
      <c r="G857" s="13"/>
      <c r="H857" s="31"/>
      <c r="I857" s="33" t="n">
        <v>45825.6033092477</v>
      </c>
      <c r="J857" s="33" t="n">
        <v>45825.6033092477</v>
      </c>
      <c r="K857" s="13" t="s">
        <v>153</v>
      </c>
      <c r="L857" s="13"/>
      <c r="M857" s="13" t="s">
        <v>2560</v>
      </c>
      <c r="N857" s="33" t="n">
        <v>46308.7264460648</v>
      </c>
    </row>
    <row r="858" customFormat="false" ht="15" hidden="false" customHeight="false" outlineLevel="0" collapsed="false">
      <c r="A858" s="13" t="s">
        <v>2561</v>
      </c>
      <c r="B858" s="13" t="s">
        <v>57</v>
      </c>
      <c r="C858" s="13" t="s">
        <v>695</v>
      </c>
      <c r="D858" s="13" t="s">
        <v>166</v>
      </c>
      <c r="E858" s="13" t="s">
        <v>696</v>
      </c>
      <c r="F858" s="13"/>
      <c r="G858" s="13"/>
      <c r="H858" s="31"/>
      <c r="I858" s="33" t="n">
        <v>45825.6029652778</v>
      </c>
      <c r="J858" s="33" t="n">
        <v>45825.6029652778</v>
      </c>
      <c r="K858" s="13" t="s">
        <v>153</v>
      </c>
      <c r="L858" s="13"/>
      <c r="M858" s="13" t="s">
        <v>2562</v>
      </c>
      <c r="N858" s="33" t="n">
        <v>46308.7264460648</v>
      </c>
    </row>
    <row r="859" customFormat="false" ht="15" hidden="false" customHeight="false" outlineLevel="0" collapsed="false">
      <c r="A859" s="13" t="s">
        <v>2563</v>
      </c>
      <c r="B859" s="13" t="s">
        <v>57</v>
      </c>
      <c r="C859" s="13" t="s">
        <v>1435</v>
      </c>
      <c r="D859" s="13" t="s">
        <v>166</v>
      </c>
      <c r="E859" s="13" t="s">
        <v>981</v>
      </c>
      <c r="F859" s="13"/>
      <c r="G859" s="13"/>
      <c r="H859" s="31"/>
      <c r="I859" s="33" t="n">
        <v>45825.590753287</v>
      </c>
      <c r="J859" s="33" t="n">
        <v>45825.590753287</v>
      </c>
      <c r="K859" s="13" t="s">
        <v>153</v>
      </c>
      <c r="L859" s="13"/>
      <c r="M859" s="13" t="s">
        <v>2564</v>
      </c>
      <c r="N859" s="33" t="n">
        <v>46308.7264460648</v>
      </c>
    </row>
    <row r="860" customFormat="false" ht="15" hidden="false" customHeight="false" outlineLevel="0" collapsed="false">
      <c r="A860" s="13" t="s">
        <v>2565</v>
      </c>
      <c r="B860" s="13" t="s">
        <v>57</v>
      </c>
      <c r="C860" s="13" t="s">
        <v>2324</v>
      </c>
      <c r="D860" s="13" t="s">
        <v>166</v>
      </c>
      <c r="E860" s="13" t="s">
        <v>95</v>
      </c>
      <c r="F860" s="13"/>
      <c r="G860" s="13"/>
      <c r="H860" s="31"/>
      <c r="I860" s="33" t="n">
        <v>45825.5907366782</v>
      </c>
      <c r="J860" s="33" t="n">
        <v>45825.5907366782</v>
      </c>
      <c r="K860" s="13" t="s">
        <v>153</v>
      </c>
      <c r="L860" s="13"/>
      <c r="M860" s="13" t="s">
        <v>2566</v>
      </c>
      <c r="N860" s="33" t="n">
        <v>46308.7264460648</v>
      </c>
    </row>
    <row r="861" customFormat="false" ht="15" hidden="false" customHeight="false" outlineLevel="0" collapsed="false">
      <c r="A861" s="13" t="s">
        <v>2567</v>
      </c>
      <c r="B861" s="13" t="s">
        <v>57</v>
      </c>
      <c r="C861" s="13" t="s">
        <v>1278</v>
      </c>
      <c r="D861" s="13" t="s">
        <v>166</v>
      </c>
      <c r="E861" s="13" t="s">
        <v>928</v>
      </c>
      <c r="F861" s="13"/>
      <c r="G861" s="13"/>
      <c r="H861" s="31"/>
      <c r="I861" s="33" t="n">
        <v>45825.5775698148</v>
      </c>
      <c r="J861" s="33" t="n">
        <v>45825.5775698148</v>
      </c>
      <c r="K861" s="13" t="s">
        <v>153</v>
      </c>
      <c r="L861" s="13"/>
      <c r="M861" s="13" t="s">
        <v>2568</v>
      </c>
      <c r="N861" s="33" t="n">
        <v>46308.7264460648</v>
      </c>
    </row>
    <row r="862" customFormat="false" ht="15" hidden="false" customHeight="false" outlineLevel="0" collapsed="false">
      <c r="A862" s="13" t="s">
        <v>2569</v>
      </c>
      <c r="B862" s="13" t="s">
        <v>57</v>
      </c>
      <c r="C862" s="13" t="s">
        <v>2385</v>
      </c>
      <c r="D862" s="13" t="s">
        <v>166</v>
      </c>
      <c r="E862" s="13" t="s">
        <v>95</v>
      </c>
      <c r="F862" s="13"/>
      <c r="G862" s="13"/>
      <c r="H862" s="31"/>
      <c r="I862" s="33" t="n">
        <v>45825.5775341551</v>
      </c>
      <c r="J862" s="33" t="n">
        <v>45825.5775341551</v>
      </c>
      <c r="K862" s="13" t="s">
        <v>153</v>
      </c>
      <c r="L862" s="13"/>
      <c r="M862" s="13" t="s">
        <v>2570</v>
      </c>
      <c r="N862" s="33" t="n">
        <v>46308.7264460648</v>
      </c>
    </row>
    <row r="863" customFormat="false" ht="15" hidden="false" customHeight="false" outlineLevel="0" collapsed="false">
      <c r="A863" s="13" t="s">
        <v>2571</v>
      </c>
      <c r="B863" s="13" t="s">
        <v>57</v>
      </c>
      <c r="C863" s="13" t="s">
        <v>185</v>
      </c>
      <c r="D863" s="13" t="s">
        <v>166</v>
      </c>
      <c r="E863" s="13" t="s">
        <v>1044</v>
      </c>
      <c r="F863" s="13"/>
      <c r="G863" s="13"/>
      <c r="H863" s="31"/>
      <c r="I863" s="33" t="n">
        <v>45825.4701757755</v>
      </c>
      <c r="J863" s="33" t="n">
        <v>45825.4701757755</v>
      </c>
      <c r="K863" s="13" t="s">
        <v>153</v>
      </c>
      <c r="L863" s="13"/>
      <c r="M863" s="13" t="s">
        <v>2572</v>
      </c>
      <c r="N863" s="33" t="n">
        <v>46308.7264460648</v>
      </c>
    </row>
    <row r="864" customFormat="false" ht="15" hidden="false" customHeight="false" outlineLevel="0" collapsed="false">
      <c r="A864" s="13" t="s">
        <v>2573</v>
      </c>
      <c r="B864" s="13" t="s">
        <v>57</v>
      </c>
      <c r="C864" s="13" t="s">
        <v>185</v>
      </c>
      <c r="D864" s="13" t="s">
        <v>166</v>
      </c>
      <c r="E864" s="13"/>
      <c r="F864" s="13"/>
      <c r="G864" s="13"/>
      <c r="H864" s="31"/>
      <c r="I864" s="33" t="n">
        <v>45825.4051547222</v>
      </c>
      <c r="J864" s="33" t="n">
        <v>45825.4051547222</v>
      </c>
      <c r="K864" s="13" t="s">
        <v>153</v>
      </c>
      <c r="L864" s="13"/>
      <c r="M864" s="13" t="s">
        <v>2574</v>
      </c>
      <c r="N864" s="33" t="n">
        <v>46308.7264460648</v>
      </c>
    </row>
    <row r="865" customFormat="false" ht="15" hidden="false" customHeight="false" outlineLevel="0" collapsed="false">
      <c r="A865" s="13" t="s">
        <v>2575</v>
      </c>
      <c r="B865" s="13" t="s">
        <v>57</v>
      </c>
      <c r="C865" s="13" t="s">
        <v>1435</v>
      </c>
      <c r="D865" s="13" t="s">
        <v>166</v>
      </c>
      <c r="E865" s="13"/>
      <c r="F865" s="13"/>
      <c r="G865" s="13"/>
      <c r="H865" s="31"/>
      <c r="I865" s="33" t="n">
        <v>45825.401553831</v>
      </c>
      <c r="J865" s="33" t="n">
        <v>45825.401553831</v>
      </c>
      <c r="K865" s="13" t="s">
        <v>153</v>
      </c>
      <c r="L865" s="13"/>
      <c r="M865" s="13" t="s">
        <v>2576</v>
      </c>
      <c r="N865" s="33" t="n">
        <v>46308.7264460648</v>
      </c>
    </row>
    <row r="866" customFormat="false" ht="15" hidden="false" customHeight="false" outlineLevel="0" collapsed="false">
      <c r="A866" s="13" t="s">
        <v>2577</v>
      </c>
      <c r="B866" s="13" t="s">
        <v>57</v>
      </c>
      <c r="C866" s="13" t="s">
        <v>2578</v>
      </c>
      <c r="D866" s="13" t="s">
        <v>166</v>
      </c>
      <c r="E866" s="13" t="s">
        <v>1414</v>
      </c>
      <c r="F866" s="13"/>
      <c r="G866" s="13"/>
      <c r="H866" s="31"/>
      <c r="I866" s="33" t="n">
        <v>45824.7430922338</v>
      </c>
      <c r="J866" s="33" t="n">
        <v>45824.7430922338</v>
      </c>
      <c r="K866" s="13" t="s">
        <v>153</v>
      </c>
      <c r="L866" s="13"/>
      <c r="M866" s="13" t="s">
        <v>2579</v>
      </c>
      <c r="N866" s="33" t="n">
        <v>46308.7264460648</v>
      </c>
    </row>
    <row r="867" customFormat="false" ht="15" hidden="false" customHeight="false" outlineLevel="0" collapsed="false">
      <c r="A867" s="13" t="s">
        <v>2580</v>
      </c>
      <c r="B867" s="13" t="s">
        <v>57</v>
      </c>
      <c r="C867" s="13" t="s">
        <v>2581</v>
      </c>
      <c r="D867" s="13" t="s">
        <v>166</v>
      </c>
      <c r="E867" s="13" t="s">
        <v>1414</v>
      </c>
      <c r="F867" s="13"/>
      <c r="G867" s="13"/>
      <c r="H867" s="31"/>
      <c r="I867" s="33" t="n">
        <v>45824.7335640278</v>
      </c>
      <c r="J867" s="33" t="n">
        <v>45824.7335640278</v>
      </c>
      <c r="K867" s="13" t="s">
        <v>153</v>
      </c>
      <c r="L867" s="13"/>
      <c r="M867" s="13" t="s">
        <v>2582</v>
      </c>
      <c r="N867" s="33" t="n">
        <v>46308.7264460648</v>
      </c>
    </row>
    <row r="868" customFormat="false" ht="15" hidden="false" customHeight="false" outlineLevel="0" collapsed="false">
      <c r="A868" s="13" t="s">
        <v>2583</v>
      </c>
      <c r="B868" s="13" t="s">
        <v>57</v>
      </c>
      <c r="C868" s="13" t="s">
        <v>2584</v>
      </c>
      <c r="D868" s="13" t="s">
        <v>166</v>
      </c>
      <c r="E868" s="13" t="s">
        <v>1044</v>
      </c>
      <c r="F868" s="13"/>
      <c r="G868" s="13"/>
      <c r="H868" s="31"/>
      <c r="I868" s="33" t="n">
        <v>45824.7296619445</v>
      </c>
      <c r="J868" s="33" t="n">
        <v>45824.7296619445</v>
      </c>
      <c r="K868" s="13" t="s">
        <v>153</v>
      </c>
      <c r="L868" s="13"/>
      <c r="M868" s="13" t="s">
        <v>2585</v>
      </c>
      <c r="N868" s="33" t="n">
        <v>46308.7264460648</v>
      </c>
    </row>
    <row r="869" customFormat="false" ht="15" hidden="false" customHeight="false" outlineLevel="0" collapsed="false">
      <c r="A869" s="13" t="s">
        <v>2586</v>
      </c>
      <c r="B869" s="13" t="s">
        <v>57</v>
      </c>
      <c r="C869" s="13" t="s">
        <v>2587</v>
      </c>
      <c r="D869" s="13" t="s">
        <v>166</v>
      </c>
      <c r="E869" s="13" t="s">
        <v>1414</v>
      </c>
      <c r="F869" s="13"/>
      <c r="G869" s="13"/>
      <c r="H869" s="31"/>
      <c r="I869" s="33" t="n">
        <v>45824.7222373032</v>
      </c>
      <c r="J869" s="33" t="n">
        <v>45824.7222373032</v>
      </c>
      <c r="K869" s="13" t="s">
        <v>153</v>
      </c>
      <c r="L869" s="13"/>
      <c r="M869" s="13" t="s">
        <v>2588</v>
      </c>
      <c r="N869" s="33" t="n">
        <v>46308.7264460648</v>
      </c>
    </row>
    <row r="870" customFormat="false" ht="15" hidden="false" customHeight="false" outlineLevel="0" collapsed="false">
      <c r="A870" s="13" t="s">
        <v>2589</v>
      </c>
      <c r="B870" s="13" t="s">
        <v>57</v>
      </c>
      <c r="C870" s="13" t="s">
        <v>2590</v>
      </c>
      <c r="D870" s="13" t="s">
        <v>166</v>
      </c>
      <c r="E870" s="13" t="s">
        <v>1414</v>
      </c>
      <c r="F870" s="13"/>
      <c r="G870" s="13"/>
      <c r="H870" s="31"/>
      <c r="I870" s="33" t="n">
        <v>45824.6995025463</v>
      </c>
      <c r="J870" s="33" t="n">
        <v>45824.6995025463</v>
      </c>
      <c r="K870" s="13" t="s">
        <v>153</v>
      </c>
      <c r="L870" s="13"/>
      <c r="M870" s="13" t="s">
        <v>2591</v>
      </c>
      <c r="N870" s="33" t="n">
        <v>46308.7264460648</v>
      </c>
    </row>
    <row r="871" customFormat="false" ht="15" hidden="false" customHeight="false" outlineLevel="0" collapsed="false">
      <c r="A871" s="13" t="s">
        <v>2592</v>
      </c>
      <c r="B871" s="13" t="s">
        <v>57</v>
      </c>
      <c r="C871" s="13" t="s">
        <v>2593</v>
      </c>
      <c r="D871" s="13" t="s">
        <v>166</v>
      </c>
      <c r="E871" s="13" t="s">
        <v>1414</v>
      </c>
      <c r="F871" s="13"/>
      <c r="G871" s="13"/>
      <c r="H871" s="31"/>
      <c r="I871" s="33" t="n">
        <v>45824.6955790856</v>
      </c>
      <c r="J871" s="33" t="n">
        <v>45824.6955790856</v>
      </c>
      <c r="K871" s="13" t="s">
        <v>153</v>
      </c>
      <c r="L871" s="13"/>
      <c r="M871" s="13" t="s">
        <v>2594</v>
      </c>
      <c r="N871" s="33" t="n">
        <v>46308.7264460648</v>
      </c>
    </row>
    <row r="872" customFormat="false" ht="15" hidden="false" customHeight="false" outlineLevel="0" collapsed="false">
      <c r="A872" s="13" t="s">
        <v>2595</v>
      </c>
      <c r="B872" s="13" t="s">
        <v>57</v>
      </c>
      <c r="C872" s="13" t="s">
        <v>2596</v>
      </c>
      <c r="D872" s="13" t="s">
        <v>166</v>
      </c>
      <c r="E872" s="13" t="s">
        <v>1414</v>
      </c>
      <c r="F872" s="13"/>
      <c r="G872" s="13"/>
      <c r="H872" s="31"/>
      <c r="I872" s="33" t="n">
        <v>45824.6846892477</v>
      </c>
      <c r="J872" s="33" t="n">
        <v>45824.6846892477</v>
      </c>
      <c r="K872" s="13" t="s">
        <v>153</v>
      </c>
      <c r="L872" s="13"/>
      <c r="M872" s="13" t="s">
        <v>2597</v>
      </c>
      <c r="N872" s="33" t="n">
        <v>46308.7264460648</v>
      </c>
    </row>
    <row r="873" customFormat="false" ht="15" hidden="false" customHeight="false" outlineLevel="0" collapsed="false">
      <c r="A873" s="13" t="s">
        <v>2598</v>
      </c>
      <c r="B873" s="13" t="s">
        <v>57</v>
      </c>
      <c r="C873" s="13" t="s">
        <v>2599</v>
      </c>
      <c r="D873" s="13" t="s">
        <v>166</v>
      </c>
      <c r="E873" s="13" t="s">
        <v>981</v>
      </c>
      <c r="F873" s="13"/>
      <c r="G873" s="13" t="s">
        <v>207</v>
      </c>
      <c r="H873" s="31"/>
      <c r="I873" s="33" t="n">
        <v>45824.6631774074</v>
      </c>
      <c r="J873" s="33" t="n">
        <v>45824.6631774074</v>
      </c>
      <c r="K873" s="13" t="s">
        <v>153</v>
      </c>
      <c r="L873" s="13"/>
      <c r="M873" s="13" t="s">
        <v>2600</v>
      </c>
      <c r="N873" s="33" t="n">
        <v>46308.7264460648</v>
      </c>
    </row>
    <row r="874" customFormat="false" ht="15" hidden="false" customHeight="false" outlineLevel="0" collapsed="false">
      <c r="A874" s="13" t="s">
        <v>2601</v>
      </c>
      <c r="B874" s="13" t="s">
        <v>57</v>
      </c>
      <c r="C874" s="13" t="s">
        <v>2602</v>
      </c>
      <c r="D874" s="13" t="s">
        <v>166</v>
      </c>
      <c r="E874" s="13" t="s">
        <v>1414</v>
      </c>
      <c r="F874" s="13"/>
      <c r="G874" s="13"/>
      <c r="H874" s="31"/>
      <c r="I874" s="33" t="n">
        <v>45824.6571650232</v>
      </c>
      <c r="J874" s="33" t="n">
        <v>45824.6571650232</v>
      </c>
      <c r="K874" s="13" t="s">
        <v>153</v>
      </c>
      <c r="L874" s="13"/>
      <c r="M874" s="13" t="s">
        <v>2603</v>
      </c>
      <c r="N874" s="33" t="n">
        <v>46308.7264460648</v>
      </c>
    </row>
    <row r="875" customFormat="false" ht="15" hidden="false" customHeight="false" outlineLevel="0" collapsed="false">
      <c r="A875" s="13" t="s">
        <v>2604</v>
      </c>
      <c r="B875" s="13" t="s">
        <v>57</v>
      </c>
      <c r="C875" s="13" t="s">
        <v>1435</v>
      </c>
      <c r="D875" s="13" t="s">
        <v>166</v>
      </c>
      <c r="E875" s="13" t="s">
        <v>981</v>
      </c>
      <c r="F875" s="13"/>
      <c r="G875" s="13"/>
      <c r="H875" s="31"/>
      <c r="I875" s="33" t="n">
        <v>45824.655111956</v>
      </c>
      <c r="J875" s="33" t="n">
        <v>45824.655111956</v>
      </c>
      <c r="K875" s="13" t="s">
        <v>153</v>
      </c>
      <c r="L875" s="13"/>
      <c r="M875" s="13" t="s">
        <v>2605</v>
      </c>
      <c r="N875" s="33" t="n">
        <v>46308.7264460648</v>
      </c>
    </row>
    <row r="876" customFormat="false" ht="15" hidden="false" customHeight="false" outlineLevel="0" collapsed="false">
      <c r="A876" s="13" t="s">
        <v>2606</v>
      </c>
      <c r="B876" s="13" t="s">
        <v>57</v>
      </c>
      <c r="C876" s="13" t="s">
        <v>1435</v>
      </c>
      <c r="D876" s="13" t="s">
        <v>166</v>
      </c>
      <c r="E876" s="13" t="s">
        <v>981</v>
      </c>
      <c r="F876" s="13"/>
      <c r="G876" s="13"/>
      <c r="H876" s="31"/>
      <c r="I876" s="33" t="n">
        <v>45824.6550476389</v>
      </c>
      <c r="J876" s="33" t="n">
        <v>45824.6550476389</v>
      </c>
      <c r="K876" s="13" t="s">
        <v>153</v>
      </c>
      <c r="L876" s="13"/>
      <c r="M876" s="13" t="s">
        <v>2607</v>
      </c>
      <c r="N876" s="33" t="n">
        <v>46308.7264460648</v>
      </c>
    </row>
    <row r="877" customFormat="false" ht="15" hidden="false" customHeight="false" outlineLevel="0" collapsed="false">
      <c r="A877" s="13" t="s">
        <v>2608</v>
      </c>
      <c r="B877" s="13" t="s">
        <v>57</v>
      </c>
      <c r="C877" s="13" t="s">
        <v>1435</v>
      </c>
      <c r="D877" s="13" t="s">
        <v>166</v>
      </c>
      <c r="E877" s="13" t="s">
        <v>981</v>
      </c>
      <c r="F877" s="13"/>
      <c r="G877" s="13"/>
      <c r="H877" s="31"/>
      <c r="I877" s="33" t="n">
        <v>45824.6549992593</v>
      </c>
      <c r="J877" s="33" t="n">
        <v>45824.6549992593</v>
      </c>
      <c r="K877" s="13" t="s">
        <v>153</v>
      </c>
      <c r="L877" s="13"/>
      <c r="M877" s="13" t="s">
        <v>2609</v>
      </c>
      <c r="N877" s="33" t="n">
        <v>46308.7264460648</v>
      </c>
    </row>
    <row r="878" customFormat="false" ht="15" hidden="false" customHeight="false" outlineLevel="0" collapsed="false">
      <c r="A878" s="13" t="s">
        <v>2610</v>
      </c>
      <c r="B878" s="13" t="s">
        <v>57</v>
      </c>
      <c r="C878" s="13" t="s">
        <v>1435</v>
      </c>
      <c r="D878" s="13" t="s">
        <v>166</v>
      </c>
      <c r="E878" s="13" t="s">
        <v>981</v>
      </c>
      <c r="F878" s="13"/>
      <c r="G878" s="13"/>
      <c r="H878" s="31"/>
      <c r="I878" s="33" t="n">
        <v>45824.6549368866</v>
      </c>
      <c r="J878" s="33" t="n">
        <v>45824.6549368866</v>
      </c>
      <c r="K878" s="13" t="s">
        <v>153</v>
      </c>
      <c r="L878" s="13"/>
      <c r="M878" s="13" t="s">
        <v>2611</v>
      </c>
      <c r="N878" s="33" t="n">
        <v>46308.7264460648</v>
      </c>
    </row>
    <row r="879" customFormat="false" ht="15" hidden="false" customHeight="false" outlineLevel="0" collapsed="false">
      <c r="A879" s="13" t="s">
        <v>2612</v>
      </c>
      <c r="B879" s="13" t="s">
        <v>57</v>
      </c>
      <c r="C879" s="13" t="s">
        <v>2613</v>
      </c>
      <c r="D879" s="13" t="s">
        <v>166</v>
      </c>
      <c r="E879" s="13" t="s">
        <v>1414</v>
      </c>
      <c r="F879" s="13"/>
      <c r="G879" s="13"/>
      <c r="H879" s="31"/>
      <c r="I879" s="33" t="n">
        <v>45824.6497037269</v>
      </c>
      <c r="J879" s="33" t="n">
        <v>45824.6497037269</v>
      </c>
      <c r="K879" s="13" t="s">
        <v>153</v>
      </c>
      <c r="L879" s="13"/>
      <c r="M879" s="13" t="s">
        <v>2614</v>
      </c>
      <c r="N879" s="33" t="n">
        <v>46308.7264460648</v>
      </c>
    </row>
    <row r="880" customFormat="false" ht="15" hidden="false" customHeight="false" outlineLevel="0" collapsed="false">
      <c r="A880" s="13" t="s">
        <v>2615</v>
      </c>
      <c r="B880" s="13" t="s">
        <v>57</v>
      </c>
      <c r="C880" s="13" t="s">
        <v>2616</v>
      </c>
      <c r="D880" s="13" t="s">
        <v>166</v>
      </c>
      <c r="E880" s="13" t="s">
        <v>1414</v>
      </c>
      <c r="F880" s="13"/>
      <c r="G880" s="13"/>
      <c r="H880" s="31"/>
      <c r="I880" s="33" t="n">
        <v>45824.6448213889</v>
      </c>
      <c r="J880" s="33" t="n">
        <v>45824.6448213889</v>
      </c>
      <c r="K880" s="13" t="s">
        <v>153</v>
      </c>
      <c r="L880" s="13"/>
      <c r="M880" s="13" t="s">
        <v>2617</v>
      </c>
      <c r="N880" s="33" t="n">
        <v>46308.7264460648</v>
      </c>
    </row>
    <row r="881" customFormat="false" ht="15" hidden="false" customHeight="false" outlineLevel="0" collapsed="false">
      <c r="A881" s="13" t="s">
        <v>2618</v>
      </c>
      <c r="B881" s="13" t="s">
        <v>57</v>
      </c>
      <c r="C881" s="13" t="s">
        <v>2619</v>
      </c>
      <c r="D881" s="13" t="s">
        <v>166</v>
      </c>
      <c r="E881" s="13" t="s">
        <v>1414</v>
      </c>
      <c r="F881" s="13"/>
      <c r="G881" s="13"/>
      <c r="H881" s="31"/>
      <c r="I881" s="33" t="n">
        <v>45824.6337909838</v>
      </c>
      <c r="J881" s="33" t="n">
        <v>45824.6337909838</v>
      </c>
      <c r="K881" s="13" t="s">
        <v>153</v>
      </c>
      <c r="L881" s="13"/>
      <c r="M881" s="13" t="s">
        <v>2620</v>
      </c>
      <c r="N881" s="33" t="n">
        <v>46308.7264460648</v>
      </c>
    </row>
    <row r="882" customFormat="false" ht="15" hidden="false" customHeight="false" outlineLevel="0" collapsed="false">
      <c r="A882" s="13" t="s">
        <v>2621</v>
      </c>
      <c r="B882" s="13" t="s">
        <v>57</v>
      </c>
      <c r="C882" s="13" t="s">
        <v>2324</v>
      </c>
      <c r="D882" s="13" t="s">
        <v>166</v>
      </c>
      <c r="E882" s="13" t="s">
        <v>95</v>
      </c>
      <c r="F882" s="13"/>
      <c r="G882" s="13"/>
      <c r="H882" s="31"/>
      <c r="I882" s="33" t="n">
        <v>45824.627713287</v>
      </c>
      <c r="J882" s="33" t="n">
        <v>45824.627713287</v>
      </c>
      <c r="K882" s="13" t="s">
        <v>153</v>
      </c>
      <c r="L882" s="13"/>
      <c r="M882" s="13" t="s">
        <v>2622</v>
      </c>
      <c r="N882" s="33" t="n">
        <v>46308.7264460648</v>
      </c>
    </row>
    <row r="883" customFormat="false" ht="15" hidden="false" customHeight="false" outlineLevel="0" collapsed="false">
      <c r="A883" s="13" t="s">
        <v>2623</v>
      </c>
      <c r="B883" s="13" t="s">
        <v>57</v>
      </c>
      <c r="C883" s="13" t="s">
        <v>2385</v>
      </c>
      <c r="D883" s="13" t="s">
        <v>166</v>
      </c>
      <c r="E883" s="13" t="s">
        <v>95</v>
      </c>
      <c r="F883" s="13"/>
      <c r="G883" s="13"/>
      <c r="H883" s="31"/>
      <c r="I883" s="33" t="n">
        <v>45824.6274526968</v>
      </c>
      <c r="J883" s="33" t="n">
        <v>45824.6274526968</v>
      </c>
      <c r="K883" s="13" t="s">
        <v>153</v>
      </c>
      <c r="L883" s="13"/>
      <c r="M883" s="13" t="s">
        <v>2624</v>
      </c>
      <c r="N883" s="33" t="n">
        <v>46308.7264460648</v>
      </c>
    </row>
    <row r="884" customFormat="false" ht="15" hidden="false" customHeight="false" outlineLevel="0" collapsed="false">
      <c r="A884" s="13" t="s">
        <v>2625</v>
      </c>
      <c r="B884" s="13" t="s">
        <v>57</v>
      </c>
      <c r="C884" s="13" t="s">
        <v>2626</v>
      </c>
      <c r="D884" s="13" t="s">
        <v>166</v>
      </c>
      <c r="E884" s="13" t="s">
        <v>95</v>
      </c>
      <c r="F884" s="13"/>
      <c r="G884" s="13"/>
      <c r="H884" s="31"/>
      <c r="I884" s="33" t="n">
        <v>45824.6274003009</v>
      </c>
      <c r="J884" s="33" t="n">
        <v>45824.6274003009</v>
      </c>
      <c r="K884" s="13" t="s">
        <v>153</v>
      </c>
      <c r="L884" s="13"/>
      <c r="M884" s="13" t="s">
        <v>2627</v>
      </c>
      <c r="N884" s="33" t="n">
        <v>46308.7264460648</v>
      </c>
    </row>
    <row r="885" customFormat="false" ht="15" hidden="false" customHeight="false" outlineLevel="0" collapsed="false">
      <c r="A885" s="13" t="s">
        <v>2628</v>
      </c>
      <c r="B885" s="13" t="s">
        <v>57</v>
      </c>
      <c r="C885" s="13" t="s">
        <v>2629</v>
      </c>
      <c r="D885" s="13" t="s">
        <v>166</v>
      </c>
      <c r="E885" s="13" t="s">
        <v>1414</v>
      </c>
      <c r="F885" s="13"/>
      <c r="G885" s="13"/>
      <c r="H885" s="31"/>
      <c r="I885" s="33" t="n">
        <v>45824.6149664468</v>
      </c>
      <c r="J885" s="33" t="n">
        <v>45824.6149664468</v>
      </c>
      <c r="K885" s="13" t="s">
        <v>153</v>
      </c>
      <c r="L885" s="13"/>
      <c r="M885" s="13" t="s">
        <v>2630</v>
      </c>
      <c r="N885" s="33" t="n">
        <v>46308.7264460648</v>
      </c>
    </row>
    <row r="886" customFormat="false" ht="15" hidden="false" customHeight="false" outlineLevel="0" collapsed="false">
      <c r="A886" s="13" t="s">
        <v>2631</v>
      </c>
      <c r="B886" s="13" t="s">
        <v>57</v>
      </c>
      <c r="C886" s="13" t="s">
        <v>2385</v>
      </c>
      <c r="D886" s="13" t="s">
        <v>166</v>
      </c>
      <c r="E886" s="13" t="s">
        <v>95</v>
      </c>
      <c r="F886" s="13"/>
      <c r="G886" s="13"/>
      <c r="H886" s="31"/>
      <c r="I886" s="33" t="n">
        <v>45824.6128657176</v>
      </c>
      <c r="J886" s="33" t="n">
        <v>45824.6128657176</v>
      </c>
      <c r="K886" s="13" t="s">
        <v>153</v>
      </c>
      <c r="L886" s="13"/>
      <c r="M886" s="13" t="s">
        <v>2632</v>
      </c>
      <c r="N886" s="33" t="n">
        <v>46308.7264460648</v>
      </c>
    </row>
    <row r="887" customFormat="false" ht="15" hidden="false" customHeight="false" outlineLevel="0" collapsed="false">
      <c r="A887" s="13" t="s">
        <v>2633</v>
      </c>
      <c r="B887" s="13" t="s">
        <v>57</v>
      </c>
      <c r="C887" s="13" t="s">
        <v>185</v>
      </c>
      <c r="D887" s="13" t="s">
        <v>166</v>
      </c>
      <c r="E887" s="13" t="s">
        <v>981</v>
      </c>
      <c r="F887" s="13"/>
      <c r="G887" s="13"/>
      <c r="H887" s="31"/>
      <c r="I887" s="33" t="n">
        <v>45824.5776917014</v>
      </c>
      <c r="J887" s="33" t="n">
        <v>45824.5776917014</v>
      </c>
      <c r="K887" s="13" t="s">
        <v>153</v>
      </c>
      <c r="L887" s="13"/>
      <c r="M887" s="13" t="s">
        <v>2634</v>
      </c>
      <c r="N887" s="33" t="n">
        <v>46308.7264460648</v>
      </c>
    </row>
    <row r="888" customFormat="false" ht="15" hidden="false" customHeight="false" outlineLevel="0" collapsed="false">
      <c r="A888" s="13" t="s">
        <v>2635</v>
      </c>
      <c r="B888" s="13" t="s">
        <v>57</v>
      </c>
      <c r="C888" s="13" t="s">
        <v>1435</v>
      </c>
      <c r="D888" s="13" t="s">
        <v>166</v>
      </c>
      <c r="E888" s="13" t="s">
        <v>981</v>
      </c>
      <c r="F888" s="13"/>
      <c r="G888" s="13"/>
      <c r="H888" s="31"/>
      <c r="I888" s="33" t="n">
        <v>45824.577534456</v>
      </c>
      <c r="J888" s="33" t="n">
        <v>45824.577534456</v>
      </c>
      <c r="K888" s="13" t="s">
        <v>153</v>
      </c>
      <c r="L888" s="13"/>
      <c r="M888" s="13" t="s">
        <v>2636</v>
      </c>
      <c r="N888" s="33" t="n">
        <v>46308.7264460648</v>
      </c>
    </row>
    <row r="889" customFormat="false" ht="15" hidden="false" customHeight="false" outlineLevel="0" collapsed="false">
      <c r="A889" s="13" t="s">
        <v>2637</v>
      </c>
      <c r="B889" s="13" t="s">
        <v>57</v>
      </c>
      <c r="C889" s="13" t="s">
        <v>1435</v>
      </c>
      <c r="D889" s="13" t="s">
        <v>166</v>
      </c>
      <c r="E889" s="13" t="s">
        <v>981</v>
      </c>
      <c r="F889" s="13"/>
      <c r="G889" s="13"/>
      <c r="H889" s="31"/>
      <c r="I889" s="33" t="n">
        <v>45824.5771334491</v>
      </c>
      <c r="J889" s="33" t="n">
        <v>45824.5771334491</v>
      </c>
      <c r="K889" s="13" t="s">
        <v>153</v>
      </c>
      <c r="L889" s="13"/>
      <c r="M889" s="13" t="s">
        <v>2638</v>
      </c>
      <c r="N889" s="33" t="n">
        <v>46308.7264460648</v>
      </c>
    </row>
    <row r="890" customFormat="false" ht="15" hidden="false" customHeight="false" outlineLevel="0" collapsed="false">
      <c r="A890" s="13" t="s">
        <v>2639</v>
      </c>
      <c r="B890" s="13" t="s">
        <v>57</v>
      </c>
      <c r="C890" s="13" t="s">
        <v>1435</v>
      </c>
      <c r="D890" s="13" t="s">
        <v>166</v>
      </c>
      <c r="E890" s="13" t="s">
        <v>981</v>
      </c>
      <c r="F890" s="13"/>
      <c r="G890" s="13"/>
      <c r="H890" s="31"/>
      <c r="I890" s="33" t="n">
        <v>45824.5769627083</v>
      </c>
      <c r="J890" s="33" t="n">
        <v>45824.5769627083</v>
      </c>
      <c r="K890" s="13" t="s">
        <v>153</v>
      </c>
      <c r="L890" s="13"/>
      <c r="M890" s="13" t="s">
        <v>2640</v>
      </c>
      <c r="N890" s="33" t="n">
        <v>46308.7264460648</v>
      </c>
    </row>
    <row r="891" customFormat="false" ht="15" hidden="false" customHeight="false" outlineLevel="0" collapsed="false">
      <c r="A891" s="13" t="s">
        <v>2641</v>
      </c>
      <c r="B891" s="13" t="s">
        <v>57</v>
      </c>
      <c r="C891" s="13" t="s">
        <v>1435</v>
      </c>
      <c r="D891" s="13" t="s">
        <v>166</v>
      </c>
      <c r="E891" s="13" t="s">
        <v>981</v>
      </c>
      <c r="F891" s="13"/>
      <c r="G891" s="13"/>
      <c r="H891" s="31"/>
      <c r="I891" s="33" t="n">
        <v>45824.4586068287</v>
      </c>
      <c r="J891" s="33" t="n">
        <v>45824.4586068287</v>
      </c>
      <c r="K891" s="13" t="s">
        <v>153</v>
      </c>
      <c r="L891" s="13"/>
      <c r="M891" s="13" t="s">
        <v>2642</v>
      </c>
      <c r="N891" s="33" t="n">
        <v>46308.7264460648</v>
      </c>
    </row>
    <row r="892" customFormat="false" ht="15" hidden="false" customHeight="false" outlineLevel="0" collapsed="false">
      <c r="A892" s="13" t="s">
        <v>2643</v>
      </c>
      <c r="B892" s="13" t="s">
        <v>57</v>
      </c>
      <c r="C892" s="13" t="s">
        <v>1620</v>
      </c>
      <c r="D892" s="13" t="s">
        <v>166</v>
      </c>
      <c r="E892" s="13" t="s">
        <v>95</v>
      </c>
      <c r="F892" s="13"/>
      <c r="G892" s="13"/>
      <c r="H892" s="31"/>
      <c r="I892" s="33" t="n">
        <v>45824.3779329514</v>
      </c>
      <c r="J892" s="33" t="n">
        <v>45824.3779329514</v>
      </c>
      <c r="K892" s="13" t="s">
        <v>153</v>
      </c>
      <c r="L892" s="13"/>
      <c r="M892" s="13" t="s">
        <v>2644</v>
      </c>
      <c r="N892" s="33" t="n">
        <v>46308.7264460648</v>
      </c>
    </row>
    <row r="893" customFormat="false" ht="15" hidden="false" customHeight="false" outlineLevel="0" collapsed="false">
      <c r="A893" s="13" t="s">
        <v>2645</v>
      </c>
      <c r="B893" s="13" t="s">
        <v>57</v>
      </c>
      <c r="C893" s="13" t="s">
        <v>2385</v>
      </c>
      <c r="D893" s="13" t="s">
        <v>166</v>
      </c>
      <c r="E893" s="13" t="s">
        <v>95</v>
      </c>
      <c r="F893" s="13"/>
      <c r="G893" s="13"/>
      <c r="H893" s="31"/>
      <c r="I893" s="33" t="n">
        <v>45824.359507338</v>
      </c>
      <c r="J893" s="33" t="n">
        <v>45824.359507338</v>
      </c>
      <c r="K893" s="13" t="s">
        <v>153</v>
      </c>
      <c r="L893" s="13"/>
      <c r="M893" s="13" t="s">
        <v>2646</v>
      </c>
      <c r="N893" s="33" t="n">
        <v>46308.7264460648</v>
      </c>
    </row>
    <row r="894" customFormat="false" ht="15" hidden="false" customHeight="false" outlineLevel="0" collapsed="false">
      <c r="A894" s="13" t="s">
        <v>2647</v>
      </c>
      <c r="B894" s="13" t="s">
        <v>57</v>
      </c>
      <c r="C894" s="13" t="s">
        <v>2385</v>
      </c>
      <c r="D894" s="13" t="s">
        <v>166</v>
      </c>
      <c r="E894" s="13" t="s">
        <v>95</v>
      </c>
      <c r="F894" s="13"/>
      <c r="G894" s="13"/>
      <c r="H894" s="31"/>
      <c r="I894" s="33" t="n">
        <v>45824.3580577778</v>
      </c>
      <c r="J894" s="33" t="n">
        <v>45824.3580577778</v>
      </c>
      <c r="K894" s="13" t="s">
        <v>153</v>
      </c>
      <c r="L894" s="13"/>
      <c r="M894" s="13" t="s">
        <v>2648</v>
      </c>
      <c r="N894" s="33" t="n">
        <v>46308.7264460648</v>
      </c>
    </row>
    <row r="895" customFormat="false" ht="15" hidden="false" customHeight="false" outlineLevel="0" collapsed="false">
      <c r="A895" s="13" t="s">
        <v>2649</v>
      </c>
      <c r="B895" s="13" t="s">
        <v>57</v>
      </c>
      <c r="C895" s="13" t="s">
        <v>1278</v>
      </c>
      <c r="D895" s="13" t="s">
        <v>166</v>
      </c>
      <c r="E895" s="13" t="s">
        <v>95</v>
      </c>
      <c r="F895" s="13"/>
      <c r="G895" s="13"/>
      <c r="H895" s="31"/>
      <c r="I895" s="33" t="n">
        <v>45824.3572587963</v>
      </c>
      <c r="J895" s="33" t="n">
        <v>45824.3572587963</v>
      </c>
      <c r="K895" s="13" t="s">
        <v>153</v>
      </c>
      <c r="L895" s="13"/>
      <c r="M895" s="13" t="s">
        <v>2650</v>
      </c>
      <c r="N895" s="33" t="n">
        <v>46308.7264460648</v>
      </c>
    </row>
    <row r="896" customFormat="false" ht="15" hidden="false" customHeight="false" outlineLevel="0" collapsed="false">
      <c r="A896" s="13" t="s">
        <v>2651</v>
      </c>
      <c r="B896" s="13" t="s">
        <v>57</v>
      </c>
      <c r="C896" s="13" t="s">
        <v>2652</v>
      </c>
      <c r="D896" s="13" t="s">
        <v>166</v>
      </c>
      <c r="E896" s="13"/>
      <c r="F896" s="13"/>
      <c r="G896" s="13"/>
      <c r="H896" s="31"/>
      <c r="I896" s="33" t="n">
        <v>45821.6062223843</v>
      </c>
      <c r="J896" s="33" t="n">
        <v>45811.5773581944</v>
      </c>
      <c r="K896" s="13" t="s">
        <v>153</v>
      </c>
      <c r="L896" s="13"/>
      <c r="M896" s="13" t="s">
        <v>2653</v>
      </c>
      <c r="N896" s="33" t="n">
        <v>46308.7264460648</v>
      </c>
    </row>
    <row r="897" customFormat="false" ht="15" hidden="false" customHeight="false" outlineLevel="0" collapsed="false">
      <c r="A897" s="13" t="s">
        <v>2654</v>
      </c>
      <c r="B897" s="13" t="s">
        <v>57</v>
      </c>
      <c r="C897" s="13" t="s">
        <v>2655</v>
      </c>
      <c r="D897" s="13" t="s">
        <v>166</v>
      </c>
      <c r="E897" s="13"/>
      <c r="F897" s="13"/>
      <c r="G897" s="13"/>
      <c r="H897" s="31"/>
      <c r="I897" s="33" t="n">
        <v>45821.6061761921</v>
      </c>
      <c r="J897" s="33" t="n">
        <v>45810.4853298843</v>
      </c>
      <c r="K897" s="13" t="s">
        <v>153</v>
      </c>
      <c r="L897" s="13"/>
      <c r="M897" s="13" t="s">
        <v>2656</v>
      </c>
      <c r="N897" s="33" t="n">
        <v>46308.7264460648</v>
      </c>
    </row>
    <row r="898" customFormat="false" ht="15" hidden="false" customHeight="false" outlineLevel="0" collapsed="false">
      <c r="A898" s="13" t="s">
        <v>2657</v>
      </c>
      <c r="B898" s="13" t="s">
        <v>57</v>
      </c>
      <c r="C898" s="13" t="s">
        <v>2658</v>
      </c>
      <c r="D898" s="13" t="s">
        <v>166</v>
      </c>
      <c r="E898" s="13" t="s">
        <v>1007</v>
      </c>
      <c r="F898" s="13" t="s">
        <v>2659</v>
      </c>
      <c r="G898" s="13" t="s">
        <v>207</v>
      </c>
      <c r="H898" s="31"/>
      <c r="I898" s="33" t="n">
        <v>45821.3899091667</v>
      </c>
      <c r="J898" s="33" t="n">
        <v>45821.3863341898</v>
      </c>
      <c r="K898" s="13" t="s">
        <v>153</v>
      </c>
      <c r="L898" s="13" t="s">
        <v>117</v>
      </c>
      <c r="M898" s="13" t="s">
        <v>2660</v>
      </c>
      <c r="N898" s="33" t="n">
        <v>46308.7264460648</v>
      </c>
    </row>
    <row r="899" customFormat="false" ht="15" hidden="false" customHeight="false" outlineLevel="0" collapsed="false">
      <c r="A899" s="13" t="s">
        <v>2661</v>
      </c>
      <c r="B899" s="13" t="s">
        <v>57</v>
      </c>
      <c r="C899" s="13" t="s">
        <v>2662</v>
      </c>
      <c r="D899" s="13" t="s">
        <v>166</v>
      </c>
      <c r="E899" s="13"/>
      <c r="F899" s="13"/>
      <c r="G899" s="13"/>
      <c r="H899" s="31"/>
      <c r="I899" s="33" t="n">
        <v>45820.698459537</v>
      </c>
      <c r="J899" s="33" t="n">
        <v>45820.698459537</v>
      </c>
      <c r="K899" s="13" t="s">
        <v>153</v>
      </c>
      <c r="L899" s="13"/>
      <c r="M899" s="13" t="s">
        <v>2663</v>
      </c>
      <c r="N899" s="33" t="n">
        <v>46308.7264460648</v>
      </c>
    </row>
    <row r="900" customFormat="false" ht="15" hidden="false" customHeight="false" outlineLevel="0" collapsed="false">
      <c r="A900" s="13" t="s">
        <v>2664</v>
      </c>
      <c r="B900" s="13" t="s">
        <v>57</v>
      </c>
      <c r="C900" s="13" t="s">
        <v>2665</v>
      </c>
      <c r="D900" s="13" t="s">
        <v>166</v>
      </c>
      <c r="E900" s="13" t="s">
        <v>1414</v>
      </c>
      <c r="F900" s="13"/>
      <c r="G900" s="13"/>
      <c r="H900" s="31"/>
      <c r="I900" s="33" t="n">
        <v>45820.6984223727</v>
      </c>
      <c r="J900" s="33" t="n">
        <v>45820.6984223727</v>
      </c>
      <c r="K900" s="13" t="s">
        <v>153</v>
      </c>
      <c r="L900" s="13"/>
      <c r="M900" s="13" t="s">
        <v>2666</v>
      </c>
      <c r="N900" s="33" t="n">
        <v>46308.7264460648</v>
      </c>
    </row>
    <row r="901" customFormat="false" ht="15" hidden="false" customHeight="false" outlineLevel="0" collapsed="false">
      <c r="A901" s="13" t="s">
        <v>2667</v>
      </c>
      <c r="B901" s="13" t="s">
        <v>57</v>
      </c>
      <c r="C901" s="13" t="s">
        <v>2668</v>
      </c>
      <c r="D901" s="13" t="s">
        <v>166</v>
      </c>
      <c r="E901" s="13" t="s">
        <v>981</v>
      </c>
      <c r="F901" s="13"/>
      <c r="G901" s="13" t="s">
        <v>189</v>
      </c>
      <c r="H901" s="31"/>
      <c r="I901" s="33" t="n">
        <v>45820.6731066898</v>
      </c>
      <c r="J901" s="33" t="n">
        <v>45820.6731066898</v>
      </c>
      <c r="K901" s="13" t="s">
        <v>153</v>
      </c>
      <c r="L901" s="13"/>
      <c r="M901" s="13" t="s">
        <v>2669</v>
      </c>
      <c r="N901" s="33" t="n">
        <v>46308.7264460648</v>
      </c>
    </row>
    <row r="902" customFormat="false" ht="15" hidden="false" customHeight="false" outlineLevel="0" collapsed="false">
      <c r="A902" s="13" t="s">
        <v>2670</v>
      </c>
      <c r="B902" s="13" t="s">
        <v>57</v>
      </c>
      <c r="C902" s="13" t="s">
        <v>1299</v>
      </c>
      <c r="D902" s="13" t="s">
        <v>166</v>
      </c>
      <c r="E902" s="13"/>
      <c r="F902" s="13"/>
      <c r="G902" s="13"/>
      <c r="H902" s="31"/>
      <c r="I902" s="33" t="n">
        <v>45820.373767662</v>
      </c>
      <c r="J902" s="33" t="n">
        <v>45820.373767662</v>
      </c>
      <c r="K902" s="13" t="s">
        <v>153</v>
      </c>
      <c r="L902" s="13"/>
      <c r="M902" s="13" t="s">
        <v>2671</v>
      </c>
      <c r="N902" s="33" t="n">
        <v>46308.7264460648</v>
      </c>
    </row>
    <row r="903" customFormat="false" ht="15" hidden="false" customHeight="false" outlineLevel="0" collapsed="false">
      <c r="A903" s="13" t="s">
        <v>2672</v>
      </c>
      <c r="B903" s="13" t="s">
        <v>57</v>
      </c>
      <c r="C903" s="13" t="s">
        <v>1299</v>
      </c>
      <c r="D903" s="13" t="s">
        <v>166</v>
      </c>
      <c r="E903" s="13"/>
      <c r="F903" s="13"/>
      <c r="G903" s="13"/>
      <c r="H903" s="31"/>
      <c r="I903" s="33" t="n">
        <v>45820.3735599653</v>
      </c>
      <c r="J903" s="33" t="n">
        <v>45820.3735599653</v>
      </c>
      <c r="K903" s="13" t="s">
        <v>153</v>
      </c>
      <c r="L903" s="13"/>
      <c r="M903" s="13" t="s">
        <v>2673</v>
      </c>
      <c r="N903" s="33" t="n">
        <v>46308.7264460648</v>
      </c>
    </row>
    <row r="904" customFormat="false" ht="15" hidden="false" customHeight="false" outlineLevel="0" collapsed="false">
      <c r="A904" s="13" t="s">
        <v>2674</v>
      </c>
      <c r="B904" s="13" t="s">
        <v>57</v>
      </c>
      <c r="C904" s="13" t="s">
        <v>2675</v>
      </c>
      <c r="D904" s="13" t="s">
        <v>166</v>
      </c>
      <c r="E904" s="13" t="s">
        <v>1044</v>
      </c>
      <c r="F904" s="13"/>
      <c r="G904" s="13"/>
      <c r="H904" s="31"/>
      <c r="I904" s="33" t="n">
        <v>45820.3633779282</v>
      </c>
      <c r="J904" s="33" t="n">
        <v>45820.3633779282</v>
      </c>
      <c r="K904" s="13" t="s">
        <v>153</v>
      </c>
      <c r="L904" s="13"/>
      <c r="M904" s="13" t="s">
        <v>2676</v>
      </c>
      <c r="N904" s="33" t="n">
        <v>46308.7264460648</v>
      </c>
    </row>
    <row r="905" customFormat="false" ht="15" hidden="false" customHeight="false" outlineLevel="0" collapsed="false">
      <c r="A905" s="13" t="s">
        <v>2677</v>
      </c>
      <c r="B905" s="13" t="s">
        <v>57</v>
      </c>
      <c r="C905" s="13" t="s">
        <v>1299</v>
      </c>
      <c r="D905" s="13" t="s">
        <v>166</v>
      </c>
      <c r="E905" s="13"/>
      <c r="F905" s="13"/>
      <c r="G905" s="13"/>
      <c r="H905" s="31"/>
      <c r="I905" s="33" t="n">
        <v>45820.3631327778</v>
      </c>
      <c r="J905" s="33" t="n">
        <v>45820.3631327778</v>
      </c>
      <c r="K905" s="13" t="s">
        <v>153</v>
      </c>
      <c r="L905" s="13"/>
      <c r="M905" s="13" t="s">
        <v>2678</v>
      </c>
      <c r="N905" s="33" t="n">
        <v>46308.7264460648</v>
      </c>
    </row>
    <row r="906" customFormat="false" ht="15" hidden="false" customHeight="false" outlineLevel="0" collapsed="false">
      <c r="A906" s="13" t="s">
        <v>2679</v>
      </c>
      <c r="B906" s="13" t="s">
        <v>57</v>
      </c>
      <c r="C906" s="13" t="s">
        <v>2680</v>
      </c>
      <c r="D906" s="13" t="s">
        <v>166</v>
      </c>
      <c r="E906" s="13"/>
      <c r="F906" s="13"/>
      <c r="G906" s="13"/>
      <c r="H906" s="31"/>
      <c r="I906" s="33" t="n">
        <v>45820.3631327778</v>
      </c>
      <c r="J906" s="33" t="n">
        <v>45820.3631327778</v>
      </c>
      <c r="K906" s="13" t="s">
        <v>153</v>
      </c>
      <c r="L906" s="13"/>
      <c r="M906" s="13" t="s">
        <v>2681</v>
      </c>
      <c r="N906" s="33" t="n">
        <v>46308.7264460648</v>
      </c>
    </row>
    <row r="907" customFormat="false" ht="15" hidden="false" customHeight="false" outlineLevel="0" collapsed="false">
      <c r="A907" s="13" t="s">
        <v>2682</v>
      </c>
      <c r="B907" s="13" t="s">
        <v>57</v>
      </c>
      <c r="C907" s="13" t="s">
        <v>2385</v>
      </c>
      <c r="D907" s="13" t="s">
        <v>166</v>
      </c>
      <c r="E907" s="13" t="s">
        <v>95</v>
      </c>
      <c r="F907" s="13"/>
      <c r="G907" s="13"/>
      <c r="H907" s="31"/>
      <c r="I907" s="33" t="n">
        <v>45820.3630739815</v>
      </c>
      <c r="J907" s="33" t="n">
        <v>45820.3630739815</v>
      </c>
      <c r="K907" s="13" t="s">
        <v>153</v>
      </c>
      <c r="L907" s="13"/>
      <c r="M907" s="13" t="s">
        <v>2683</v>
      </c>
      <c r="N907" s="33" t="n">
        <v>46308.7264460648</v>
      </c>
    </row>
    <row r="908" customFormat="false" ht="15" hidden="false" customHeight="false" outlineLevel="0" collapsed="false">
      <c r="A908" s="13" t="s">
        <v>2684</v>
      </c>
      <c r="B908" s="13" t="s">
        <v>57</v>
      </c>
      <c r="C908" s="13" t="s">
        <v>1278</v>
      </c>
      <c r="D908" s="13" t="s">
        <v>166</v>
      </c>
      <c r="E908" s="13"/>
      <c r="F908" s="13"/>
      <c r="G908" s="13"/>
      <c r="H908" s="31"/>
      <c r="I908" s="33" t="n">
        <v>45820.3630739815</v>
      </c>
      <c r="J908" s="33" t="n">
        <v>45820.3630739815</v>
      </c>
      <c r="K908" s="13" t="s">
        <v>153</v>
      </c>
      <c r="L908" s="13"/>
      <c r="M908" s="13" t="s">
        <v>2685</v>
      </c>
      <c r="N908" s="33" t="n">
        <v>46308.7264460648</v>
      </c>
    </row>
    <row r="909" customFormat="false" ht="15" hidden="false" customHeight="false" outlineLevel="0" collapsed="false">
      <c r="A909" s="13" t="s">
        <v>2686</v>
      </c>
      <c r="B909" s="13" t="s">
        <v>57</v>
      </c>
      <c r="C909" s="13" t="s">
        <v>2687</v>
      </c>
      <c r="D909" s="13" t="s">
        <v>166</v>
      </c>
      <c r="E909" s="13"/>
      <c r="F909" s="13"/>
      <c r="G909" s="13"/>
      <c r="H909" s="31"/>
      <c r="I909" s="33" t="n">
        <v>45820.3630739815</v>
      </c>
      <c r="J909" s="33" t="n">
        <v>45820.3630739815</v>
      </c>
      <c r="K909" s="13" t="s">
        <v>153</v>
      </c>
      <c r="L909" s="13"/>
      <c r="M909" s="13" t="s">
        <v>2688</v>
      </c>
      <c r="N909" s="33" t="n">
        <v>46308.7264460648</v>
      </c>
    </row>
    <row r="910" customFormat="false" ht="15" hidden="false" customHeight="false" outlineLevel="0" collapsed="false">
      <c r="A910" s="13" t="s">
        <v>2689</v>
      </c>
      <c r="B910" s="13" t="s">
        <v>57</v>
      </c>
      <c r="C910" s="13" t="s">
        <v>2690</v>
      </c>
      <c r="D910" s="13" t="s">
        <v>401</v>
      </c>
      <c r="E910" s="13" t="s">
        <v>1285</v>
      </c>
      <c r="F910" s="13"/>
      <c r="G910" s="13"/>
      <c r="H910" s="31"/>
      <c r="I910" s="33" t="n">
        <v>45819.7227124769</v>
      </c>
      <c r="J910" s="33"/>
      <c r="K910" s="13" t="s">
        <v>153</v>
      </c>
      <c r="L910" s="13"/>
      <c r="M910" s="13" t="s">
        <v>2691</v>
      </c>
      <c r="N910" s="33" t="n">
        <v>46308.7264460648</v>
      </c>
    </row>
    <row r="911" customFormat="false" ht="15" hidden="false" customHeight="false" outlineLevel="0" collapsed="false">
      <c r="A911" s="13" t="s">
        <v>2692</v>
      </c>
      <c r="B911" s="13" t="s">
        <v>57</v>
      </c>
      <c r="C911" s="13" t="s">
        <v>258</v>
      </c>
      <c r="D911" s="13" t="s">
        <v>166</v>
      </c>
      <c r="E911" s="13" t="s">
        <v>259</v>
      </c>
      <c r="F911" s="13"/>
      <c r="G911" s="13"/>
      <c r="H911" s="31"/>
      <c r="I911" s="33" t="n">
        <v>45819.7075397222</v>
      </c>
      <c r="J911" s="33" t="n">
        <v>45813.6357321875</v>
      </c>
      <c r="K911" s="13" t="s">
        <v>153</v>
      </c>
      <c r="L911" s="13"/>
      <c r="M911" s="13" t="s">
        <v>2693</v>
      </c>
      <c r="N911" s="33" t="n">
        <v>46308.7264460648</v>
      </c>
    </row>
    <row r="912" customFormat="false" ht="15" hidden="false" customHeight="false" outlineLevel="0" collapsed="false">
      <c r="A912" s="13" t="s">
        <v>2694</v>
      </c>
      <c r="B912" s="13" t="s">
        <v>57</v>
      </c>
      <c r="C912" s="13" t="s">
        <v>695</v>
      </c>
      <c r="D912" s="13" t="s">
        <v>166</v>
      </c>
      <c r="E912" s="13" t="s">
        <v>696</v>
      </c>
      <c r="F912" s="13"/>
      <c r="G912" s="13"/>
      <c r="H912" s="31"/>
      <c r="I912" s="33" t="n">
        <v>45819.6601861227</v>
      </c>
      <c r="J912" s="33" t="n">
        <v>45819.6601861227</v>
      </c>
      <c r="K912" s="13" t="s">
        <v>153</v>
      </c>
      <c r="L912" s="13"/>
      <c r="M912" s="13" t="s">
        <v>2695</v>
      </c>
      <c r="N912" s="33" t="n">
        <v>46308.7264460648</v>
      </c>
    </row>
    <row r="913" customFormat="false" ht="15" hidden="false" customHeight="false" outlineLevel="0" collapsed="false">
      <c r="A913" s="13" t="s">
        <v>2696</v>
      </c>
      <c r="B913" s="13" t="s">
        <v>57</v>
      </c>
      <c r="C913" s="13" t="s">
        <v>1296</v>
      </c>
      <c r="D913" s="13" t="s">
        <v>166</v>
      </c>
      <c r="E913" s="13"/>
      <c r="F913" s="13"/>
      <c r="G913" s="13"/>
      <c r="H913" s="31"/>
      <c r="I913" s="33" t="n">
        <v>45819.6601861227</v>
      </c>
      <c r="J913" s="33" t="n">
        <v>45819.6601861227</v>
      </c>
      <c r="K913" s="13" t="s">
        <v>153</v>
      </c>
      <c r="L913" s="13"/>
      <c r="M913" s="13" t="s">
        <v>2697</v>
      </c>
      <c r="N913" s="33" t="n">
        <v>46308.7264460648</v>
      </c>
    </row>
    <row r="914" customFormat="false" ht="15" hidden="false" customHeight="false" outlineLevel="0" collapsed="false">
      <c r="A914" s="13" t="s">
        <v>2698</v>
      </c>
      <c r="B914" s="13" t="s">
        <v>57</v>
      </c>
      <c r="C914" s="13" t="s">
        <v>258</v>
      </c>
      <c r="D914" s="13" t="s">
        <v>166</v>
      </c>
      <c r="E914" s="13" t="s">
        <v>259</v>
      </c>
      <c r="F914" s="13"/>
      <c r="G914" s="13"/>
      <c r="H914" s="31"/>
      <c r="I914" s="33" t="n">
        <v>45819.6167650232</v>
      </c>
      <c r="J914" s="33" t="n">
        <v>45819.6167650232</v>
      </c>
      <c r="K914" s="13" t="s">
        <v>153</v>
      </c>
      <c r="L914" s="13"/>
      <c r="M914" s="13" t="s">
        <v>2699</v>
      </c>
      <c r="N914" s="33" t="n">
        <v>46308.7264460648</v>
      </c>
    </row>
    <row r="915" customFormat="false" ht="15" hidden="false" customHeight="false" outlineLevel="0" collapsed="false">
      <c r="A915" s="13" t="s">
        <v>2700</v>
      </c>
      <c r="B915" s="13" t="s">
        <v>57</v>
      </c>
      <c r="C915" s="13" t="s">
        <v>1278</v>
      </c>
      <c r="D915" s="13" t="s">
        <v>166</v>
      </c>
      <c r="E915" s="13"/>
      <c r="F915" s="13"/>
      <c r="G915" s="13"/>
      <c r="H915" s="31"/>
      <c r="I915" s="33" t="n">
        <v>45819.6094528357</v>
      </c>
      <c r="J915" s="33" t="n">
        <v>45819.6094528357</v>
      </c>
      <c r="K915" s="13" t="s">
        <v>153</v>
      </c>
      <c r="L915" s="13"/>
      <c r="M915" s="13" t="s">
        <v>2701</v>
      </c>
      <c r="N915" s="33" t="n">
        <v>46308.7264460648</v>
      </c>
    </row>
    <row r="916" customFormat="false" ht="15" hidden="false" customHeight="false" outlineLevel="0" collapsed="false">
      <c r="A916" s="13" t="s">
        <v>2702</v>
      </c>
      <c r="B916" s="13" t="s">
        <v>57</v>
      </c>
      <c r="C916" s="13" t="s">
        <v>1435</v>
      </c>
      <c r="D916" s="13" t="s">
        <v>166</v>
      </c>
      <c r="E916" s="13" t="s">
        <v>981</v>
      </c>
      <c r="F916" s="13"/>
      <c r="G916" s="13"/>
      <c r="H916" s="31"/>
      <c r="I916" s="33" t="n">
        <v>45819.5987408681</v>
      </c>
      <c r="J916" s="33" t="n">
        <v>45819.5987408681</v>
      </c>
      <c r="K916" s="13" t="s">
        <v>153</v>
      </c>
      <c r="L916" s="13"/>
      <c r="M916" s="13" t="s">
        <v>2703</v>
      </c>
      <c r="N916" s="33" t="n">
        <v>46308.7264460648</v>
      </c>
    </row>
    <row r="917" customFormat="false" ht="15" hidden="false" customHeight="false" outlineLevel="0" collapsed="false">
      <c r="A917" s="13" t="s">
        <v>2704</v>
      </c>
      <c r="B917" s="13" t="s">
        <v>57</v>
      </c>
      <c r="C917" s="13" t="s">
        <v>2324</v>
      </c>
      <c r="D917" s="13" t="s">
        <v>166</v>
      </c>
      <c r="E917" s="13" t="s">
        <v>95</v>
      </c>
      <c r="F917" s="13"/>
      <c r="G917" s="13"/>
      <c r="H917" s="31"/>
      <c r="I917" s="33" t="n">
        <v>45819.4574641782</v>
      </c>
      <c r="J917" s="33" t="n">
        <v>45819.4574641782</v>
      </c>
      <c r="K917" s="13" t="s">
        <v>153</v>
      </c>
      <c r="L917" s="13"/>
      <c r="M917" s="13" t="s">
        <v>2705</v>
      </c>
      <c r="N917" s="33" t="n">
        <v>46308.7264460648</v>
      </c>
    </row>
    <row r="918" customFormat="false" ht="15" hidden="false" customHeight="false" outlineLevel="0" collapsed="false">
      <c r="A918" s="13" t="s">
        <v>2706</v>
      </c>
      <c r="B918" s="13" t="s">
        <v>57</v>
      </c>
      <c r="C918" s="13" t="s">
        <v>2665</v>
      </c>
      <c r="D918" s="13" t="s">
        <v>166</v>
      </c>
      <c r="E918" s="13" t="s">
        <v>699</v>
      </c>
      <c r="F918" s="13"/>
      <c r="G918" s="13"/>
      <c r="H918" s="31"/>
      <c r="I918" s="33" t="n">
        <v>45819.3798083333</v>
      </c>
      <c r="J918" s="33" t="n">
        <v>45819.3798083333</v>
      </c>
      <c r="K918" s="13" t="s">
        <v>153</v>
      </c>
      <c r="L918" s="13"/>
      <c r="M918" s="13" t="s">
        <v>2707</v>
      </c>
      <c r="N918" s="33" t="n">
        <v>46308.7264460648</v>
      </c>
    </row>
    <row r="919" customFormat="false" ht="15" hidden="false" customHeight="false" outlineLevel="0" collapsed="false">
      <c r="A919" s="13" t="s">
        <v>2708</v>
      </c>
      <c r="B919" s="13" t="s">
        <v>57</v>
      </c>
      <c r="C919" s="13" t="s">
        <v>2709</v>
      </c>
      <c r="D919" s="13" t="s">
        <v>166</v>
      </c>
      <c r="E919" s="13" t="s">
        <v>95</v>
      </c>
      <c r="F919" s="13"/>
      <c r="G919" s="13"/>
      <c r="H919" s="31"/>
      <c r="I919" s="33" t="n">
        <v>45819.3707922801</v>
      </c>
      <c r="J919" s="33" t="n">
        <v>45819.3707922801</v>
      </c>
      <c r="K919" s="13" t="s">
        <v>153</v>
      </c>
      <c r="L919" s="13"/>
      <c r="M919" s="13" t="s">
        <v>2710</v>
      </c>
      <c r="N919" s="33" t="n">
        <v>46308.7264460648</v>
      </c>
    </row>
    <row r="920" customFormat="false" ht="15" hidden="false" customHeight="false" outlineLevel="0" collapsed="false">
      <c r="A920" s="13" t="s">
        <v>2711</v>
      </c>
      <c r="B920" s="13" t="s">
        <v>57</v>
      </c>
      <c r="C920" s="13" t="s">
        <v>2712</v>
      </c>
      <c r="D920" s="13" t="s">
        <v>166</v>
      </c>
      <c r="E920" s="13" t="s">
        <v>1414</v>
      </c>
      <c r="F920" s="13"/>
      <c r="G920" s="13"/>
      <c r="H920" s="31"/>
      <c r="I920" s="33" t="n">
        <v>45818.6497274537</v>
      </c>
      <c r="J920" s="33" t="n">
        <v>45818.5922367708</v>
      </c>
      <c r="K920" s="13" t="s">
        <v>153</v>
      </c>
      <c r="L920" s="13"/>
      <c r="M920" s="13" t="s">
        <v>2713</v>
      </c>
      <c r="N920" s="33" t="n">
        <v>46308.7264460648</v>
      </c>
    </row>
    <row r="921" customFormat="false" ht="15" hidden="false" customHeight="false" outlineLevel="0" collapsed="false">
      <c r="A921" s="13" t="s">
        <v>2714</v>
      </c>
      <c r="B921" s="13" t="s">
        <v>57</v>
      </c>
      <c r="C921" s="13" t="s">
        <v>2715</v>
      </c>
      <c r="D921" s="13" t="s">
        <v>166</v>
      </c>
      <c r="E921" s="13" t="s">
        <v>1414</v>
      </c>
      <c r="F921" s="13"/>
      <c r="G921" s="13"/>
      <c r="H921" s="31"/>
      <c r="I921" s="33" t="n">
        <v>45818.6496544445</v>
      </c>
      <c r="J921" s="33" t="n">
        <v>45818.587904294</v>
      </c>
      <c r="K921" s="13" t="s">
        <v>153</v>
      </c>
      <c r="L921" s="13"/>
      <c r="M921" s="13" t="s">
        <v>2716</v>
      </c>
      <c r="N921" s="33" t="n">
        <v>46308.7264460648</v>
      </c>
    </row>
    <row r="922" customFormat="false" ht="15" hidden="false" customHeight="false" outlineLevel="0" collapsed="false">
      <c r="A922" s="13" t="s">
        <v>2717</v>
      </c>
      <c r="B922" s="13" t="s">
        <v>57</v>
      </c>
      <c r="C922" s="13" t="s">
        <v>2718</v>
      </c>
      <c r="D922" s="13" t="s">
        <v>166</v>
      </c>
      <c r="E922" s="13"/>
      <c r="F922" s="13"/>
      <c r="G922" s="13"/>
      <c r="H922" s="31"/>
      <c r="I922" s="33" t="n">
        <v>45818.6238868866</v>
      </c>
      <c r="J922" s="33" t="n">
        <v>45818.6237620602</v>
      </c>
      <c r="K922" s="13" t="s">
        <v>153</v>
      </c>
      <c r="L922" s="13"/>
      <c r="M922" s="13" t="s">
        <v>2719</v>
      </c>
      <c r="N922" s="33" t="n">
        <v>46308.7264460648</v>
      </c>
    </row>
    <row r="923" customFormat="false" ht="15" hidden="false" customHeight="false" outlineLevel="0" collapsed="false">
      <c r="A923" s="13" t="s">
        <v>2720</v>
      </c>
      <c r="B923" s="13" t="s">
        <v>57</v>
      </c>
      <c r="C923" s="13" t="s">
        <v>2721</v>
      </c>
      <c r="D923" s="13" t="s">
        <v>166</v>
      </c>
      <c r="E923" s="13"/>
      <c r="F923" s="13"/>
      <c r="G923" s="13"/>
      <c r="H923" s="31"/>
      <c r="I923" s="33" t="n">
        <v>45818.6217438657</v>
      </c>
      <c r="J923" s="33" t="n">
        <v>45811.6464072222</v>
      </c>
      <c r="K923" s="13" t="s">
        <v>153</v>
      </c>
      <c r="L923" s="13"/>
      <c r="M923" s="13" t="s">
        <v>2722</v>
      </c>
      <c r="N923" s="33" t="n">
        <v>46308.7264460648</v>
      </c>
    </row>
    <row r="924" customFormat="false" ht="15" hidden="false" customHeight="false" outlineLevel="0" collapsed="false">
      <c r="A924" s="13" t="s">
        <v>2723</v>
      </c>
      <c r="B924" s="13" t="s">
        <v>57</v>
      </c>
      <c r="C924" s="13" t="s">
        <v>2724</v>
      </c>
      <c r="D924" s="13" t="s">
        <v>166</v>
      </c>
      <c r="E924" s="13"/>
      <c r="F924" s="13"/>
      <c r="G924" s="13"/>
      <c r="H924" s="31"/>
      <c r="I924" s="33" t="n">
        <v>45818.6215918403</v>
      </c>
      <c r="J924" s="33" t="n">
        <v>45811.6124828704</v>
      </c>
      <c r="K924" s="13" t="s">
        <v>153</v>
      </c>
      <c r="L924" s="13"/>
      <c r="M924" s="13" t="s">
        <v>2725</v>
      </c>
      <c r="N924" s="33" t="n">
        <v>46308.7264460648</v>
      </c>
    </row>
    <row r="925" customFormat="false" ht="15" hidden="false" customHeight="false" outlineLevel="0" collapsed="false">
      <c r="A925" s="13" t="s">
        <v>2726</v>
      </c>
      <c r="B925" s="13" t="s">
        <v>57</v>
      </c>
      <c r="C925" s="13" t="s">
        <v>2727</v>
      </c>
      <c r="D925" s="13" t="s">
        <v>166</v>
      </c>
      <c r="E925" s="13"/>
      <c r="F925" s="13"/>
      <c r="G925" s="13"/>
      <c r="H925" s="31"/>
      <c r="I925" s="33" t="n">
        <v>45818.6214189005</v>
      </c>
      <c r="J925" s="33" t="n">
        <v>45811.5992756945</v>
      </c>
      <c r="K925" s="13" t="s">
        <v>153</v>
      </c>
      <c r="L925" s="13"/>
      <c r="M925" s="13" t="s">
        <v>2728</v>
      </c>
      <c r="N925" s="33" t="n">
        <v>46308.7264460648</v>
      </c>
    </row>
    <row r="926" customFormat="false" ht="15" hidden="false" customHeight="false" outlineLevel="0" collapsed="false">
      <c r="A926" s="13" t="s">
        <v>2729</v>
      </c>
      <c r="B926" s="13" t="s">
        <v>57</v>
      </c>
      <c r="C926" s="13" t="s">
        <v>2730</v>
      </c>
      <c r="D926" s="13" t="s">
        <v>166</v>
      </c>
      <c r="E926" s="13" t="s">
        <v>1044</v>
      </c>
      <c r="F926" s="13"/>
      <c r="G926" s="13" t="s">
        <v>159</v>
      </c>
      <c r="H926" s="31"/>
      <c r="I926" s="33" t="n">
        <v>45818.6183564699</v>
      </c>
      <c r="J926" s="33" t="n">
        <v>45818.6183564699</v>
      </c>
      <c r="K926" s="13" t="s">
        <v>153</v>
      </c>
      <c r="L926" s="13"/>
      <c r="M926" s="13" t="s">
        <v>2731</v>
      </c>
      <c r="N926" s="33" t="n">
        <v>46308.7264460648</v>
      </c>
    </row>
    <row r="927" customFormat="false" ht="15" hidden="false" customHeight="false" outlineLevel="0" collapsed="false">
      <c r="A927" s="13" t="s">
        <v>2732</v>
      </c>
      <c r="B927" s="13" t="s">
        <v>57</v>
      </c>
      <c r="C927" s="13" t="s">
        <v>2733</v>
      </c>
      <c r="D927" s="13" t="s">
        <v>166</v>
      </c>
      <c r="E927" s="13" t="s">
        <v>981</v>
      </c>
      <c r="F927" s="13"/>
      <c r="G927" s="13"/>
      <c r="H927" s="31"/>
      <c r="I927" s="33" t="n">
        <v>45818.6179856019</v>
      </c>
      <c r="J927" s="33" t="n">
        <v>45818.6179856019</v>
      </c>
      <c r="K927" s="13" t="s">
        <v>153</v>
      </c>
      <c r="L927" s="13"/>
      <c r="M927" s="13" t="s">
        <v>2734</v>
      </c>
      <c r="N927" s="33" t="n">
        <v>46308.7264460648</v>
      </c>
    </row>
    <row r="928" customFormat="false" ht="15" hidden="false" customHeight="false" outlineLevel="0" collapsed="false">
      <c r="A928" s="13" t="s">
        <v>2735</v>
      </c>
      <c r="B928" s="13" t="s">
        <v>57</v>
      </c>
      <c r="C928" s="13" t="s">
        <v>1435</v>
      </c>
      <c r="D928" s="13" t="s">
        <v>166</v>
      </c>
      <c r="E928" s="13" t="s">
        <v>981</v>
      </c>
      <c r="F928" s="13"/>
      <c r="G928" s="13"/>
      <c r="H928" s="31"/>
      <c r="I928" s="33" t="n">
        <v>45818.5936964931</v>
      </c>
      <c r="J928" s="33" t="n">
        <v>45818.5936964931</v>
      </c>
      <c r="K928" s="13" t="s">
        <v>153</v>
      </c>
      <c r="L928" s="13"/>
      <c r="M928" s="13" t="s">
        <v>2736</v>
      </c>
      <c r="N928" s="33" t="n">
        <v>46308.7264460648</v>
      </c>
    </row>
    <row r="929" customFormat="false" ht="15" hidden="false" customHeight="false" outlineLevel="0" collapsed="false">
      <c r="A929" s="13" t="s">
        <v>2737</v>
      </c>
      <c r="B929" s="13" t="s">
        <v>57</v>
      </c>
      <c r="C929" s="13" t="s">
        <v>2738</v>
      </c>
      <c r="D929" s="13" t="s">
        <v>166</v>
      </c>
      <c r="E929" s="13" t="s">
        <v>1285</v>
      </c>
      <c r="F929" s="13"/>
      <c r="G929" s="13" t="s">
        <v>189</v>
      </c>
      <c r="H929" s="31"/>
      <c r="I929" s="33" t="n">
        <v>45818.59024625</v>
      </c>
      <c r="J929" s="33" t="n">
        <v>45818.59024625</v>
      </c>
      <c r="K929" s="13" t="s">
        <v>153</v>
      </c>
      <c r="L929" s="13"/>
      <c r="M929" s="13" t="s">
        <v>2739</v>
      </c>
      <c r="N929" s="33" t="n">
        <v>46308.7264460648</v>
      </c>
    </row>
    <row r="930" customFormat="false" ht="15" hidden="false" customHeight="false" outlineLevel="0" collapsed="false">
      <c r="A930" s="13" t="s">
        <v>2740</v>
      </c>
      <c r="B930" s="13" t="s">
        <v>57</v>
      </c>
      <c r="C930" s="13" t="s">
        <v>2741</v>
      </c>
      <c r="D930" s="13" t="s">
        <v>166</v>
      </c>
      <c r="E930" s="13" t="s">
        <v>1414</v>
      </c>
      <c r="F930" s="13"/>
      <c r="G930" s="13"/>
      <c r="H930" s="31"/>
      <c r="I930" s="33" t="n">
        <v>45818.5799051389</v>
      </c>
      <c r="J930" s="33" t="n">
        <v>45818.5799051389</v>
      </c>
      <c r="K930" s="13" t="s">
        <v>153</v>
      </c>
      <c r="L930" s="13"/>
      <c r="M930" s="13" t="s">
        <v>2742</v>
      </c>
      <c r="N930" s="33" t="n">
        <v>46308.7264460648</v>
      </c>
    </row>
    <row r="931" customFormat="false" ht="15" hidden="false" customHeight="false" outlineLevel="0" collapsed="false">
      <c r="A931" s="13" t="s">
        <v>2743</v>
      </c>
      <c r="B931" s="13" t="s">
        <v>57</v>
      </c>
      <c r="C931" s="13" t="s">
        <v>2744</v>
      </c>
      <c r="D931" s="13" t="s">
        <v>166</v>
      </c>
      <c r="E931" s="13" t="s">
        <v>802</v>
      </c>
      <c r="F931" s="13"/>
      <c r="G931" s="13"/>
      <c r="H931" s="31"/>
      <c r="I931" s="33" t="n">
        <v>45818.5453457292</v>
      </c>
      <c r="J931" s="33" t="n">
        <v>45818.5453457292</v>
      </c>
      <c r="K931" s="13" t="s">
        <v>153</v>
      </c>
      <c r="L931" s="13"/>
      <c r="M931" s="13" t="s">
        <v>2745</v>
      </c>
      <c r="N931" s="33" t="n">
        <v>46308.7264460648</v>
      </c>
    </row>
    <row r="932" customFormat="false" ht="15" hidden="false" customHeight="false" outlineLevel="0" collapsed="false">
      <c r="A932" s="13" t="s">
        <v>2746</v>
      </c>
      <c r="B932" s="13" t="s">
        <v>57</v>
      </c>
      <c r="C932" s="13" t="s">
        <v>258</v>
      </c>
      <c r="D932" s="13" t="s">
        <v>166</v>
      </c>
      <c r="E932" s="13" t="s">
        <v>259</v>
      </c>
      <c r="F932" s="13"/>
      <c r="G932" s="13"/>
      <c r="H932" s="31"/>
      <c r="I932" s="33" t="n">
        <v>45818.4928582755</v>
      </c>
      <c r="J932" s="33" t="n">
        <v>45813.6344956713</v>
      </c>
      <c r="K932" s="13" t="s">
        <v>153</v>
      </c>
      <c r="L932" s="13"/>
      <c r="M932" s="13" t="s">
        <v>2747</v>
      </c>
      <c r="N932" s="33" t="n">
        <v>46308.7264460648</v>
      </c>
    </row>
    <row r="933" customFormat="false" ht="15" hidden="false" customHeight="false" outlineLevel="0" collapsed="false">
      <c r="A933" s="13" t="s">
        <v>2748</v>
      </c>
      <c r="B933" s="13" t="s">
        <v>57</v>
      </c>
      <c r="C933" s="13" t="s">
        <v>1435</v>
      </c>
      <c r="D933" s="13" t="s">
        <v>166</v>
      </c>
      <c r="E933" s="13" t="s">
        <v>981</v>
      </c>
      <c r="F933" s="13"/>
      <c r="G933" s="13"/>
      <c r="H933" s="31"/>
      <c r="I933" s="33" t="n">
        <v>45818.4447708218</v>
      </c>
      <c r="J933" s="33" t="n">
        <v>45818.4447708218</v>
      </c>
      <c r="K933" s="13" t="s">
        <v>153</v>
      </c>
      <c r="L933" s="13"/>
      <c r="M933" s="13" t="s">
        <v>2749</v>
      </c>
      <c r="N933" s="33" t="n">
        <v>46308.7264460648</v>
      </c>
    </row>
    <row r="934" customFormat="false" ht="15" hidden="false" customHeight="false" outlineLevel="0" collapsed="false">
      <c r="A934" s="13" t="s">
        <v>2750</v>
      </c>
      <c r="B934" s="13" t="s">
        <v>57</v>
      </c>
      <c r="C934" s="13" t="s">
        <v>1278</v>
      </c>
      <c r="D934" s="13" t="s">
        <v>166</v>
      </c>
      <c r="E934" s="13"/>
      <c r="F934" s="13"/>
      <c r="G934" s="13"/>
      <c r="H934" s="31"/>
      <c r="I934" s="33" t="n">
        <v>45818.3900896181</v>
      </c>
      <c r="J934" s="33" t="n">
        <v>45818.3900896181</v>
      </c>
      <c r="K934" s="13" t="s">
        <v>153</v>
      </c>
      <c r="L934" s="13"/>
      <c r="M934" s="13" t="s">
        <v>2751</v>
      </c>
      <c r="N934" s="33" t="n">
        <v>46308.7264460648</v>
      </c>
    </row>
    <row r="935" customFormat="false" ht="15" hidden="false" customHeight="false" outlineLevel="0" collapsed="false">
      <c r="A935" s="13" t="s">
        <v>2752</v>
      </c>
      <c r="B935" s="13" t="s">
        <v>57</v>
      </c>
      <c r="C935" s="13" t="s">
        <v>1278</v>
      </c>
      <c r="D935" s="13" t="s">
        <v>166</v>
      </c>
      <c r="E935" s="13"/>
      <c r="F935" s="13"/>
      <c r="G935" s="13"/>
      <c r="H935" s="31"/>
      <c r="I935" s="33" t="n">
        <v>45818.3899046644</v>
      </c>
      <c r="J935" s="33" t="n">
        <v>45818.3899046644</v>
      </c>
      <c r="K935" s="13" t="s">
        <v>153</v>
      </c>
      <c r="L935" s="13"/>
      <c r="M935" s="13" t="s">
        <v>2753</v>
      </c>
      <c r="N935" s="33" t="n">
        <v>46308.7264460648</v>
      </c>
    </row>
    <row r="936" customFormat="false" ht="15" hidden="false" customHeight="false" outlineLevel="0" collapsed="false">
      <c r="A936" s="13" t="s">
        <v>2754</v>
      </c>
      <c r="B936" s="13" t="s">
        <v>57</v>
      </c>
      <c r="C936" s="13" t="s">
        <v>2385</v>
      </c>
      <c r="D936" s="13" t="s">
        <v>166</v>
      </c>
      <c r="E936" s="13" t="s">
        <v>95</v>
      </c>
      <c r="F936" s="13"/>
      <c r="G936" s="13"/>
      <c r="H936" s="31"/>
      <c r="I936" s="33" t="n">
        <v>45818.3878897801</v>
      </c>
      <c r="J936" s="33" t="n">
        <v>45818.3878897801</v>
      </c>
      <c r="K936" s="13" t="s">
        <v>153</v>
      </c>
      <c r="L936" s="13"/>
      <c r="M936" s="13" t="s">
        <v>2755</v>
      </c>
      <c r="N936" s="33" t="n">
        <v>46308.7264460648</v>
      </c>
    </row>
    <row r="937" customFormat="false" ht="15" hidden="false" customHeight="false" outlineLevel="0" collapsed="false">
      <c r="A937" s="13" t="s">
        <v>2756</v>
      </c>
      <c r="B937" s="13" t="s">
        <v>57</v>
      </c>
      <c r="C937" s="13" t="s">
        <v>1435</v>
      </c>
      <c r="D937" s="13" t="s">
        <v>166</v>
      </c>
      <c r="E937" s="13" t="s">
        <v>981</v>
      </c>
      <c r="F937" s="13"/>
      <c r="G937" s="13"/>
      <c r="H937" s="31"/>
      <c r="I937" s="33" t="n">
        <v>45817.7497863079</v>
      </c>
      <c r="J937" s="33" t="n">
        <v>45817.7497863079</v>
      </c>
      <c r="K937" s="13" t="s">
        <v>153</v>
      </c>
      <c r="L937" s="13"/>
      <c r="M937" s="13" t="s">
        <v>2757</v>
      </c>
      <c r="N937" s="33" t="n">
        <v>46308.7264460648</v>
      </c>
    </row>
    <row r="938" customFormat="false" ht="15" hidden="false" customHeight="false" outlineLevel="0" collapsed="false">
      <c r="A938" s="13" t="s">
        <v>2758</v>
      </c>
      <c r="B938" s="13" t="s">
        <v>57</v>
      </c>
      <c r="C938" s="13" t="s">
        <v>2759</v>
      </c>
      <c r="D938" s="13" t="s">
        <v>166</v>
      </c>
      <c r="E938" s="13" t="s">
        <v>95</v>
      </c>
      <c r="F938" s="13" t="s">
        <v>736</v>
      </c>
      <c r="G938" s="13" t="s">
        <v>189</v>
      </c>
      <c r="H938" s="31"/>
      <c r="I938" s="33" t="n">
        <v>45817.6225983681</v>
      </c>
      <c r="J938" s="33" t="n">
        <v>45817.6225983681</v>
      </c>
      <c r="K938" s="13" t="s">
        <v>153</v>
      </c>
      <c r="L938" s="13" t="s">
        <v>117</v>
      </c>
      <c r="M938" s="13" t="s">
        <v>2760</v>
      </c>
      <c r="N938" s="33" t="n">
        <v>46308.7264460648</v>
      </c>
    </row>
    <row r="939" customFormat="false" ht="15" hidden="false" customHeight="false" outlineLevel="0" collapsed="false">
      <c r="A939" s="13" t="s">
        <v>2761</v>
      </c>
      <c r="B939" s="13" t="s">
        <v>57</v>
      </c>
      <c r="C939" s="13" t="s">
        <v>702</v>
      </c>
      <c r="D939" s="13" t="s">
        <v>166</v>
      </c>
      <c r="E939" s="13"/>
      <c r="F939" s="13"/>
      <c r="G939" s="13"/>
      <c r="H939" s="31"/>
      <c r="I939" s="33" t="n">
        <v>45817.4701203009</v>
      </c>
      <c r="J939" s="33" t="n">
        <v>45817.4701203009</v>
      </c>
      <c r="K939" s="13" t="s">
        <v>153</v>
      </c>
      <c r="L939" s="13"/>
      <c r="M939" s="13" t="s">
        <v>2762</v>
      </c>
      <c r="N939" s="33" t="n">
        <v>46308.7264460648</v>
      </c>
    </row>
    <row r="940" customFormat="false" ht="15" hidden="false" customHeight="false" outlineLevel="0" collapsed="false">
      <c r="A940" s="13" t="s">
        <v>2763</v>
      </c>
      <c r="B940" s="13" t="s">
        <v>57</v>
      </c>
      <c r="C940" s="13" t="s">
        <v>695</v>
      </c>
      <c r="D940" s="13" t="s">
        <v>166</v>
      </c>
      <c r="E940" s="13" t="s">
        <v>696</v>
      </c>
      <c r="F940" s="13"/>
      <c r="G940" s="13"/>
      <c r="H940" s="31"/>
      <c r="I940" s="33" t="n">
        <v>45817.4697890857</v>
      </c>
      <c r="J940" s="33" t="n">
        <v>45817.4697890857</v>
      </c>
      <c r="K940" s="13" t="s">
        <v>153</v>
      </c>
      <c r="L940" s="13"/>
      <c r="M940" s="13" t="s">
        <v>2764</v>
      </c>
      <c r="N940" s="33" t="n">
        <v>46308.7264460648</v>
      </c>
    </row>
    <row r="941" customFormat="false" ht="15" hidden="false" customHeight="false" outlineLevel="0" collapsed="false">
      <c r="A941" s="13" t="s">
        <v>2765</v>
      </c>
      <c r="B941" s="13" t="s">
        <v>57</v>
      </c>
      <c r="C941" s="13" t="s">
        <v>1435</v>
      </c>
      <c r="D941" s="13" t="s">
        <v>166</v>
      </c>
      <c r="E941" s="13" t="s">
        <v>981</v>
      </c>
      <c r="F941" s="13"/>
      <c r="G941" s="13"/>
      <c r="H941" s="31"/>
      <c r="I941" s="33" t="n">
        <v>45817.3880369676</v>
      </c>
      <c r="J941" s="33" t="n">
        <v>45817.3880369676</v>
      </c>
      <c r="K941" s="13" t="s">
        <v>153</v>
      </c>
      <c r="L941" s="13"/>
      <c r="M941" s="13" t="s">
        <v>2766</v>
      </c>
      <c r="N941" s="33" t="n">
        <v>46308.7264460648</v>
      </c>
    </row>
    <row r="942" customFormat="false" ht="15" hidden="false" customHeight="false" outlineLevel="0" collapsed="false">
      <c r="A942" s="13" t="s">
        <v>2767</v>
      </c>
      <c r="B942" s="13" t="s">
        <v>57</v>
      </c>
      <c r="C942" s="13" t="s">
        <v>2768</v>
      </c>
      <c r="D942" s="13" t="s">
        <v>166</v>
      </c>
      <c r="E942" s="13" t="s">
        <v>802</v>
      </c>
      <c r="F942" s="13"/>
      <c r="G942" s="13"/>
      <c r="H942" s="31" t="n">
        <v>45797</v>
      </c>
      <c r="I942" s="33" t="n">
        <v>45814.3614675926</v>
      </c>
      <c r="J942" s="33" t="n">
        <v>45799.4110549306</v>
      </c>
      <c r="K942" s="13" t="s">
        <v>153</v>
      </c>
      <c r="L942" s="13"/>
      <c r="M942" s="13" t="s">
        <v>2769</v>
      </c>
      <c r="N942" s="33" t="n">
        <v>46308.7264460648</v>
      </c>
    </row>
    <row r="943" customFormat="false" ht="15" hidden="false" customHeight="false" outlineLevel="0" collapsed="false">
      <c r="A943" s="13" t="s">
        <v>2770</v>
      </c>
      <c r="B943" s="13" t="s">
        <v>57</v>
      </c>
      <c r="C943" s="13" t="s">
        <v>2771</v>
      </c>
      <c r="D943" s="13" t="s">
        <v>166</v>
      </c>
      <c r="E943" s="13"/>
      <c r="F943" s="13"/>
      <c r="G943" s="13"/>
      <c r="H943" s="31"/>
      <c r="I943" s="33" t="n">
        <v>45813.7054366898</v>
      </c>
      <c r="J943" s="33" t="n">
        <v>45813.7054366898</v>
      </c>
      <c r="K943" s="13" t="s">
        <v>153</v>
      </c>
      <c r="L943" s="13"/>
      <c r="M943" s="13" t="s">
        <v>2772</v>
      </c>
      <c r="N943" s="33" t="n">
        <v>46308.7264460648</v>
      </c>
    </row>
    <row r="944" customFormat="false" ht="15" hidden="false" customHeight="false" outlineLevel="0" collapsed="false">
      <c r="A944" s="13" t="s">
        <v>2773</v>
      </c>
      <c r="B944" s="13" t="s">
        <v>57</v>
      </c>
      <c r="C944" s="13" t="s">
        <v>2774</v>
      </c>
      <c r="D944" s="13" t="s">
        <v>166</v>
      </c>
      <c r="E944" s="13" t="s">
        <v>1044</v>
      </c>
      <c r="F944" s="13"/>
      <c r="G944" s="13" t="s">
        <v>159</v>
      </c>
      <c r="H944" s="31"/>
      <c r="I944" s="33" t="n">
        <v>45813.6298300579</v>
      </c>
      <c r="J944" s="33" t="n">
        <v>45813.6298300579</v>
      </c>
      <c r="K944" s="13" t="s">
        <v>153</v>
      </c>
      <c r="L944" s="13"/>
      <c r="M944" s="13" t="s">
        <v>2775</v>
      </c>
      <c r="N944" s="33" t="n">
        <v>46308.7264460648</v>
      </c>
    </row>
    <row r="945" customFormat="false" ht="15" hidden="false" customHeight="false" outlineLevel="0" collapsed="false">
      <c r="A945" s="13" t="s">
        <v>2776</v>
      </c>
      <c r="B945" s="13" t="s">
        <v>57</v>
      </c>
      <c r="C945" s="13" t="s">
        <v>1278</v>
      </c>
      <c r="D945" s="13" t="s">
        <v>166</v>
      </c>
      <c r="E945" s="13"/>
      <c r="F945" s="13"/>
      <c r="G945" s="13"/>
      <c r="H945" s="31"/>
      <c r="I945" s="33" t="n">
        <v>45813.626267338</v>
      </c>
      <c r="J945" s="33" t="n">
        <v>45813.626267338</v>
      </c>
      <c r="K945" s="13" t="s">
        <v>153</v>
      </c>
      <c r="L945" s="13"/>
      <c r="M945" s="13" t="s">
        <v>2777</v>
      </c>
      <c r="N945" s="33" t="n">
        <v>46308.7264460648</v>
      </c>
    </row>
    <row r="946" customFormat="false" ht="15" hidden="false" customHeight="false" outlineLevel="0" collapsed="false">
      <c r="A946" s="13" t="s">
        <v>2778</v>
      </c>
      <c r="B946" s="13" t="s">
        <v>57</v>
      </c>
      <c r="C946" s="13" t="s">
        <v>2385</v>
      </c>
      <c r="D946" s="13" t="s">
        <v>166</v>
      </c>
      <c r="E946" s="13" t="s">
        <v>95</v>
      </c>
      <c r="F946" s="13"/>
      <c r="G946" s="13"/>
      <c r="H946" s="31"/>
      <c r="I946" s="33" t="n">
        <v>45813.620364375</v>
      </c>
      <c r="J946" s="33" t="n">
        <v>45813.620364375</v>
      </c>
      <c r="K946" s="13" t="s">
        <v>153</v>
      </c>
      <c r="L946" s="13"/>
      <c r="M946" s="13" t="s">
        <v>2779</v>
      </c>
      <c r="N946" s="33" t="n">
        <v>46308.7264460648</v>
      </c>
    </row>
    <row r="947" customFormat="false" ht="15" hidden="false" customHeight="false" outlineLevel="0" collapsed="false">
      <c r="A947" s="13" t="s">
        <v>2780</v>
      </c>
      <c r="B947" s="13" t="s">
        <v>57</v>
      </c>
      <c r="C947" s="13" t="s">
        <v>2385</v>
      </c>
      <c r="D947" s="13" t="s">
        <v>166</v>
      </c>
      <c r="E947" s="13" t="s">
        <v>95</v>
      </c>
      <c r="F947" s="13"/>
      <c r="G947" s="13"/>
      <c r="H947" s="31"/>
      <c r="I947" s="33" t="n">
        <v>45813.4458523727</v>
      </c>
      <c r="J947" s="33" t="n">
        <v>45813.4458523727</v>
      </c>
      <c r="K947" s="13" t="s">
        <v>153</v>
      </c>
      <c r="L947" s="13"/>
      <c r="M947" s="13" t="s">
        <v>2781</v>
      </c>
      <c r="N947" s="33" t="n">
        <v>46308.7264460648</v>
      </c>
    </row>
    <row r="948" customFormat="false" ht="15" hidden="false" customHeight="false" outlineLevel="0" collapsed="false">
      <c r="A948" s="13" t="s">
        <v>2782</v>
      </c>
      <c r="B948" s="13" t="s">
        <v>57</v>
      </c>
      <c r="C948" s="13" t="s">
        <v>2783</v>
      </c>
      <c r="D948" s="13" t="s">
        <v>166</v>
      </c>
      <c r="E948" s="13" t="s">
        <v>95</v>
      </c>
      <c r="F948" s="13"/>
      <c r="G948" s="13"/>
      <c r="H948" s="31"/>
      <c r="I948" s="33" t="n">
        <v>45813.4401559954</v>
      </c>
      <c r="J948" s="33" t="n">
        <v>45813.4401559954</v>
      </c>
      <c r="K948" s="13" t="s">
        <v>153</v>
      </c>
      <c r="L948" s="13"/>
      <c r="M948" s="13" t="s">
        <v>2784</v>
      </c>
      <c r="N948" s="33" t="n">
        <v>46308.7264460648</v>
      </c>
    </row>
    <row r="949" customFormat="false" ht="15" hidden="false" customHeight="false" outlineLevel="0" collapsed="false">
      <c r="A949" s="13" t="s">
        <v>2785</v>
      </c>
      <c r="B949" s="13" t="s">
        <v>57</v>
      </c>
      <c r="C949" s="13" t="s">
        <v>2665</v>
      </c>
      <c r="D949" s="13" t="s">
        <v>166</v>
      </c>
      <c r="E949" s="13" t="s">
        <v>259</v>
      </c>
      <c r="F949" s="13" t="s">
        <v>60</v>
      </c>
      <c r="G949" s="13"/>
      <c r="H949" s="31"/>
      <c r="I949" s="33" t="n">
        <v>45812.7293240162</v>
      </c>
      <c r="J949" s="33" t="n">
        <v>45811.3717303357</v>
      </c>
      <c r="K949" s="13" t="s">
        <v>153</v>
      </c>
      <c r="L949" s="13" t="s">
        <v>280</v>
      </c>
      <c r="M949" s="13" t="s">
        <v>2786</v>
      </c>
      <c r="N949" s="33" t="n">
        <v>46308.7264460648</v>
      </c>
    </row>
    <row r="950" customFormat="false" ht="15" hidden="false" customHeight="false" outlineLevel="0" collapsed="false">
      <c r="A950" s="13" t="s">
        <v>2787</v>
      </c>
      <c r="B950" s="13" t="s">
        <v>57</v>
      </c>
      <c r="C950" s="13" t="s">
        <v>2788</v>
      </c>
      <c r="D950" s="13" t="s">
        <v>166</v>
      </c>
      <c r="E950" s="13" t="s">
        <v>1044</v>
      </c>
      <c r="F950" s="13"/>
      <c r="G950" s="13" t="s">
        <v>159</v>
      </c>
      <c r="H950" s="31"/>
      <c r="I950" s="33" t="n">
        <v>45812.7291333449</v>
      </c>
      <c r="J950" s="33" t="n">
        <v>45812.6597032407</v>
      </c>
      <c r="K950" s="13" t="s">
        <v>153</v>
      </c>
      <c r="L950" s="13"/>
      <c r="M950" s="13" t="s">
        <v>2789</v>
      </c>
      <c r="N950" s="33" t="n">
        <v>46308.7264460648</v>
      </c>
    </row>
    <row r="951" customFormat="false" ht="15" hidden="false" customHeight="false" outlineLevel="0" collapsed="false">
      <c r="A951" s="13" t="s">
        <v>2790</v>
      </c>
      <c r="B951" s="13" t="s">
        <v>57</v>
      </c>
      <c r="C951" s="13" t="s">
        <v>2662</v>
      </c>
      <c r="D951" s="13" t="s">
        <v>166</v>
      </c>
      <c r="E951" s="13" t="s">
        <v>696</v>
      </c>
      <c r="F951" s="13"/>
      <c r="G951" s="13"/>
      <c r="H951" s="31"/>
      <c r="I951" s="33" t="n">
        <v>45812.7245683102</v>
      </c>
      <c r="J951" s="33" t="n">
        <v>45812.7245683102</v>
      </c>
      <c r="K951" s="13" t="s">
        <v>153</v>
      </c>
      <c r="L951" s="13"/>
      <c r="M951" s="13" t="s">
        <v>2791</v>
      </c>
      <c r="N951" s="33" t="n">
        <v>46308.7264460648</v>
      </c>
    </row>
    <row r="952" customFormat="false" ht="15" hidden="false" customHeight="false" outlineLevel="0" collapsed="false">
      <c r="A952" s="13" t="s">
        <v>2792</v>
      </c>
      <c r="B952" s="13" t="s">
        <v>57</v>
      </c>
      <c r="C952" s="13" t="s">
        <v>2662</v>
      </c>
      <c r="D952" s="13" t="s">
        <v>166</v>
      </c>
      <c r="E952" s="13"/>
      <c r="F952" s="13"/>
      <c r="G952" s="13"/>
      <c r="H952" s="31"/>
      <c r="I952" s="33" t="n">
        <v>45812.6597032407</v>
      </c>
      <c r="J952" s="33" t="n">
        <v>45812.6597032407</v>
      </c>
      <c r="K952" s="13" t="s">
        <v>153</v>
      </c>
      <c r="L952" s="13"/>
      <c r="M952" s="13" t="s">
        <v>2793</v>
      </c>
      <c r="N952" s="33" t="n">
        <v>46308.7264460648</v>
      </c>
    </row>
    <row r="953" customFormat="false" ht="15" hidden="false" customHeight="false" outlineLevel="0" collapsed="false">
      <c r="A953" s="13" t="s">
        <v>2794</v>
      </c>
      <c r="B953" s="13" t="s">
        <v>57</v>
      </c>
      <c r="C953" s="13" t="s">
        <v>702</v>
      </c>
      <c r="D953" s="13" t="s">
        <v>166</v>
      </c>
      <c r="E953" s="13" t="s">
        <v>259</v>
      </c>
      <c r="F953" s="13"/>
      <c r="G953" s="13"/>
      <c r="H953" s="31"/>
      <c r="I953" s="33" t="n">
        <v>45812.6597032407</v>
      </c>
      <c r="J953" s="33" t="n">
        <v>45812.6597032407</v>
      </c>
      <c r="K953" s="13" t="s">
        <v>153</v>
      </c>
      <c r="L953" s="13"/>
      <c r="M953" s="13" t="s">
        <v>2795</v>
      </c>
      <c r="N953" s="33" t="n">
        <v>46308.7264460648</v>
      </c>
    </row>
    <row r="954" customFormat="false" ht="15" hidden="false" customHeight="false" outlineLevel="0" collapsed="false">
      <c r="A954" s="13" t="s">
        <v>2796</v>
      </c>
      <c r="B954" s="13" t="s">
        <v>57</v>
      </c>
      <c r="C954" s="13" t="s">
        <v>2797</v>
      </c>
      <c r="D954" s="13" t="s">
        <v>166</v>
      </c>
      <c r="E954" s="13" t="s">
        <v>95</v>
      </c>
      <c r="F954" s="13"/>
      <c r="G954" s="13" t="s">
        <v>207</v>
      </c>
      <c r="H954" s="31"/>
      <c r="I954" s="33" t="n">
        <v>45811.5916489352</v>
      </c>
      <c r="J954" s="33" t="n">
        <v>45811.5916489352</v>
      </c>
      <c r="K954" s="13" t="s">
        <v>153</v>
      </c>
      <c r="L954" s="13"/>
      <c r="M954" s="13" t="s">
        <v>2798</v>
      </c>
      <c r="N954" s="33" t="n">
        <v>46308.7264460648</v>
      </c>
    </row>
    <row r="955" customFormat="false" ht="15" hidden="false" customHeight="false" outlineLevel="0" collapsed="false">
      <c r="A955" s="13" t="s">
        <v>2799</v>
      </c>
      <c r="B955" s="13" t="s">
        <v>57</v>
      </c>
      <c r="C955" s="13" t="s">
        <v>2800</v>
      </c>
      <c r="D955" s="13" t="s">
        <v>166</v>
      </c>
      <c r="E955" s="13" t="s">
        <v>699</v>
      </c>
      <c r="F955" s="13"/>
      <c r="G955" s="13"/>
      <c r="H955" s="31"/>
      <c r="I955" s="33" t="n">
        <v>45811.4344855093</v>
      </c>
      <c r="J955" s="33" t="n">
        <v>45811.4344855093</v>
      </c>
      <c r="K955" s="13" t="s">
        <v>153</v>
      </c>
      <c r="L955" s="13"/>
      <c r="M955" s="13" t="s">
        <v>2801</v>
      </c>
      <c r="N955" s="33" t="n">
        <v>46308.7264460648</v>
      </c>
    </row>
    <row r="956" customFormat="false" ht="15" hidden="false" customHeight="false" outlineLevel="0" collapsed="false">
      <c r="A956" s="13" t="s">
        <v>2802</v>
      </c>
      <c r="B956" s="13" t="s">
        <v>57</v>
      </c>
      <c r="C956" s="13" t="s">
        <v>2803</v>
      </c>
      <c r="D956" s="13" t="s">
        <v>166</v>
      </c>
      <c r="E956" s="13" t="s">
        <v>696</v>
      </c>
      <c r="F956" s="13"/>
      <c r="G956" s="13"/>
      <c r="H956" s="31"/>
      <c r="I956" s="33" t="n">
        <v>45811.3588823148</v>
      </c>
      <c r="J956" s="33" t="n">
        <v>45797.4310416204</v>
      </c>
      <c r="K956" s="13" t="s">
        <v>153</v>
      </c>
      <c r="L956" s="13"/>
      <c r="M956" s="13" t="s">
        <v>2804</v>
      </c>
      <c r="N956" s="33" t="n">
        <v>46308.7264460648</v>
      </c>
    </row>
    <row r="957" customFormat="false" ht="15" hidden="false" customHeight="false" outlineLevel="0" collapsed="false">
      <c r="A957" s="13" t="s">
        <v>2805</v>
      </c>
      <c r="B957" s="13" t="s">
        <v>57</v>
      </c>
      <c r="C957" s="13" t="s">
        <v>2665</v>
      </c>
      <c r="D957" s="13" t="s">
        <v>166</v>
      </c>
      <c r="E957" s="13" t="s">
        <v>259</v>
      </c>
      <c r="F957" s="13"/>
      <c r="G957" s="13"/>
      <c r="H957" s="31"/>
      <c r="I957" s="33" t="n">
        <v>45811.3588823148</v>
      </c>
      <c r="J957" s="33" t="n">
        <v>45797.419002257</v>
      </c>
      <c r="K957" s="13" t="s">
        <v>153</v>
      </c>
      <c r="L957" s="13"/>
      <c r="M957" s="13" t="s">
        <v>2806</v>
      </c>
      <c r="N957" s="33" t="n">
        <v>46308.7264460648</v>
      </c>
    </row>
    <row r="958" customFormat="false" ht="15" hidden="false" customHeight="false" outlineLevel="0" collapsed="false">
      <c r="A958" s="13" t="s">
        <v>2807</v>
      </c>
      <c r="B958" s="13" t="s">
        <v>57</v>
      </c>
      <c r="C958" s="13" t="s">
        <v>695</v>
      </c>
      <c r="D958" s="13" t="s">
        <v>166</v>
      </c>
      <c r="E958" s="13" t="s">
        <v>696</v>
      </c>
      <c r="F958" s="13"/>
      <c r="G958" s="13"/>
      <c r="H958" s="31"/>
      <c r="I958" s="33" t="n">
        <v>45811.3422914931</v>
      </c>
      <c r="J958" s="33" t="n">
        <v>45811.3422914931</v>
      </c>
      <c r="K958" s="13" t="s">
        <v>153</v>
      </c>
      <c r="L958" s="13"/>
      <c r="M958" s="13" t="s">
        <v>2808</v>
      </c>
      <c r="N958" s="33" t="n">
        <v>46308.7264460648</v>
      </c>
    </row>
    <row r="959" customFormat="false" ht="15" hidden="false" customHeight="false" outlineLevel="0" collapsed="false">
      <c r="A959" s="13" t="s">
        <v>2809</v>
      </c>
      <c r="B959" s="13" t="s">
        <v>57</v>
      </c>
      <c r="C959" s="13" t="s">
        <v>2810</v>
      </c>
      <c r="D959" s="13" t="s">
        <v>166</v>
      </c>
      <c r="E959" s="13" t="s">
        <v>802</v>
      </c>
      <c r="F959" s="13"/>
      <c r="G959" s="13"/>
      <c r="H959" s="31" t="n">
        <v>45810</v>
      </c>
      <c r="I959" s="33" t="n">
        <v>45810.6268765857</v>
      </c>
      <c r="J959" s="33" t="n">
        <v>45810.6268765857</v>
      </c>
      <c r="K959" s="13" t="s">
        <v>153</v>
      </c>
      <c r="L959" s="13"/>
      <c r="M959" s="13" t="s">
        <v>2811</v>
      </c>
      <c r="N959" s="33" t="n">
        <v>46308.7264460648</v>
      </c>
    </row>
    <row r="960" customFormat="false" ht="15" hidden="false" customHeight="false" outlineLevel="0" collapsed="false">
      <c r="A960" s="13" t="s">
        <v>2812</v>
      </c>
      <c r="B960" s="13" t="s">
        <v>57</v>
      </c>
      <c r="C960" s="13" t="s">
        <v>1435</v>
      </c>
      <c r="D960" s="13" t="s">
        <v>166</v>
      </c>
      <c r="E960" s="13" t="s">
        <v>981</v>
      </c>
      <c r="F960" s="13"/>
      <c r="G960" s="13"/>
      <c r="H960" s="31"/>
      <c r="I960" s="33" t="n">
        <v>45810.5856335532</v>
      </c>
      <c r="J960" s="33" t="n">
        <v>45810.5856335532</v>
      </c>
      <c r="K960" s="13" t="s">
        <v>153</v>
      </c>
      <c r="L960" s="13"/>
      <c r="M960" s="13" t="s">
        <v>2813</v>
      </c>
      <c r="N960" s="33" t="n">
        <v>46308.7264460648</v>
      </c>
    </row>
    <row r="961" customFormat="false" ht="15" hidden="false" customHeight="false" outlineLevel="0" collapsed="false">
      <c r="A961" s="13" t="s">
        <v>2814</v>
      </c>
      <c r="B961" s="13" t="s">
        <v>57</v>
      </c>
      <c r="C961" s="13" t="s">
        <v>2815</v>
      </c>
      <c r="D961" s="13" t="s">
        <v>166</v>
      </c>
      <c r="E961" s="13" t="s">
        <v>977</v>
      </c>
      <c r="F961" s="13"/>
      <c r="G961" s="13" t="s">
        <v>159</v>
      </c>
      <c r="H961" s="31"/>
      <c r="I961" s="33" t="n">
        <v>45810.4631508565</v>
      </c>
      <c r="J961" s="33" t="n">
        <v>45810.4631508565</v>
      </c>
      <c r="K961" s="13" t="s">
        <v>153</v>
      </c>
      <c r="L961" s="13"/>
      <c r="M961" s="13" t="s">
        <v>2816</v>
      </c>
      <c r="N961" s="33" t="n">
        <v>46308.7264460648</v>
      </c>
    </row>
    <row r="962" customFormat="false" ht="15" hidden="false" customHeight="false" outlineLevel="0" collapsed="false">
      <c r="A962" s="13" t="s">
        <v>2817</v>
      </c>
      <c r="B962" s="13" t="s">
        <v>57</v>
      </c>
      <c r="C962" s="13" t="s">
        <v>2818</v>
      </c>
      <c r="D962" s="13" t="s">
        <v>166</v>
      </c>
      <c r="E962" s="13" t="s">
        <v>95</v>
      </c>
      <c r="F962" s="13"/>
      <c r="G962" s="13"/>
      <c r="H962" s="31"/>
      <c r="I962" s="33" t="n">
        <v>45810.4098841435</v>
      </c>
      <c r="J962" s="33" t="n">
        <v>45810.4098841435</v>
      </c>
      <c r="K962" s="13" t="s">
        <v>153</v>
      </c>
      <c r="L962" s="13"/>
      <c r="M962" s="13" t="s">
        <v>2819</v>
      </c>
      <c r="N962" s="33" t="n">
        <v>46308.7264460648</v>
      </c>
    </row>
    <row r="963" customFormat="false" ht="15" hidden="false" customHeight="false" outlineLevel="0" collapsed="false">
      <c r="A963" s="13" t="s">
        <v>2820</v>
      </c>
      <c r="B963" s="13" t="s">
        <v>57</v>
      </c>
      <c r="C963" s="13" t="s">
        <v>1435</v>
      </c>
      <c r="D963" s="13" t="s">
        <v>166</v>
      </c>
      <c r="E963" s="13" t="s">
        <v>981</v>
      </c>
      <c r="F963" s="13"/>
      <c r="G963" s="13"/>
      <c r="H963" s="31"/>
      <c r="I963" s="33" t="n">
        <v>45806.6356610417</v>
      </c>
      <c r="J963" s="33" t="n">
        <v>45806.6356610417</v>
      </c>
      <c r="K963" s="13" t="s">
        <v>153</v>
      </c>
      <c r="L963" s="13"/>
      <c r="M963" s="13" t="s">
        <v>2821</v>
      </c>
      <c r="N963" s="33" t="n">
        <v>46308.7264460648</v>
      </c>
    </row>
    <row r="964" customFormat="false" ht="15" hidden="false" customHeight="false" outlineLevel="0" collapsed="false">
      <c r="A964" s="13" t="s">
        <v>2822</v>
      </c>
      <c r="B964" s="13" t="s">
        <v>57</v>
      </c>
      <c r="C964" s="13" t="s">
        <v>1435</v>
      </c>
      <c r="D964" s="13" t="s">
        <v>166</v>
      </c>
      <c r="E964" s="13" t="s">
        <v>981</v>
      </c>
      <c r="F964" s="13"/>
      <c r="G964" s="13"/>
      <c r="H964" s="31"/>
      <c r="I964" s="33" t="n">
        <v>45806.6150828704</v>
      </c>
      <c r="J964" s="33" t="n">
        <v>45806.6150828704</v>
      </c>
      <c r="K964" s="13" t="s">
        <v>153</v>
      </c>
      <c r="L964" s="13"/>
      <c r="M964" s="13" t="s">
        <v>2823</v>
      </c>
      <c r="N964" s="33" t="n">
        <v>46308.7264460648</v>
      </c>
    </row>
    <row r="965" customFormat="false" ht="15" hidden="false" customHeight="false" outlineLevel="0" collapsed="false">
      <c r="A965" s="13" t="s">
        <v>2824</v>
      </c>
      <c r="B965" s="13" t="s">
        <v>57</v>
      </c>
      <c r="C965" s="13" t="s">
        <v>2385</v>
      </c>
      <c r="D965" s="13" t="s">
        <v>166</v>
      </c>
      <c r="E965" s="13" t="s">
        <v>95</v>
      </c>
      <c r="F965" s="13"/>
      <c r="G965" s="13"/>
      <c r="H965" s="31"/>
      <c r="I965" s="33" t="n">
        <v>45806.3984071181</v>
      </c>
      <c r="J965" s="33" t="n">
        <v>45806.3984071181</v>
      </c>
      <c r="K965" s="13" t="s">
        <v>153</v>
      </c>
      <c r="L965" s="13"/>
      <c r="M965" s="13" t="s">
        <v>2825</v>
      </c>
      <c r="N965" s="33" t="n">
        <v>46308.7264460648</v>
      </c>
    </row>
    <row r="966" customFormat="false" ht="15" hidden="false" customHeight="false" outlineLevel="0" collapsed="false">
      <c r="A966" s="13" t="s">
        <v>2826</v>
      </c>
      <c r="B966" s="13" t="s">
        <v>57</v>
      </c>
      <c r="C966" s="13" t="s">
        <v>1278</v>
      </c>
      <c r="D966" s="13" t="s">
        <v>166</v>
      </c>
      <c r="E966" s="13" t="s">
        <v>95</v>
      </c>
      <c r="F966" s="13"/>
      <c r="G966" s="13"/>
      <c r="H966" s="31"/>
      <c r="I966" s="33" t="n">
        <v>45806.3907052778</v>
      </c>
      <c r="J966" s="33" t="n">
        <v>45806.3907052778</v>
      </c>
      <c r="K966" s="13" t="s">
        <v>153</v>
      </c>
      <c r="L966" s="13"/>
      <c r="M966" s="13" t="s">
        <v>2827</v>
      </c>
      <c r="N966" s="33" t="n">
        <v>46308.7264460648</v>
      </c>
    </row>
    <row r="967" customFormat="false" ht="15" hidden="false" customHeight="false" outlineLevel="0" collapsed="false">
      <c r="A967" s="13" t="s">
        <v>2828</v>
      </c>
      <c r="B967" s="13" t="s">
        <v>57</v>
      </c>
      <c r="C967" s="13" t="s">
        <v>2385</v>
      </c>
      <c r="D967" s="13" t="s">
        <v>166</v>
      </c>
      <c r="E967" s="13" t="s">
        <v>95</v>
      </c>
      <c r="F967" s="13"/>
      <c r="G967" s="13"/>
      <c r="H967" s="31"/>
      <c r="I967" s="33" t="n">
        <v>45806.3893928357</v>
      </c>
      <c r="J967" s="33" t="n">
        <v>45806.3893928357</v>
      </c>
      <c r="K967" s="13" t="s">
        <v>153</v>
      </c>
      <c r="L967" s="13"/>
      <c r="M967" s="13" t="s">
        <v>2829</v>
      </c>
      <c r="N967" s="33" t="n">
        <v>46308.7264460648</v>
      </c>
    </row>
    <row r="968" customFormat="false" ht="15" hidden="false" customHeight="false" outlineLevel="0" collapsed="false">
      <c r="A968" s="13" t="s">
        <v>2830</v>
      </c>
      <c r="B968" s="13" t="s">
        <v>57</v>
      </c>
      <c r="C968" s="13" t="s">
        <v>1299</v>
      </c>
      <c r="D968" s="13" t="s">
        <v>166</v>
      </c>
      <c r="E968" s="13"/>
      <c r="F968" s="13"/>
      <c r="G968" s="13"/>
      <c r="H968" s="31"/>
      <c r="I968" s="33" t="n">
        <v>45805.6834053935</v>
      </c>
      <c r="J968" s="33" t="n">
        <v>45805.6834053935</v>
      </c>
      <c r="K968" s="13" t="s">
        <v>153</v>
      </c>
      <c r="L968" s="13"/>
      <c r="M968" s="13" t="s">
        <v>2831</v>
      </c>
      <c r="N968" s="33" t="n">
        <v>46308.7264460648</v>
      </c>
    </row>
    <row r="969" customFormat="false" ht="15" hidden="false" customHeight="false" outlineLevel="0" collapsed="false">
      <c r="A969" s="13" t="s">
        <v>2832</v>
      </c>
      <c r="B969" s="13" t="s">
        <v>57</v>
      </c>
      <c r="C969" s="13" t="s">
        <v>2833</v>
      </c>
      <c r="D969" s="13" t="s">
        <v>166</v>
      </c>
      <c r="E969" s="13" t="s">
        <v>1044</v>
      </c>
      <c r="F969" s="13"/>
      <c r="G969" s="13"/>
      <c r="H969" s="31"/>
      <c r="I969" s="33" t="n">
        <v>45805.6834053935</v>
      </c>
      <c r="J969" s="33" t="n">
        <v>45805.6834053935</v>
      </c>
      <c r="K969" s="13" t="s">
        <v>153</v>
      </c>
      <c r="L969" s="13"/>
      <c r="M969" s="13" t="s">
        <v>2834</v>
      </c>
      <c r="N969" s="33" t="n">
        <v>46308.7264460648</v>
      </c>
    </row>
    <row r="970" customFormat="false" ht="15" hidden="false" customHeight="false" outlineLevel="0" collapsed="false">
      <c r="A970" s="13" t="s">
        <v>2835</v>
      </c>
      <c r="B970" s="13" t="s">
        <v>57</v>
      </c>
      <c r="C970" s="13" t="s">
        <v>1278</v>
      </c>
      <c r="D970" s="13" t="s">
        <v>166</v>
      </c>
      <c r="E970" s="13"/>
      <c r="F970" s="13"/>
      <c r="G970" s="13"/>
      <c r="H970" s="31"/>
      <c r="I970" s="33" t="n">
        <v>45805.4221128241</v>
      </c>
      <c r="J970" s="33" t="n">
        <v>45805.4221128241</v>
      </c>
      <c r="K970" s="13" t="s">
        <v>153</v>
      </c>
      <c r="L970" s="13"/>
      <c r="M970" s="13" t="s">
        <v>2836</v>
      </c>
      <c r="N970" s="33" t="n">
        <v>46308.7264460648</v>
      </c>
    </row>
    <row r="971" customFormat="false" ht="15" hidden="false" customHeight="false" outlineLevel="0" collapsed="false">
      <c r="A971" s="13" t="s">
        <v>2837</v>
      </c>
      <c r="B971" s="13" t="s">
        <v>57</v>
      </c>
      <c r="C971" s="13" t="s">
        <v>1435</v>
      </c>
      <c r="D971" s="13" t="s">
        <v>166</v>
      </c>
      <c r="E971" s="13"/>
      <c r="F971" s="13"/>
      <c r="G971" s="13"/>
      <c r="H971" s="31"/>
      <c r="I971" s="33" t="n">
        <v>45805.4218359722</v>
      </c>
      <c r="J971" s="33" t="n">
        <v>45805.4218359722</v>
      </c>
      <c r="K971" s="13" t="s">
        <v>153</v>
      </c>
      <c r="L971" s="13"/>
      <c r="M971" s="13" t="s">
        <v>2838</v>
      </c>
      <c r="N971" s="33" t="n">
        <v>46308.7264460648</v>
      </c>
    </row>
    <row r="972" customFormat="false" ht="15" hidden="false" customHeight="false" outlineLevel="0" collapsed="false">
      <c r="A972" s="13" t="s">
        <v>2839</v>
      </c>
      <c r="B972" s="13" t="s">
        <v>57</v>
      </c>
      <c r="C972" s="13" t="s">
        <v>2840</v>
      </c>
      <c r="D972" s="13" t="s">
        <v>166</v>
      </c>
      <c r="E972" s="13"/>
      <c r="F972" s="13"/>
      <c r="G972" s="13"/>
      <c r="H972" s="31"/>
      <c r="I972" s="33" t="n">
        <v>45805.4106984491</v>
      </c>
      <c r="J972" s="33" t="n">
        <v>45805.4106984491</v>
      </c>
      <c r="K972" s="13" t="s">
        <v>153</v>
      </c>
      <c r="L972" s="13"/>
      <c r="M972" s="13" t="s">
        <v>2841</v>
      </c>
      <c r="N972" s="33" t="n">
        <v>46308.7264460648</v>
      </c>
    </row>
    <row r="973" customFormat="false" ht="15" hidden="false" customHeight="false" outlineLevel="0" collapsed="false">
      <c r="A973" s="13" t="s">
        <v>2842</v>
      </c>
      <c r="B973" s="13" t="s">
        <v>57</v>
      </c>
      <c r="C973" s="13" t="s">
        <v>1296</v>
      </c>
      <c r="D973" s="13" t="s">
        <v>166</v>
      </c>
      <c r="E973" s="13"/>
      <c r="F973" s="13"/>
      <c r="G973" s="13"/>
      <c r="H973" s="31"/>
      <c r="I973" s="33" t="n">
        <v>45805.4104274769</v>
      </c>
      <c r="J973" s="33" t="n">
        <v>45805.4104274769</v>
      </c>
      <c r="K973" s="13" t="s">
        <v>153</v>
      </c>
      <c r="L973" s="13"/>
      <c r="M973" s="13" t="s">
        <v>2843</v>
      </c>
      <c r="N973" s="33" t="n">
        <v>46308.7264460648</v>
      </c>
    </row>
    <row r="974" customFormat="false" ht="15" hidden="false" customHeight="false" outlineLevel="0" collapsed="false">
      <c r="A974" s="13" t="s">
        <v>2844</v>
      </c>
      <c r="B974" s="13" t="s">
        <v>57</v>
      </c>
      <c r="C974" s="13" t="s">
        <v>695</v>
      </c>
      <c r="D974" s="13" t="s">
        <v>166</v>
      </c>
      <c r="E974" s="13" t="s">
        <v>696</v>
      </c>
      <c r="F974" s="13"/>
      <c r="G974" s="13"/>
      <c r="H974" s="31"/>
      <c r="I974" s="33" t="n">
        <v>45805.3976818056</v>
      </c>
      <c r="J974" s="33" t="n">
        <v>45805.3976818056</v>
      </c>
      <c r="K974" s="13" t="s">
        <v>153</v>
      </c>
      <c r="L974" s="13"/>
      <c r="M974" s="13" t="s">
        <v>2845</v>
      </c>
      <c r="N974" s="33" t="n">
        <v>46308.7264460648</v>
      </c>
    </row>
    <row r="975" customFormat="false" ht="15" hidden="false" customHeight="false" outlineLevel="0" collapsed="false">
      <c r="A975" s="13" t="s">
        <v>2846</v>
      </c>
      <c r="B975" s="13" t="s">
        <v>57</v>
      </c>
      <c r="C975" s="13" t="s">
        <v>2500</v>
      </c>
      <c r="D975" s="13" t="s">
        <v>166</v>
      </c>
      <c r="E975" s="13"/>
      <c r="F975" s="13"/>
      <c r="G975" s="13"/>
      <c r="H975" s="31"/>
      <c r="I975" s="33" t="n">
        <v>45804.7385101505</v>
      </c>
      <c r="J975" s="33" t="n">
        <v>45804.7385101505</v>
      </c>
      <c r="K975" s="13" t="s">
        <v>153</v>
      </c>
      <c r="L975" s="13"/>
      <c r="M975" s="13" t="s">
        <v>2847</v>
      </c>
      <c r="N975" s="33" t="n">
        <v>46308.7264460648</v>
      </c>
    </row>
    <row r="976" customFormat="false" ht="15" hidden="false" customHeight="false" outlineLevel="0" collapsed="false">
      <c r="A976" s="13" t="s">
        <v>2848</v>
      </c>
      <c r="B976" s="13" t="s">
        <v>57</v>
      </c>
      <c r="C976" s="13" t="s">
        <v>2849</v>
      </c>
      <c r="D976" s="13" t="s">
        <v>166</v>
      </c>
      <c r="E976" s="13" t="s">
        <v>1044</v>
      </c>
      <c r="F976" s="13"/>
      <c r="G976" s="13" t="s">
        <v>159</v>
      </c>
      <c r="H976" s="31"/>
      <c r="I976" s="33" t="n">
        <v>45804.6692668519</v>
      </c>
      <c r="J976" s="33" t="n">
        <v>45804.6691869792</v>
      </c>
      <c r="K976" s="13" t="s">
        <v>153</v>
      </c>
      <c r="L976" s="13"/>
      <c r="M976" s="13" t="s">
        <v>2850</v>
      </c>
      <c r="N976" s="33" t="n">
        <v>46308.7264460648</v>
      </c>
    </row>
    <row r="977" customFormat="false" ht="15" hidden="false" customHeight="false" outlineLevel="0" collapsed="false">
      <c r="A977" s="13" t="s">
        <v>2851</v>
      </c>
      <c r="B977" s="13" t="s">
        <v>57</v>
      </c>
      <c r="C977" s="13" t="s">
        <v>2852</v>
      </c>
      <c r="D977" s="13" t="s">
        <v>166</v>
      </c>
      <c r="E977" s="13"/>
      <c r="F977" s="13"/>
      <c r="G977" s="13"/>
      <c r="H977" s="31"/>
      <c r="I977" s="33" t="n">
        <v>45804.6678029051</v>
      </c>
      <c r="J977" s="33" t="n">
        <v>45804.6678029051</v>
      </c>
      <c r="K977" s="13" t="s">
        <v>153</v>
      </c>
      <c r="L977" s="13"/>
      <c r="M977" s="13" t="s">
        <v>2853</v>
      </c>
      <c r="N977" s="33" t="n">
        <v>46308.7264460648</v>
      </c>
    </row>
    <row r="978" customFormat="false" ht="15" hidden="false" customHeight="false" outlineLevel="0" collapsed="false">
      <c r="A978" s="13" t="s">
        <v>2854</v>
      </c>
      <c r="B978" s="13" t="s">
        <v>57</v>
      </c>
      <c r="C978" s="13" t="s">
        <v>1299</v>
      </c>
      <c r="D978" s="13" t="s">
        <v>166</v>
      </c>
      <c r="E978" s="13" t="s">
        <v>95</v>
      </c>
      <c r="F978" s="13"/>
      <c r="G978" s="13"/>
      <c r="H978" s="31"/>
      <c r="I978" s="33" t="n">
        <v>45804.6656863657</v>
      </c>
      <c r="J978" s="33" t="n">
        <v>45804.6656863657</v>
      </c>
      <c r="K978" s="13" t="s">
        <v>153</v>
      </c>
      <c r="L978" s="13"/>
      <c r="M978" s="13" t="s">
        <v>2855</v>
      </c>
      <c r="N978" s="33" t="n">
        <v>46308.7264460648</v>
      </c>
    </row>
    <row r="979" customFormat="false" ht="15" hidden="false" customHeight="false" outlineLevel="0" collapsed="false">
      <c r="A979" s="13" t="s">
        <v>2856</v>
      </c>
      <c r="B979" s="13" t="s">
        <v>57</v>
      </c>
      <c r="C979" s="13" t="s">
        <v>2385</v>
      </c>
      <c r="D979" s="13" t="s">
        <v>166</v>
      </c>
      <c r="E979" s="13"/>
      <c r="F979" s="13"/>
      <c r="G979" s="13"/>
      <c r="H979" s="31"/>
      <c r="I979" s="33" t="n">
        <v>45804.6520790509</v>
      </c>
      <c r="J979" s="33" t="n">
        <v>45804.6520790509</v>
      </c>
      <c r="K979" s="13" t="s">
        <v>153</v>
      </c>
      <c r="L979" s="13"/>
      <c r="M979" s="13" t="s">
        <v>2857</v>
      </c>
      <c r="N979" s="33" t="n">
        <v>46308.7264460648</v>
      </c>
    </row>
    <row r="980" customFormat="false" ht="15" hidden="false" customHeight="false" outlineLevel="0" collapsed="false">
      <c r="A980" s="13" t="s">
        <v>2858</v>
      </c>
      <c r="B980" s="13" t="s">
        <v>57</v>
      </c>
      <c r="C980" s="13" t="s">
        <v>2859</v>
      </c>
      <c r="D980" s="13" t="s">
        <v>401</v>
      </c>
      <c r="E980" s="13" t="s">
        <v>259</v>
      </c>
      <c r="F980" s="13"/>
      <c r="G980" s="13"/>
      <c r="H980" s="31"/>
      <c r="I980" s="33" t="n">
        <v>45804.4571048148</v>
      </c>
      <c r="J980" s="33"/>
      <c r="K980" s="13" t="s">
        <v>153</v>
      </c>
      <c r="L980" s="13"/>
      <c r="M980" s="13" t="s">
        <v>2860</v>
      </c>
      <c r="N980" s="33" t="n">
        <v>46308.7264460648</v>
      </c>
    </row>
    <row r="981" customFormat="false" ht="15" hidden="false" customHeight="false" outlineLevel="0" collapsed="false">
      <c r="A981" s="13" t="s">
        <v>2861</v>
      </c>
      <c r="B981" s="13" t="s">
        <v>57</v>
      </c>
      <c r="C981" s="13" t="s">
        <v>258</v>
      </c>
      <c r="D981" s="13" t="s">
        <v>166</v>
      </c>
      <c r="E981" s="13" t="s">
        <v>259</v>
      </c>
      <c r="F981" s="13"/>
      <c r="G981" s="13"/>
      <c r="H981" s="31"/>
      <c r="I981" s="33" t="n">
        <v>45804.4522239699</v>
      </c>
      <c r="J981" s="33" t="n">
        <v>45804.4522239699</v>
      </c>
      <c r="K981" s="13" t="s">
        <v>153</v>
      </c>
      <c r="L981" s="13"/>
      <c r="M981" s="13" t="s">
        <v>2862</v>
      </c>
      <c r="N981" s="33" t="n">
        <v>46308.7264460648</v>
      </c>
    </row>
    <row r="982" customFormat="false" ht="15" hidden="false" customHeight="false" outlineLevel="0" collapsed="false">
      <c r="A982" s="13" t="s">
        <v>2863</v>
      </c>
      <c r="B982" s="13" t="s">
        <v>57</v>
      </c>
      <c r="C982" s="13" t="s">
        <v>2864</v>
      </c>
      <c r="D982" s="13" t="s">
        <v>166</v>
      </c>
      <c r="E982" s="13" t="s">
        <v>1044</v>
      </c>
      <c r="F982" s="13" t="s">
        <v>597</v>
      </c>
      <c r="G982" s="13" t="s">
        <v>207</v>
      </c>
      <c r="H982" s="31"/>
      <c r="I982" s="33" t="n">
        <v>45804.4355196181</v>
      </c>
      <c r="J982" s="33" t="n">
        <v>45804.4355196181</v>
      </c>
      <c r="K982" s="13" t="s">
        <v>153</v>
      </c>
      <c r="L982" s="13"/>
      <c r="M982" s="13" t="s">
        <v>2865</v>
      </c>
      <c r="N982" s="33" t="n">
        <v>46308.7264460648</v>
      </c>
    </row>
    <row r="983" customFormat="false" ht="15" hidden="false" customHeight="false" outlineLevel="0" collapsed="false">
      <c r="A983" s="13" t="s">
        <v>2866</v>
      </c>
      <c r="B983" s="13" t="s">
        <v>57</v>
      </c>
      <c r="C983" s="13" t="s">
        <v>1193</v>
      </c>
      <c r="D983" s="13" t="s">
        <v>166</v>
      </c>
      <c r="E983" s="13" t="s">
        <v>981</v>
      </c>
      <c r="F983" s="13"/>
      <c r="G983" s="13"/>
      <c r="H983" s="31"/>
      <c r="I983" s="33" t="n">
        <v>45803.702398287</v>
      </c>
      <c r="J983" s="33" t="n">
        <v>45803.702398287</v>
      </c>
      <c r="K983" s="13" t="s">
        <v>153</v>
      </c>
      <c r="L983" s="13"/>
      <c r="M983" s="13" t="s">
        <v>2867</v>
      </c>
      <c r="N983" s="33" t="n">
        <v>46308.7264460648</v>
      </c>
    </row>
    <row r="984" customFormat="false" ht="15" hidden="false" customHeight="false" outlineLevel="0" collapsed="false">
      <c r="A984" s="13" t="s">
        <v>2868</v>
      </c>
      <c r="B984" s="13" t="s">
        <v>57</v>
      </c>
      <c r="C984" s="13" t="s">
        <v>2869</v>
      </c>
      <c r="D984" s="13" t="s">
        <v>166</v>
      </c>
      <c r="E984" s="13" t="s">
        <v>95</v>
      </c>
      <c r="F984" s="13"/>
      <c r="G984" s="13"/>
      <c r="H984" s="31"/>
      <c r="I984" s="33" t="n">
        <v>45803.6470472569</v>
      </c>
      <c r="J984" s="33" t="n">
        <v>45803.6470472569</v>
      </c>
      <c r="K984" s="13" t="s">
        <v>153</v>
      </c>
      <c r="L984" s="13"/>
      <c r="M984" s="13" t="s">
        <v>2870</v>
      </c>
      <c r="N984" s="33" t="n">
        <v>46308.7264460648</v>
      </c>
    </row>
    <row r="985" customFormat="false" ht="15" hidden="false" customHeight="false" outlineLevel="0" collapsed="false">
      <c r="A985" s="13" t="s">
        <v>2871</v>
      </c>
      <c r="B985" s="13" t="s">
        <v>57</v>
      </c>
      <c r="C985" s="13" t="s">
        <v>2872</v>
      </c>
      <c r="D985" s="13" t="s">
        <v>166</v>
      </c>
      <c r="E985" s="13"/>
      <c r="F985" s="13"/>
      <c r="G985" s="13"/>
      <c r="H985" s="31"/>
      <c r="I985" s="33" t="n">
        <v>45803.6470472569</v>
      </c>
      <c r="J985" s="33" t="n">
        <v>45803.6470472569</v>
      </c>
      <c r="K985" s="13" t="s">
        <v>153</v>
      </c>
      <c r="L985" s="13"/>
      <c r="M985" s="13" t="s">
        <v>2873</v>
      </c>
      <c r="N985" s="33" t="n">
        <v>46308.7264460648</v>
      </c>
    </row>
    <row r="986" customFormat="false" ht="15" hidden="false" customHeight="false" outlineLevel="0" collapsed="false">
      <c r="A986" s="13" t="s">
        <v>2874</v>
      </c>
      <c r="B986" s="13" t="s">
        <v>57</v>
      </c>
      <c r="C986" s="13" t="s">
        <v>2875</v>
      </c>
      <c r="D986" s="13" t="s">
        <v>166</v>
      </c>
      <c r="E986" s="13"/>
      <c r="F986" s="13"/>
      <c r="G986" s="13"/>
      <c r="H986" s="31"/>
      <c r="I986" s="33" t="n">
        <v>45803.6470472569</v>
      </c>
      <c r="J986" s="33" t="n">
        <v>45803.6470472569</v>
      </c>
      <c r="K986" s="13" t="s">
        <v>153</v>
      </c>
      <c r="L986" s="13"/>
      <c r="M986" s="13" t="s">
        <v>2876</v>
      </c>
      <c r="N986" s="33" t="n">
        <v>46308.7264460648</v>
      </c>
    </row>
    <row r="987" customFormat="false" ht="15" hidden="false" customHeight="false" outlineLevel="0" collapsed="false">
      <c r="A987" s="13" t="s">
        <v>2877</v>
      </c>
      <c r="B987" s="13" t="s">
        <v>57</v>
      </c>
      <c r="C987" s="13" t="s">
        <v>2878</v>
      </c>
      <c r="D987" s="13" t="s">
        <v>166</v>
      </c>
      <c r="E987" s="13"/>
      <c r="F987" s="13"/>
      <c r="G987" s="13"/>
      <c r="H987" s="31"/>
      <c r="I987" s="33" t="n">
        <v>45803.6470472569</v>
      </c>
      <c r="J987" s="33" t="n">
        <v>45803.6470472569</v>
      </c>
      <c r="K987" s="13" t="s">
        <v>153</v>
      </c>
      <c r="L987" s="13"/>
      <c r="M987" s="13" t="s">
        <v>2879</v>
      </c>
      <c r="N987" s="33" t="n">
        <v>46308.7264460648</v>
      </c>
    </row>
    <row r="988" customFormat="false" ht="15" hidden="false" customHeight="false" outlineLevel="0" collapsed="false">
      <c r="A988" s="13" t="s">
        <v>2880</v>
      </c>
      <c r="B988" s="13" t="s">
        <v>57</v>
      </c>
      <c r="C988" s="13" t="s">
        <v>2881</v>
      </c>
      <c r="D988" s="13" t="s">
        <v>166</v>
      </c>
      <c r="E988" s="13"/>
      <c r="F988" s="13"/>
      <c r="G988" s="13"/>
      <c r="H988" s="31"/>
      <c r="I988" s="33" t="n">
        <v>45803.6470472569</v>
      </c>
      <c r="J988" s="33" t="n">
        <v>45803.6470472569</v>
      </c>
      <c r="K988" s="13" t="s">
        <v>153</v>
      </c>
      <c r="L988" s="13"/>
      <c r="M988" s="13" t="s">
        <v>2882</v>
      </c>
      <c r="N988" s="33" t="n">
        <v>46308.7264460648</v>
      </c>
    </row>
    <row r="989" customFormat="false" ht="15" hidden="false" customHeight="false" outlineLevel="0" collapsed="false">
      <c r="A989" s="13" t="s">
        <v>2883</v>
      </c>
      <c r="B989" s="13" t="s">
        <v>57</v>
      </c>
      <c r="C989" s="13" t="s">
        <v>2884</v>
      </c>
      <c r="D989" s="13" t="s">
        <v>166</v>
      </c>
      <c r="E989" s="13"/>
      <c r="F989" s="13"/>
      <c r="G989" s="13"/>
      <c r="H989" s="31"/>
      <c r="I989" s="33" t="n">
        <v>45803.6470472569</v>
      </c>
      <c r="J989" s="33" t="n">
        <v>45803.6470472569</v>
      </c>
      <c r="K989" s="13" t="s">
        <v>153</v>
      </c>
      <c r="L989" s="13"/>
      <c r="M989" s="13" t="s">
        <v>2885</v>
      </c>
      <c r="N989" s="33" t="n">
        <v>46308.7264460648</v>
      </c>
    </row>
    <row r="990" customFormat="false" ht="15" hidden="false" customHeight="false" outlineLevel="0" collapsed="false">
      <c r="A990" s="13" t="s">
        <v>2886</v>
      </c>
      <c r="B990" s="13" t="s">
        <v>57</v>
      </c>
      <c r="C990" s="13" t="s">
        <v>2887</v>
      </c>
      <c r="D990" s="13" t="s">
        <v>166</v>
      </c>
      <c r="E990" s="13"/>
      <c r="F990" s="13"/>
      <c r="G990" s="13"/>
      <c r="H990" s="31"/>
      <c r="I990" s="33" t="n">
        <v>45803.6470472569</v>
      </c>
      <c r="J990" s="33" t="n">
        <v>45803.6470472569</v>
      </c>
      <c r="K990" s="13" t="s">
        <v>153</v>
      </c>
      <c r="L990" s="13"/>
      <c r="M990" s="13" t="s">
        <v>2888</v>
      </c>
      <c r="N990" s="33" t="n">
        <v>46308.7264460648</v>
      </c>
    </row>
    <row r="991" customFormat="false" ht="15" hidden="false" customHeight="false" outlineLevel="0" collapsed="false">
      <c r="A991" s="13" t="s">
        <v>2889</v>
      </c>
      <c r="B991" s="13" t="s">
        <v>57</v>
      </c>
      <c r="C991" s="13" t="s">
        <v>2869</v>
      </c>
      <c r="D991" s="13" t="s">
        <v>166</v>
      </c>
      <c r="E991" s="13"/>
      <c r="F991" s="13"/>
      <c r="G991" s="13"/>
      <c r="H991" s="31"/>
      <c r="I991" s="33" t="n">
        <v>45803.6467190972</v>
      </c>
      <c r="J991" s="33" t="n">
        <v>45803.6467190972</v>
      </c>
      <c r="K991" s="13" t="s">
        <v>153</v>
      </c>
      <c r="L991" s="13"/>
      <c r="M991" s="13" t="s">
        <v>2890</v>
      </c>
      <c r="N991" s="33" t="n">
        <v>46308.7264460648</v>
      </c>
    </row>
    <row r="992" customFormat="false" ht="15" hidden="false" customHeight="false" outlineLevel="0" collapsed="false">
      <c r="A992" s="13" t="s">
        <v>2891</v>
      </c>
      <c r="B992" s="13" t="s">
        <v>57</v>
      </c>
      <c r="C992" s="13" t="s">
        <v>2869</v>
      </c>
      <c r="D992" s="13" t="s">
        <v>166</v>
      </c>
      <c r="E992" s="13"/>
      <c r="F992" s="13"/>
      <c r="G992" s="13"/>
      <c r="H992" s="31"/>
      <c r="I992" s="33" t="n">
        <v>45803.6466596644</v>
      </c>
      <c r="J992" s="33" t="n">
        <v>45803.6466596644</v>
      </c>
      <c r="K992" s="13" t="s">
        <v>153</v>
      </c>
      <c r="L992" s="13"/>
      <c r="M992" s="13" t="s">
        <v>2892</v>
      </c>
      <c r="N992" s="33" t="n">
        <v>46308.7264460648</v>
      </c>
    </row>
    <row r="993" customFormat="false" ht="15" hidden="false" customHeight="false" outlineLevel="0" collapsed="false">
      <c r="A993" s="13" t="s">
        <v>2893</v>
      </c>
      <c r="B993" s="13" t="s">
        <v>57</v>
      </c>
      <c r="C993" s="13" t="s">
        <v>2869</v>
      </c>
      <c r="D993" s="13" t="s">
        <v>166</v>
      </c>
      <c r="E993" s="13"/>
      <c r="F993" s="13"/>
      <c r="G993" s="13"/>
      <c r="H993" s="31"/>
      <c r="I993" s="33" t="n">
        <v>45803.6466164236</v>
      </c>
      <c r="J993" s="33" t="n">
        <v>45803.6466164236</v>
      </c>
      <c r="K993" s="13" t="s">
        <v>153</v>
      </c>
      <c r="L993" s="13"/>
      <c r="M993" s="13" t="s">
        <v>2894</v>
      </c>
      <c r="N993" s="33" t="n">
        <v>46308.7264460648</v>
      </c>
    </row>
    <row r="994" customFormat="false" ht="15" hidden="false" customHeight="false" outlineLevel="0" collapsed="false">
      <c r="A994" s="13" t="s">
        <v>2895</v>
      </c>
      <c r="B994" s="13" t="s">
        <v>57</v>
      </c>
      <c r="C994" s="13" t="s">
        <v>1299</v>
      </c>
      <c r="D994" s="13" t="s">
        <v>166</v>
      </c>
      <c r="E994" s="13"/>
      <c r="F994" s="13"/>
      <c r="G994" s="13"/>
      <c r="H994" s="31"/>
      <c r="I994" s="33" t="n">
        <v>45803.4967145602</v>
      </c>
      <c r="J994" s="33" t="n">
        <v>45803.4967145602</v>
      </c>
      <c r="K994" s="13" t="s">
        <v>153</v>
      </c>
      <c r="L994" s="13"/>
      <c r="M994" s="13" t="s">
        <v>2896</v>
      </c>
      <c r="N994" s="33" t="n">
        <v>46308.7264460648</v>
      </c>
    </row>
    <row r="995" customFormat="false" ht="15" hidden="false" customHeight="false" outlineLevel="0" collapsed="false">
      <c r="A995" s="13" t="s">
        <v>2897</v>
      </c>
      <c r="B995" s="13" t="s">
        <v>57</v>
      </c>
      <c r="C995" s="13" t="s">
        <v>1435</v>
      </c>
      <c r="D995" s="13" t="s">
        <v>166</v>
      </c>
      <c r="E995" s="13" t="s">
        <v>981</v>
      </c>
      <c r="F995" s="13"/>
      <c r="G995" s="13"/>
      <c r="H995" s="31"/>
      <c r="I995" s="33" t="n">
        <v>45803.4684396412</v>
      </c>
      <c r="J995" s="33" t="n">
        <v>45803.4684308102</v>
      </c>
      <c r="K995" s="13" t="s">
        <v>153</v>
      </c>
      <c r="L995" s="13"/>
      <c r="M995" s="13" t="s">
        <v>2898</v>
      </c>
      <c r="N995" s="33" t="n">
        <v>46308.7264460648</v>
      </c>
    </row>
    <row r="996" customFormat="false" ht="15" hidden="false" customHeight="false" outlineLevel="0" collapsed="false">
      <c r="A996" s="13" t="s">
        <v>2899</v>
      </c>
      <c r="B996" s="13" t="s">
        <v>57</v>
      </c>
      <c r="C996" s="13" t="s">
        <v>2869</v>
      </c>
      <c r="D996" s="13" t="s">
        <v>166</v>
      </c>
      <c r="E996" s="13" t="s">
        <v>95</v>
      </c>
      <c r="F996" s="13"/>
      <c r="G996" s="13"/>
      <c r="H996" s="31"/>
      <c r="I996" s="33" t="n">
        <v>45803.4612906134</v>
      </c>
      <c r="J996" s="33" t="n">
        <v>45803.4612906134</v>
      </c>
      <c r="K996" s="13" t="s">
        <v>153</v>
      </c>
      <c r="L996" s="13"/>
      <c r="M996" s="13" t="s">
        <v>2900</v>
      </c>
      <c r="N996" s="33" t="n">
        <v>46308.7264460648</v>
      </c>
    </row>
    <row r="997" customFormat="false" ht="15" hidden="false" customHeight="false" outlineLevel="0" collapsed="false">
      <c r="A997" s="13" t="s">
        <v>2901</v>
      </c>
      <c r="B997" s="13" t="s">
        <v>57</v>
      </c>
      <c r="C997" s="13" t="s">
        <v>2385</v>
      </c>
      <c r="D997" s="13" t="s">
        <v>166</v>
      </c>
      <c r="E997" s="13" t="s">
        <v>95</v>
      </c>
      <c r="F997" s="13"/>
      <c r="G997" s="13"/>
      <c r="H997" s="31"/>
      <c r="I997" s="33" t="n">
        <v>45803.3872747338</v>
      </c>
      <c r="J997" s="33" t="n">
        <v>45803.3872747338</v>
      </c>
      <c r="K997" s="13" t="s">
        <v>153</v>
      </c>
      <c r="L997" s="13"/>
      <c r="M997" s="13" t="s">
        <v>2902</v>
      </c>
      <c r="N997" s="33" t="n">
        <v>46308.7264460648</v>
      </c>
    </row>
    <row r="998" customFormat="false" ht="15" hidden="false" customHeight="false" outlineLevel="0" collapsed="false">
      <c r="A998" s="13" t="s">
        <v>2903</v>
      </c>
      <c r="B998" s="13" t="s">
        <v>57</v>
      </c>
      <c r="C998" s="13" t="s">
        <v>2904</v>
      </c>
      <c r="D998" s="13" t="s">
        <v>166</v>
      </c>
      <c r="E998" s="13" t="s">
        <v>981</v>
      </c>
      <c r="F998" s="13"/>
      <c r="G998" s="13"/>
      <c r="H998" s="31"/>
      <c r="I998" s="33" t="n">
        <v>45803.3684973495</v>
      </c>
      <c r="J998" s="33" t="n">
        <v>45799.4301205903</v>
      </c>
      <c r="K998" s="13" t="s">
        <v>153</v>
      </c>
      <c r="L998" s="13"/>
      <c r="M998" s="13" t="s">
        <v>2905</v>
      </c>
      <c r="N998" s="33" t="n">
        <v>46308.7264460648</v>
      </c>
    </row>
    <row r="999" customFormat="false" ht="15" hidden="false" customHeight="false" outlineLevel="0" collapsed="false">
      <c r="A999" s="13" t="s">
        <v>2906</v>
      </c>
      <c r="B999" s="13" t="s">
        <v>57</v>
      </c>
      <c r="C999" s="13" t="s">
        <v>2904</v>
      </c>
      <c r="D999" s="13" t="s">
        <v>166</v>
      </c>
      <c r="E999" s="13" t="s">
        <v>981</v>
      </c>
      <c r="F999" s="13"/>
      <c r="G999" s="13"/>
      <c r="H999" s="31"/>
      <c r="I999" s="33" t="n">
        <v>45803.3684973495</v>
      </c>
      <c r="J999" s="33" t="n">
        <v>45799.4548346875</v>
      </c>
      <c r="K999" s="13" t="s">
        <v>153</v>
      </c>
      <c r="L999" s="13"/>
      <c r="M999" s="13" t="s">
        <v>2907</v>
      </c>
      <c r="N999" s="33" t="n">
        <v>46308.7264460648</v>
      </c>
    </row>
    <row r="1000" customFormat="false" ht="15" hidden="false" customHeight="false" outlineLevel="0" collapsed="false">
      <c r="A1000" s="13" t="s">
        <v>2908</v>
      </c>
      <c r="B1000" s="13" t="s">
        <v>57</v>
      </c>
      <c r="C1000" s="13" t="s">
        <v>2904</v>
      </c>
      <c r="D1000" s="13" t="s">
        <v>166</v>
      </c>
      <c r="E1000" s="13" t="s">
        <v>95</v>
      </c>
      <c r="F1000" s="13"/>
      <c r="G1000" s="13"/>
      <c r="H1000" s="31"/>
      <c r="I1000" s="33" t="n">
        <v>45803.3684973495</v>
      </c>
      <c r="J1000" s="33" t="n">
        <v>45799.4940669792</v>
      </c>
      <c r="K1000" s="13" t="s">
        <v>153</v>
      </c>
      <c r="L1000" s="13"/>
      <c r="M1000" s="13" t="s">
        <v>2909</v>
      </c>
      <c r="N1000" s="33" t="n">
        <v>46308.7264460648</v>
      </c>
    </row>
    <row r="1001" customFormat="false" ht="15" hidden="false" customHeight="false" outlineLevel="0" collapsed="false">
      <c r="A1001" s="13" t="s">
        <v>2910</v>
      </c>
      <c r="B1001" s="13" t="s">
        <v>57</v>
      </c>
      <c r="C1001" s="13" t="s">
        <v>2904</v>
      </c>
      <c r="D1001" s="13" t="s">
        <v>166</v>
      </c>
      <c r="E1001" s="13" t="s">
        <v>981</v>
      </c>
      <c r="F1001" s="13"/>
      <c r="G1001" s="13"/>
      <c r="H1001" s="31"/>
      <c r="I1001" s="33" t="n">
        <v>45803.3684973495</v>
      </c>
      <c r="J1001" s="33" t="n">
        <v>45799.7268758796</v>
      </c>
      <c r="K1001" s="13" t="s">
        <v>153</v>
      </c>
      <c r="L1001" s="13"/>
      <c r="M1001" s="13" t="s">
        <v>2911</v>
      </c>
      <c r="N1001" s="33" t="n">
        <v>46308.7264460648</v>
      </c>
    </row>
    <row r="1002" customFormat="false" ht="15" hidden="false" customHeight="false" outlineLevel="0" collapsed="false">
      <c r="A1002" s="13" t="s">
        <v>2912</v>
      </c>
      <c r="B1002" s="13" t="s">
        <v>58</v>
      </c>
      <c r="C1002" s="13" t="s">
        <v>2913</v>
      </c>
      <c r="D1002" s="13" t="s">
        <v>166</v>
      </c>
      <c r="E1002" s="13" t="s">
        <v>802</v>
      </c>
      <c r="F1002" s="13"/>
      <c r="G1002" s="13"/>
      <c r="H1002" s="31"/>
      <c r="I1002" s="33" t="n">
        <v>46030.6184716898</v>
      </c>
      <c r="J1002" s="33" t="n">
        <v>46030.6184716898</v>
      </c>
      <c r="K1002" s="13" t="s">
        <v>2914</v>
      </c>
      <c r="L1002" s="13"/>
      <c r="M1002" s="13" t="s">
        <v>2915</v>
      </c>
      <c r="N1002" s="33" t="n">
        <v>46308.7264460648</v>
      </c>
    </row>
    <row r="1003" customFormat="false" ht="15" hidden="false" customHeight="false" outlineLevel="0" collapsed="false">
      <c r="A1003" s="13" t="s">
        <v>2916</v>
      </c>
      <c r="B1003" s="13" t="s">
        <v>58</v>
      </c>
      <c r="C1003" s="13" t="s">
        <v>2917</v>
      </c>
      <c r="D1003" s="13" t="s">
        <v>166</v>
      </c>
      <c r="E1003" s="13" t="s">
        <v>802</v>
      </c>
      <c r="F1003" s="13"/>
      <c r="G1003" s="13"/>
      <c r="H1003" s="31"/>
      <c r="I1003" s="33" t="n">
        <v>46030.6184520949</v>
      </c>
      <c r="J1003" s="33" t="n">
        <v>46030.6184520949</v>
      </c>
      <c r="K1003" s="13" t="s">
        <v>2914</v>
      </c>
      <c r="L1003" s="13"/>
      <c r="M1003" s="13" t="s">
        <v>2918</v>
      </c>
      <c r="N1003" s="33" t="n">
        <v>46308.7264460648</v>
      </c>
    </row>
    <row r="1004" customFormat="false" ht="15" hidden="false" customHeight="false" outlineLevel="0" collapsed="false">
      <c r="A1004" s="13" t="s">
        <v>2919</v>
      </c>
      <c r="B1004" s="13" t="s">
        <v>58</v>
      </c>
      <c r="C1004" s="13" t="s">
        <v>2920</v>
      </c>
      <c r="D1004" s="13" t="s">
        <v>166</v>
      </c>
      <c r="E1004" s="13" t="s">
        <v>802</v>
      </c>
      <c r="F1004" s="13"/>
      <c r="G1004" s="13"/>
      <c r="H1004" s="31"/>
      <c r="I1004" s="33" t="n">
        <v>46009.4809932407</v>
      </c>
      <c r="J1004" s="33" t="n">
        <v>46009.4809932407</v>
      </c>
      <c r="K1004" s="13" t="s">
        <v>2914</v>
      </c>
      <c r="L1004" s="13"/>
      <c r="M1004" s="13" t="s">
        <v>2921</v>
      </c>
      <c r="N1004" s="33" t="n">
        <v>46308.7264460648</v>
      </c>
    </row>
    <row r="1005" customFormat="false" ht="15" hidden="false" customHeight="false" outlineLevel="0" collapsed="false">
      <c r="A1005" s="13" t="s">
        <v>2922</v>
      </c>
      <c r="B1005" s="13" t="s">
        <v>58</v>
      </c>
      <c r="C1005" s="13" t="s">
        <v>2923</v>
      </c>
      <c r="D1005" s="13" t="s">
        <v>166</v>
      </c>
      <c r="E1005" s="13" t="s">
        <v>802</v>
      </c>
      <c r="F1005" s="13"/>
      <c r="G1005" s="13"/>
      <c r="H1005" s="31"/>
      <c r="I1005" s="33" t="n">
        <v>46009.4809100695</v>
      </c>
      <c r="J1005" s="33" t="n">
        <v>46009.4809100695</v>
      </c>
      <c r="K1005" s="13" t="s">
        <v>2914</v>
      </c>
      <c r="L1005" s="13"/>
      <c r="M1005" s="13" t="s">
        <v>2924</v>
      </c>
      <c r="N1005" s="33" t="n">
        <v>46308.7264460648</v>
      </c>
    </row>
    <row r="1006" customFormat="false" ht="15" hidden="false" customHeight="false" outlineLevel="0" collapsed="false">
      <c r="A1006" s="13" t="s">
        <v>2925</v>
      </c>
      <c r="B1006" s="13" t="s">
        <v>58</v>
      </c>
      <c r="C1006" s="13" t="s">
        <v>2926</v>
      </c>
      <c r="D1006" s="13" t="s">
        <v>166</v>
      </c>
      <c r="E1006" s="13" t="s">
        <v>802</v>
      </c>
      <c r="F1006" s="13"/>
      <c r="G1006" s="13"/>
      <c r="H1006" s="31"/>
      <c r="I1006" s="33" t="n">
        <v>45994.6644557639</v>
      </c>
      <c r="J1006" s="33" t="n">
        <v>45994.6644557639</v>
      </c>
      <c r="K1006" s="13" t="s">
        <v>2914</v>
      </c>
      <c r="L1006" s="13"/>
      <c r="M1006" s="13" t="s">
        <v>2927</v>
      </c>
      <c r="N1006" s="33" t="n">
        <v>46308.7264460648</v>
      </c>
    </row>
    <row r="1007" customFormat="false" ht="15" hidden="false" customHeight="false" outlineLevel="0" collapsed="false">
      <c r="A1007" s="13" t="s">
        <v>2928</v>
      </c>
      <c r="B1007" s="13" t="s">
        <v>58</v>
      </c>
      <c r="C1007" s="13" t="s">
        <v>2929</v>
      </c>
      <c r="D1007" s="13" t="s">
        <v>166</v>
      </c>
      <c r="E1007" s="13" t="s">
        <v>802</v>
      </c>
      <c r="F1007" s="13"/>
      <c r="G1007" s="13"/>
      <c r="H1007" s="31"/>
      <c r="I1007" s="33" t="n">
        <v>45987.7381397454</v>
      </c>
      <c r="J1007" s="33" t="n">
        <v>45987.7381397454</v>
      </c>
      <c r="K1007" s="13" t="s">
        <v>2914</v>
      </c>
      <c r="L1007" s="13"/>
      <c r="M1007" s="13" t="s">
        <v>2930</v>
      </c>
      <c r="N1007" s="33" t="n">
        <v>46308.7264460648</v>
      </c>
    </row>
    <row r="1008" customFormat="false" ht="15" hidden="false" customHeight="false" outlineLevel="0" collapsed="false">
      <c r="A1008" s="13" t="s">
        <v>2931</v>
      </c>
      <c r="B1008" s="13" t="s">
        <v>58</v>
      </c>
      <c r="C1008" s="13" t="s">
        <v>2932</v>
      </c>
      <c r="D1008" s="13" t="s">
        <v>166</v>
      </c>
      <c r="E1008" s="13" t="s">
        <v>802</v>
      </c>
      <c r="F1008" s="13"/>
      <c r="G1008" s="13"/>
      <c r="H1008" s="31"/>
      <c r="I1008" s="33" t="n">
        <v>45987.7381032755</v>
      </c>
      <c r="J1008" s="33" t="n">
        <v>45987.7381032755</v>
      </c>
      <c r="K1008" s="13" t="s">
        <v>2914</v>
      </c>
      <c r="L1008" s="13"/>
      <c r="M1008" s="13" t="s">
        <v>2933</v>
      </c>
      <c r="N1008" s="33" t="n">
        <v>46308.7264460648</v>
      </c>
    </row>
    <row r="1009" customFormat="false" ht="15" hidden="false" customHeight="false" outlineLevel="0" collapsed="false">
      <c r="A1009" s="13" t="s">
        <v>2934</v>
      </c>
      <c r="B1009" s="13" t="s">
        <v>58</v>
      </c>
      <c r="C1009" s="13" t="s">
        <v>2935</v>
      </c>
      <c r="D1009" s="13" t="s">
        <v>166</v>
      </c>
      <c r="E1009" s="13" t="s">
        <v>2936</v>
      </c>
      <c r="F1009" s="13" t="s">
        <v>736</v>
      </c>
      <c r="G1009" s="13" t="s">
        <v>207</v>
      </c>
      <c r="H1009" s="31"/>
      <c r="I1009" s="33" t="n">
        <v>45847.6177360532</v>
      </c>
      <c r="J1009" s="33" t="n">
        <v>45847.6177360532</v>
      </c>
      <c r="K1009" s="13" t="s">
        <v>2914</v>
      </c>
      <c r="L1009" s="13" t="s">
        <v>117</v>
      </c>
      <c r="M1009" s="13" t="s">
        <v>2937</v>
      </c>
      <c r="N1009" s="33" t="n">
        <v>46308.7264460648</v>
      </c>
    </row>
    <row r="1010" customFormat="false" ht="15" hidden="false" customHeight="false" outlineLevel="0" collapsed="false">
      <c r="A1010" s="13" t="s">
        <v>2938</v>
      </c>
      <c r="B1010" s="13" t="s">
        <v>58</v>
      </c>
      <c r="C1010" s="13" t="s">
        <v>2939</v>
      </c>
      <c r="D1010" s="13" t="s">
        <v>166</v>
      </c>
      <c r="E1010" s="13" t="s">
        <v>802</v>
      </c>
      <c r="F1010" s="13"/>
      <c r="G1010" s="13" t="s">
        <v>189</v>
      </c>
      <c r="H1010" s="31"/>
      <c r="I1010" s="33" t="n">
        <v>45847.6176816204</v>
      </c>
      <c r="J1010" s="33" t="n">
        <v>45847.6176816204</v>
      </c>
      <c r="K1010" s="13" t="s">
        <v>2914</v>
      </c>
      <c r="L1010" s="13"/>
      <c r="M1010" s="13" t="s">
        <v>2940</v>
      </c>
      <c r="N1010" s="33" t="n">
        <v>46308.7264460648</v>
      </c>
    </row>
    <row r="1011" customFormat="false" ht="15" hidden="false" customHeight="false" outlineLevel="0" collapsed="false">
      <c r="A1011" s="13" t="s">
        <v>2941</v>
      </c>
      <c r="B1011" s="13" t="s">
        <v>58</v>
      </c>
      <c r="C1011" s="13" t="s">
        <v>2942</v>
      </c>
      <c r="D1011" s="13" t="s">
        <v>166</v>
      </c>
      <c r="E1011" s="13" t="s">
        <v>802</v>
      </c>
      <c r="F1011" s="13"/>
      <c r="G1011" s="13" t="s">
        <v>189</v>
      </c>
      <c r="H1011" s="31"/>
      <c r="I1011" s="33" t="n">
        <v>45835.4144731366</v>
      </c>
      <c r="J1011" s="33" t="n">
        <v>45835.4144731366</v>
      </c>
      <c r="K1011" s="13" t="s">
        <v>2914</v>
      </c>
      <c r="L1011" s="13"/>
      <c r="M1011" s="13" t="s">
        <v>2943</v>
      </c>
      <c r="N1011" s="33" t="n">
        <v>46308.7264460648</v>
      </c>
    </row>
    <row r="1012" customFormat="false" ht="15" hidden="false" customHeight="false" outlineLevel="0" collapsed="false">
      <c r="A1012" s="13" t="s">
        <v>2944</v>
      </c>
      <c r="B1012" s="13" t="s">
        <v>58</v>
      </c>
      <c r="C1012" s="13" t="s">
        <v>2945</v>
      </c>
      <c r="D1012" s="13" t="s">
        <v>166</v>
      </c>
      <c r="E1012" s="13" t="s">
        <v>2936</v>
      </c>
      <c r="F1012" s="13" t="s">
        <v>736</v>
      </c>
      <c r="G1012" s="13" t="s">
        <v>159</v>
      </c>
      <c r="H1012" s="31"/>
      <c r="I1012" s="33" t="n">
        <v>45832.6240851736</v>
      </c>
      <c r="J1012" s="33" t="n">
        <v>45832.6240851736</v>
      </c>
      <c r="K1012" s="13" t="s">
        <v>2914</v>
      </c>
      <c r="L1012" s="13" t="s">
        <v>117</v>
      </c>
      <c r="M1012" s="13" t="s">
        <v>2946</v>
      </c>
      <c r="N1012" s="33" t="n">
        <v>46308.7264460648</v>
      </c>
    </row>
    <row r="1013" customFormat="false" ht="15" hidden="false" customHeight="false" outlineLevel="0" collapsed="false">
      <c r="A1013" s="13" t="s">
        <v>2947</v>
      </c>
      <c r="B1013" s="13" t="s">
        <v>58</v>
      </c>
      <c r="C1013" s="13" t="s">
        <v>2948</v>
      </c>
      <c r="D1013" s="13" t="s">
        <v>166</v>
      </c>
      <c r="E1013" s="13" t="s">
        <v>2936</v>
      </c>
      <c r="F1013" s="13" t="s">
        <v>736</v>
      </c>
      <c r="G1013" s="13" t="s">
        <v>159</v>
      </c>
      <c r="H1013" s="31" t="n">
        <v>45822</v>
      </c>
      <c r="I1013" s="33" t="n">
        <v>45828.4754357292</v>
      </c>
      <c r="J1013" s="33" t="n">
        <v>45828.4754357292</v>
      </c>
      <c r="K1013" s="13" t="s">
        <v>2914</v>
      </c>
      <c r="L1013" s="13" t="s">
        <v>117</v>
      </c>
      <c r="M1013" s="13" t="s">
        <v>2949</v>
      </c>
      <c r="N1013" s="33" t="n">
        <v>46308.7264460648</v>
      </c>
    </row>
    <row r="1014" customFormat="false" ht="15" hidden="false" customHeight="false" outlineLevel="0" collapsed="false">
      <c r="A1014" s="13" t="s">
        <v>2950</v>
      </c>
      <c r="B1014" s="13" t="s">
        <v>58</v>
      </c>
      <c r="C1014" s="13" t="s">
        <v>2951</v>
      </c>
      <c r="D1014" s="13" t="s">
        <v>166</v>
      </c>
      <c r="E1014" s="13"/>
      <c r="F1014" s="13"/>
      <c r="G1014" s="13"/>
      <c r="H1014" s="31"/>
      <c r="I1014" s="33" t="n">
        <v>45818.5441784375</v>
      </c>
      <c r="J1014" s="33" t="n">
        <v>45818.5441784375</v>
      </c>
      <c r="K1014" s="13" t="s">
        <v>2914</v>
      </c>
      <c r="L1014" s="13"/>
      <c r="M1014" s="13" t="s">
        <v>2952</v>
      </c>
      <c r="N1014" s="33" t="n">
        <v>46308.7264460648</v>
      </c>
    </row>
    <row r="1015" customFormat="false" ht="15" hidden="false" customHeight="false" outlineLevel="0" collapsed="false">
      <c r="A1015" s="13" t="s">
        <v>2953</v>
      </c>
      <c r="B1015" s="13" t="s">
        <v>58</v>
      </c>
      <c r="C1015" s="13" t="s">
        <v>2954</v>
      </c>
      <c r="D1015" s="13" t="s">
        <v>166</v>
      </c>
      <c r="E1015" s="13"/>
      <c r="F1015" s="13"/>
      <c r="G1015" s="13"/>
      <c r="H1015" s="31"/>
      <c r="I1015" s="33" t="n">
        <v>45818.5441784375</v>
      </c>
      <c r="J1015" s="33" t="n">
        <v>45818.5441784375</v>
      </c>
      <c r="K1015" s="13" t="s">
        <v>2914</v>
      </c>
      <c r="L1015" s="13"/>
      <c r="M1015" s="13" t="s">
        <v>2955</v>
      </c>
      <c r="N1015" s="33" t="n">
        <v>46308.7264460648</v>
      </c>
    </row>
    <row r="1016" customFormat="false" ht="15" hidden="false" customHeight="false" outlineLevel="0" collapsed="false">
      <c r="A1016" s="13" t="s">
        <v>2956</v>
      </c>
      <c r="B1016" s="13" t="s">
        <v>58</v>
      </c>
      <c r="C1016" s="13" t="s">
        <v>2957</v>
      </c>
      <c r="D1016" s="13" t="s">
        <v>166</v>
      </c>
      <c r="E1016" s="13"/>
      <c r="F1016" s="13"/>
      <c r="G1016" s="13"/>
      <c r="H1016" s="31"/>
      <c r="I1016" s="33" t="n">
        <v>45818.5441784375</v>
      </c>
      <c r="J1016" s="33" t="n">
        <v>45818.5441784375</v>
      </c>
      <c r="K1016" s="13" t="s">
        <v>2914</v>
      </c>
      <c r="L1016" s="13"/>
      <c r="M1016" s="13" t="s">
        <v>2958</v>
      </c>
      <c r="N1016" s="33" t="n">
        <v>46308.7264460648</v>
      </c>
    </row>
    <row r="1017" customFormat="false" ht="15" hidden="false" customHeight="false" outlineLevel="0" collapsed="false">
      <c r="A1017" s="13" t="s">
        <v>2959</v>
      </c>
      <c r="B1017" s="13" t="s">
        <v>58</v>
      </c>
      <c r="C1017" s="13" t="s">
        <v>2960</v>
      </c>
      <c r="D1017" s="13" t="s">
        <v>166</v>
      </c>
      <c r="E1017" s="13" t="s">
        <v>802</v>
      </c>
      <c r="F1017" s="13"/>
      <c r="G1017" s="13" t="s">
        <v>207</v>
      </c>
      <c r="H1017" s="31"/>
      <c r="I1017" s="33" t="n">
        <v>45818.5441784375</v>
      </c>
      <c r="J1017" s="33" t="n">
        <v>45818.5441784375</v>
      </c>
      <c r="K1017" s="13" t="s">
        <v>2914</v>
      </c>
      <c r="L1017" s="13"/>
      <c r="M1017" s="13" t="s">
        <v>2961</v>
      </c>
      <c r="N1017" s="33" t="n">
        <v>46308.7264460648</v>
      </c>
    </row>
    <row r="1018" customFormat="false" ht="15" hidden="false" customHeight="false" outlineLevel="0" collapsed="false">
      <c r="A1018" s="13" t="s">
        <v>2962</v>
      </c>
      <c r="B1018" s="13" t="s">
        <v>58</v>
      </c>
      <c r="C1018" s="13" t="s">
        <v>2963</v>
      </c>
      <c r="D1018" s="13" t="s">
        <v>166</v>
      </c>
      <c r="E1018" s="13" t="s">
        <v>2936</v>
      </c>
      <c r="F1018" s="13"/>
      <c r="G1018" s="13" t="s">
        <v>159</v>
      </c>
      <c r="H1018" s="31"/>
      <c r="I1018" s="33" t="n">
        <v>45818.542732963</v>
      </c>
      <c r="J1018" s="33" t="n">
        <v>45818.542732963</v>
      </c>
      <c r="K1018" s="13" t="s">
        <v>2914</v>
      </c>
      <c r="L1018" s="13"/>
      <c r="M1018" s="13" t="s">
        <v>2964</v>
      </c>
      <c r="N1018" s="33" t="n">
        <v>46308.7264460648</v>
      </c>
    </row>
    <row r="1019" customFormat="false" ht="15" hidden="false" customHeight="false" outlineLevel="0" collapsed="false">
      <c r="A1019" s="13" t="s">
        <v>2965</v>
      </c>
      <c r="B1019" s="13" t="s">
        <v>58</v>
      </c>
      <c r="C1019" s="13" t="s">
        <v>2966</v>
      </c>
      <c r="D1019" s="13" t="s">
        <v>166</v>
      </c>
      <c r="E1019" s="13" t="s">
        <v>2967</v>
      </c>
      <c r="F1019" s="13"/>
      <c r="G1019" s="13" t="s">
        <v>159</v>
      </c>
      <c r="H1019" s="31"/>
      <c r="I1019" s="33" t="n">
        <v>45810.6004057407</v>
      </c>
      <c r="J1019" s="33" t="n">
        <v>45810.4352682407</v>
      </c>
      <c r="K1019" s="13" t="s">
        <v>2914</v>
      </c>
      <c r="L1019" s="13"/>
      <c r="M1019" s="13" t="s">
        <v>2968</v>
      </c>
      <c r="N1019" s="33" t="n">
        <v>46308.7264460648</v>
      </c>
    </row>
    <row r="1020" customFormat="false" ht="15" hidden="false" customHeight="false" outlineLevel="0" collapsed="false">
      <c r="A1020" s="13" t="s">
        <v>2969</v>
      </c>
      <c r="B1020" s="13" t="s">
        <v>58</v>
      </c>
      <c r="C1020" s="13" t="s">
        <v>2970</v>
      </c>
      <c r="D1020" s="13" t="s">
        <v>166</v>
      </c>
      <c r="E1020" s="13" t="s">
        <v>2936</v>
      </c>
      <c r="F1020" s="13"/>
      <c r="G1020" s="13" t="s">
        <v>159</v>
      </c>
      <c r="H1020" s="31"/>
      <c r="I1020" s="33" t="n">
        <v>45808.8867623611</v>
      </c>
      <c r="J1020" s="33" t="n">
        <v>45808.8867623611</v>
      </c>
      <c r="K1020" s="13" t="s">
        <v>2914</v>
      </c>
      <c r="L1020" s="13"/>
      <c r="M1020" s="13" t="s">
        <v>2971</v>
      </c>
      <c r="N1020" s="33" t="n">
        <v>46308.7264460648</v>
      </c>
    </row>
    <row r="1021" customFormat="false" ht="15" hidden="false" customHeight="false" outlineLevel="0" collapsed="false">
      <c r="A1021" s="13" t="s">
        <v>2972</v>
      </c>
      <c r="B1021" s="13" t="s">
        <v>59</v>
      </c>
      <c r="C1021" s="13" t="s">
        <v>2973</v>
      </c>
      <c r="D1021" s="13" t="s">
        <v>401</v>
      </c>
      <c r="E1021" s="13" t="s">
        <v>1044</v>
      </c>
      <c r="F1021" s="13"/>
      <c r="G1021" s="13"/>
      <c r="H1021" s="31"/>
      <c r="I1021" s="33" t="n">
        <v>46308.4698451273</v>
      </c>
      <c r="J1021" s="33"/>
      <c r="K1021" s="13" t="s">
        <v>2974</v>
      </c>
      <c r="L1021" s="13" t="s">
        <v>117</v>
      </c>
      <c r="M1021" s="13" t="s">
        <v>2975</v>
      </c>
      <c r="N1021" s="33" t="n">
        <v>46308.7264460648</v>
      </c>
    </row>
    <row r="1022" customFormat="false" ht="15" hidden="false" customHeight="false" outlineLevel="0" collapsed="false">
      <c r="A1022" s="13" t="s">
        <v>2976</v>
      </c>
      <c r="B1022" s="13" t="s">
        <v>59</v>
      </c>
      <c r="C1022" s="13" t="s">
        <v>2977</v>
      </c>
      <c r="D1022" s="13" t="s">
        <v>166</v>
      </c>
      <c r="E1022" s="13" t="s">
        <v>95</v>
      </c>
      <c r="F1022" s="13"/>
      <c r="G1022" s="13"/>
      <c r="H1022" s="31" t="n">
        <v>45800</v>
      </c>
      <c r="I1022" s="33" t="n">
        <v>46129.3697013079</v>
      </c>
      <c r="J1022" s="33" t="n">
        <v>46129.3697013079</v>
      </c>
      <c r="K1022" s="13" t="s">
        <v>2974</v>
      </c>
      <c r="L1022" s="13" t="s">
        <v>117</v>
      </c>
      <c r="M1022" s="13" t="s">
        <v>2978</v>
      </c>
      <c r="N1022" s="33" t="n">
        <v>46308.7264460648</v>
      </c>
    </row>
    <row r="1023" customFormat="false" ht="15" hidden="false" customHeight="false" outlineLevel="0" collapsed="false">
      <c r="A1023" s="13" t="s">
        <v>2979</v>
      </c>
      <c r="B1023" s="13" t="s">
        <v>59</v>
      </c>
      <c r="C1023" s="13" t="s">
        <v>2980</v>
      </c>
      <c r="D1023" s="13" t="s">
        <v>166</v>
      </c>
      <c r="E1023" s="13" t="s">
        <v>95</v>
      </c>
      <c r="F1023" s="13"/>
      <c r="G1023" s="13"/>
      <c r="H1023" s="31" t="n">
        <v>45800</v>
      </c>
      <c r="I1023" s="33" t="n">
        <v>46129.3696958912</v>
      </c>
      <c r="J1023" s="33" t="n">
        <v>46129.3696958912</v>
      </c>
      <c r="K1023" s="13" t="s">
        <v>2974</v>
      </c>
      <c r="L1023" s="13" t="s">
        <v>117</v>
      </c>
      <c r="M1023" s="13" t="s">
        <v>2981</v>
      </c>
      <c r="N1023" s="33" t="n">
        <v>46308.7264460648</v>
      </c>
    </row>
    <row r="1024" customFormat="false" ht="15" hidden="false" customHeight="false" outlineLevel="0" collapsed="false">
      <c r="A1024" s="13" t="s">
        <v>2982</v>
      </c>
      <c r="B1024" s="13" t="s">
        <v>59</v>
      </c>
      <c r="C1024" s="13" t="s">
        <v>2983</v>
      </c>
      <c r="D1024" s="13" t="s">
        <v>166</v>
      </c>
      <c r="E1024" s="13" t="s">
        <v>2984</v>
      </c>
      <c r="F1024" s="13"/>
      <c r="G1024" s="13" t="s">
        <v>159</v>
      </c>
      <c r="H1024" s="31" t="n">
        <v>46041</v>
      </c>
      <c r="I1024" s="33" t="n">
        <v>46037.8592220139</v>
      </c>
      <c r="J1024" s="33" t="n">
        <v>46037.8592220139</v>
      </c>
      <c r="K1024" s="13" t="s">
        <v>2974</v>
      </c>
      <c r="L1024" s="13" t="s">
        <v>117</v>
      </c>
      <c r="M1024" s="13" t="s">
        <v>2985</v>
      </c>
      <c r="N1024" s="33" t="n">
        <v>46308.7264460648</v>
      </c>
    </row>
    <row r="1025" customFormat="false" ht="15" hidden="false" customHeight="false" outlineLevel="0" collapsed="false">
      <c r="A1025" s="13" t="s">
        <v>2986</v>
      </c>
      <c r="B1025" s="13" t="s">
        <v>59</v>
      </c>
      <c r="C1025" s="13" t="s">
        <v>2987</v>
      </c>
      <c r="D1025" s="13" t="s">
        <v>401</v>
      </c>
      <c r="E1025" s="13" t="s">
        <v>1414</v>
      </c>
      <c r="F1025" s="13"/>
      <c r="G1025" s="13"/>
      <c r="H1025" s="31"/>
      <c r="I1025" s="33" t="n">
        <v>46009.7673554167</v>
      </c>
      <c r="J1025" s="33"/>
      <c r="K1025" s="13" t="s">
        <v>2974</v>
      </c>
      <c r="L1025" s="13" t="s">
        <v>117</v>
      </c>
      <c r="M1025" s="13" t="s">
        <v>2988</v>
      </c>
      <c r="N1025" s="33" t="n">
        <v>46308.7264460648</v>
      </c>
    </row>
    <row r="1026" customFormat="false" ht="15" hidden="false" customHeight="false" outlineLevel="0" collapsed="false">
      <c r="A1026" s="13" t="s">
        <v>2989</v>
      </c>
      <c r="B1026" s="13" t="s">
        <v>59</v>
      </c>
      <c r="C1026" s="13" t="s">
        <v>2990</v>
      </c>
      <c r="D1026" s="13" t="s">
        <v>166</v>
      </c>
      <c r="E1026" s="13" t="s">
        <v>853</v>
      </c>
      <c r="F1026" s="13" t="s">
        <v>736</v>
      </c>
      <c r="G1026" s="13" t="s">
        <v>207</v>
      </c>
      <c r="H1026" s="31"/>
      <c r="I1026" s="33" t="n">
        <v>45980.7298933681</v>
      </c>
      <c r="J1026" s="33" t="n">
        <v>45979.6104606366</v>
      </c>
      <c r="K1026" s="13" t="s">
        <v>2974</v>
      </c>
      <c r="L1026" s="13" t="s">
        <v>117</v>
      </c>
      <c r="M1026" s="13" t="s">
        <v>2991</v>
      </c>
      <c r="N1026" s="33" t="n">
        <v>46308.7264460648</v>
      </c>
    </row>
    <row r="1027" customFormat="false" ht="15" hidden="false" customHeight="false" outlineLevel="0" collapsed="false">
      <c r="A1027" s="13" t="s">
        <v>2992</v>
      </c>
      <c r="B1027" s="13" t="s">
        <v>59</v>
      </c>
      <c r="C1027" s="13" t="s">
        <v>2993</v>
      </c>
      <c r="D1027" s="13" t="s">
        <v>166</v>
      </c>
      <c r="E1027" s="13"/>
      <c r="F1027" s="13"/>
      <c r="G1027" s="13"/>
      <c r="H1027" s="31"/>
      <c r="I1027" s="33" t="n">
        <v>45918.7292140857</v>
      </c>
      <c r="J1027" s="33" t="n">
        <v>45918.7292140857</v>
      </c>
      <c r="K1027" s="13" t="s">
        <v>2994</v>
      </c>
      <c r="L1027" s="13" t="s">
        <v>117</v>
      </c>
      <c r="M1027" s="13" t="s">
        <v>2995</v>
      </c>
      <c r="N1027" s="33" t="n">
        <v>46308.7264460648</v>
      </c>
    </row>
    <row r="1028" customFormat="false" ht="15" hidden="false" customHeight="false" outlineLevel="0" collapsed="false">
      <c r="A1028" s="13" t="s">
        <v>2996</v>
      </c>
      <c r="B1028" s="13" t="s">
        <v>59</v>
      </c>
      <c r="C1028" s="13" t="s">
        <v>2997</v>
      </c>
      <c r="D1028" s="13" t="s">
        <v>166</v>
      </c>
      <c r="E1028" s="13" t="s">
        <v>2998</v>
      </c>
      <c r="F1028" s="13"/>
      <c r="G1028" s="13" t="s">
        <v>189</v>
      </c>
      <c r="H1028" s="31"/>
      <c r="I1028" s="33" t="n">
        <v>45918.7290766319</v>
      </c>
      <c r="J1028" s="33" t="n">
        <v>45918.7290766319</v>
      </c>
      <c r="K1028" s="13" t="s">
        <v>2974</v>
      </c>
      <c r="L1028" s="13" t="s">
        <v>117</v>
      </c>
      <c r="M1028" s="13" t="s">
        <v>2999</v>
      </c>
      <c r="N1028" s="33" t="n">
        <v>46308.7264460648</v>
      </c>
    </row>
    <row r="1029" customFormat="false" ht="15" hidden="false" customHeight="false" outlineLevel="0" collapsed="false">
      <c r="A1029" s="13" t="s">
        <v>3000</v>
      </c>
      <c r="B1029" s="13" t="s">
        <v>59</v>
      </c>
      <c r="C1029" s="13" t="s">
        <v>3001</v>
      </c>
      <c r="D1029" s="13" t="s">
        <v>401</v>
      </c>
      <c r="E1029" s="13" t="s">
        <v>3002</v>
      </c>
      <c r="F1029" s="13"/>
      <c r="G1029" s="13"/>
      <c r="H1029" s="31"/>
      <c r="I1029" s="33" t="n">
        <v>45894.6745085417</v>
      </c>
      <c r="J1029" s="33"/>
      <c r="K1029" s="13" t="s">
        <v>2974</v>
      </c>
      <c r="L1029" s="13" t="s">
        <v>117</v>
      </c>
      <c r="M1029" s="13" t="s">
        <v>3003</v>
      </c>
      <c r="N1029" s="33" t="n">
        <v>46308.7264460648</v>
      </c>
    </row>
    <row r="1030" customFormat="false" ht="15" hidden="false" customHeight="false" outlineLevel="0" collapsed="false">
      <c r="A1030" s="13" t="s">
        <v>3004</v>
      </c>
      <c r="B1030" s="13" t="s">
        <v>59</v>
      </c>
      <c r="C1030" s="13" t="s">
        <v>3005</v>
      </c>
      <c r="D1030" s="13" t="s">
        <v>166</v>
      </c>
      <c r="E1030" s="13" t="s">
        <v>3006</v>
      </c>
      <c r="F1030" s="13"/>
      <c r="G1030" s="13"/>
      <c r="H1030" s="31"/>
      <c r="I1030" s="33" t="n">
        <v>45842.6407335648</v>
      </c>
      <c r="J1030" s="33" t="n">
        <v>45842.6407335648</v>
      </c>
      <c r="K1030" s="13" t="s">
        <v>2974</v>
      </c>
      <c r="L1030" s="13" t="s">
        <v>117</v>
      </c>
      <c r="M1030" s="13" t="s">
        <v>3007</v>
      </c>
      <c r="N1030" s="33" t="n">
        <v>46308.7264460648</v>
      </c>
    </row>
    <row r="1031" customFormat="false" ht="15" hidden="false" customHeight="false" outlineLevel="0" collapsed="false">
      <c r="A1031" s="13" t="s">
        <v>3008</v>
      </c>
      <c r="B1031" s="13" t="s">
        <v>59</v>
      </c>
      <c r="C1031" s="13" t="s">
        <v>3009</v>
      </c>
      <c r="D1031" s="13" t="s">
        <v>166</v>
      </c>
      <c r="E1031" s="13" t="s">
        <v>3010</v>
      </c>
      <c r="F1031" s="13"/>
      <c r="G1031" s="13"/>
      <c r="H1031" s="31"/>
      <c r="I1031" s="33" t="n">
        <v>45842.6405682407</v>
      </c>
      <c r="J1031" s="33" t="n">
        <v>45842.6405682407</v>
      </c>
      <c r="K1031" s="13" t="s">
        <v>2974</v>
      </c>
      <c r="L1031" s="13" t="s">
        <v>117</v>
      </c>
      <c r="M1031" s="13" t="s">
        <v>3011</v>
      </c>
      <c r="N1031" s="33" t="n">
        <v>46308.7264460648</v>
      </c>
    </row>
    <row r="1032" customFormat="false" ht="15" hidden="false" customHeight="false" outlineLevel="0" collapsed="false">
      <c r="A1032" s="13" t="s">
        <v>3012</v>
      </c>
      <c r="B1032" s="13" t="s">
        <v>59</v>
      </c>
      <c r="C1032" s="13" t="s">
        <v>3013</v>
      </c>
      <c r="D1032" s="13" t="s">
        <v>166</v>
      </c>
      <c r="E1032" s="13" t="s">
        <v>802</v>
      </c>
      <c r="F1032" s="13"/>
      <c r="G1032" s="13" t="s">
        <v>207</v>
      </c>
      <c r="H1032" s="31"/>
      <c r="I1032" s="33" t="n">
        <v>45824.6847786343</v>
      </c>
      <c r="J1032" s="33" t="n">
        <v>45824.6847786343</v>
      </c>
      <c r="K1032" s="13" t="s">
        <v>3014</v>
      </c>
      <c r="L1032" s="13" t="s">
        <v>117</v>
      </c>
      <c r="M1032" s="13" t="s">
        <v>3015</v>
      </c>
      <c r="N1032" s="33" t="n">
        <v>46308.7264460648</v>
      </c>
    </row>
    <row r="1033" customFormat="false" ht="15" hidden="false" customHeight="false" outlineLevel="0" collapsed="false">
      <c r="A1033" s="13" t="s">
        <v>3016</v>
      </c>
      <c r="B1033" s="13" t="s">
        <v>59</v>
      </c>
      <c r="C1033" s="13" t="s">
        <v>3017</v>
      </c>
      <c r="D1033" s="13" t="s">
        <v>166</v>
      </c>
      <c r="E1033" s="13" t="s">
        <v>802</v>
      </c>
      <c r="F1033" s="13"/>
      <c r="G1033" s="13"/>
      <c r="H1033" s="31"/>
      <c r="I1033" s="33" t="n">
        <v>45818.5443490857</v>
      </c>
      <c r="J1033" s="33" t="n">
        <v>45818.5443490857</v>
      </c>
      <c r="K1033" s="13" t="s">
        <v>3014</v>
      </c>
      <c r="L1033" s="13" t="s">
        <v>117</v>
      </c>
      <c r="M1033" s="13" t="s">
        <v>3018</v>
      </c>
      <c r="N1033" s="33" t="n">
        <v>46308.7264460648</v>
      </c>
    </row>
    <row r="1034" customFormat="false" ht="15" hidden="false" customHeight="false" outlineLevel="0" collapsed="false">
      <c r="A1034" s="13" t="s">
        <v>3019</v>
      </c>
      <c r="B1034" s="13" t="s">
        <v>59</v>
      </c>
      <c r="C1034" s="13" t="s">
        <v>3020</v>
      </c>
      <c r="D1034" s="13" t="s">
        <v>166</v>
      </c>
      <c r="E1034" s="13" t="s">
        <v>95</v>
      </c>
      <c r="F1034" s="13"/>
      <c r="G1034" s="13" t="s">
        <v>189</v>
      </c>
      <c r="H1034" s="31"/>
      <c r="I1034" s="33" t="n">
        <v>45818.4008555556</v>
      </c>
      <c r="J1034" s="33" t="n">
        <v>45818.4008555556</v>
      </c>
      <c r="K1034" s="13" t="s">
        <v>2974</v>
      </c>
      <c r="L1034" s="13" t="s">
        <v>117</v>
      </c>
      <c r="M1034" s="13" t="s">
        <v>3021</v>
      </c>
      <c r="N1034" s="33" t="n">
        <v>46308.7264460648</v>
      </c>
    </row>
    <row r="1035" customFormat="false" ht="15" hidden="false" customHeight="false" outlineLevel="0" collapsed="false">
      <c r="A1035" s="13" t="s">
        <v>3022</v>
      </c>
      <c r="B1035" s="13" t="s">
        <v>59</v>
      </c>
      <c r="C1035" s="13" t="s">
        <v>3023</v>
      </c>
      <c r="D1035" s="13" t="s">
        <v>166</v>
      </c>
      <c r="E1035" s="13" t="s">
        <v>699</v>
      </c>
      <c r="F1035" s="13"/>
      <c r="G1035" s="13" t="s">
        <v>207</v>
      </c>
      <c r="H1035" s="31"/>
      <c r="I1035" s="33" t="n">
        <v>45817.6112547338</v>
      </c>
      <c r="J1035" s="33" t="n">
        <v>45817.6112547338</v>
      </c>
      <c r="K1035" s="13" t="s">
        <v>2974</v>
      </c>
      <c r="L1035" s="13" t="s">
        <v>117</v>
      </c>
      <c r="M1035" s="13" t="s">
        <v>3024</v>
      </c>
      <c r="N1035" s="33" t="n">
        <v>46308.7264460648</v>
      </c>
    </row>
    <row r="1036" customFormat="false" ht="15" hidden="false" customHeight="false" outlineLevel="0" collapsed="false">
      <c r="A1036" s="13" t="s">
        <v>3025</v>
      </c>
      <c r="B1036" s="13" t="s">
        <v>59</v>
      </c>
      <c r="C1036" s="13" t="s">
        <v>3026</v>
      </c>
      <c r="D1036" s="13" t="s">
        <v>166</v>
      </c>
      <c r="E1036" s="13" t="s">
        <v>699</v>
      </c>
      <c r="F1036" s="13"/>
      <c r="G1036" s="13"/>
      <c r="H1036" s="31" t="n">
        <v>45817</v>
      </c>
      <c r="I1036" s="33" t="n">
        <v>45817.4610976736</v>
      </c>
      <c r="J1036" s="33" t="n">
        <v>45817.4610976736</v>
      </c>
      <c r="K1036" s="13" t="s">
        <v>3027</v>
      </c>
      <c r="L1036" s="13" t="s">
        <v>117</v>
      </c>
      <c r="M1036" s="13" t="s">
        <v>3028</v>
      </c>
      <c r="N1036" s="33" t="n">
        <v>46308.7264460648</v>
      </c>
    </row>
    <row r="1037" customFormat="false" ht="15" hidden="false" customHeight="false" outlineLevel="0" collapsed="false">
      <c r="A1037" s="13" t="s">
        <v>3029</v>
      </c>
      <c r="B1037" s="13" t="s">
        <v>59</v>
      </c>
      <c r="C1037" s="13" t="s">
        <v>3030</v>
      </c>
      <c r="D1037" s="13" t="s">
        <v>166</v>
      </c>
      <c r="E1037" s="13" t="s">
        <v>3031</v>
      </c>
      <c r="F1037" s="13"/>
      <c r="G1037" s="13" t="s">
        <v>207</v>
      </c>
      <c r="H1037" s="31" t="n">
        <v>45800</v>
      </c>
      <c r="I1037" s="33" t="n">
        <v>45811.5937375926</v>
      </c>
      <c r="J1037" s="33" t="n">
        <v>45811.5937375926</v>
      </c>
      <c r="K1037" s="13" t="s">
        <v>2974</v>
      </c>
      <c r="L1037" s="13" t="s">
        <v>117</v>
      </c>
      <c r="M1037" s="13" t="s">
        <v>3032</v>
      </c>
      <c r="N1037" s="33" t="n">
        <v>46308.7264460648</v>
      </c>
    </row>
    <row r="1038" customFormat="false" ht="15" hidden="false" customHeight="false" outlineLevel="0" collapsed="false">
      <c r="A1038" s="13" t="s">
        <v>3033</v>
      </c>
      <c r="B1038" s="13" t="s">
        <v>59</v>
      </c>
      <c r="C1038" s="13" t="s">
        <v>3034</v>
      </c>
      <c r="D1038" s="13" t="s">
        <v>166</v>
      </c>
      <c r="E1038" s="13" t="s">
        <v>3035</v>
      </c>
      <c r="F1038" s="13"/>
      <c r="G1038" s="13" t="s">
        <v>207</v>
      </c>
      <c r="H1038" s="31"/>
      <c r="I1038" s="33" t="n">
        <v>45810.5083556944</v>
      </c>
      <c r="J1038" s="33" t="n">
        <v>45810.5083556944</v>
      </c>
      <c r="K1038" s="13" t="s">
        <v>2974</v>
      </c>
      <c r="L1038" s="13" t="s">
        <v>117</v>
      </c>
      <c r="M1038" s="13" t="s">
        <v>3036</v>
      </c>
      <c r="N1038" s="33" t="n">
        <v>46308.7264460648</v>
      </c>
    </row>
    <row r="1039" customFormat="false" ht="15" hidden="false" customHeight="false" outlineLevel="0" collapsed="false">
      <c r="A1039" s="13" t="s">
        <v>3037</v>
      </c>
      <c r="B1039" s="13" t="s">
        <v>59</v>
      </c>
      <c r="C1039" s="13" t="s">
        <v>3038</v>
      </c>
      <c r="D1039" s="13" t="s">
        <v>166</v>
      </c>
      <c r="E1039" s="13" t="s">
        <v>3039</v>
      </c>
      <c r="F1039" s="13"/>
      <c r="G1039" s="13"/>
      <c r="H1039" s="31"/>
      <c r="I1039" s="33" t="n">
        <v>45810.4968771991</v>
      </c>
      <c r="J1039" s="33" t="n">
        <v>45810.4968771991</v>
      </c>
      <c r="K1039" s="13" t="s">
        <v>3040</v>
      </c>
      <c r="L1039" s="13" t="s">
        <v>117</v>
      </c>
      <c r="M1039" s="13" t="s">
        <v>3041</v>
      </c>
      <c r="N1039" s="33" t="n">
        <v>46308.7264460648</v>
      </c>
    </row>
    <row r="1040" customFormat="false" ht="15" hidden="false" customHeight="false" outlineLevel="0" collapsed="false">
      <c r="A1040" s="13" t="s">
        <v>3042</v>
      </c>
      <c r="B1040" s="13" t="s">
        <v>59</v>
      </c>
      <c r="C1040" s="13" t="s">
        <v>3043</v>
      </c>
      <c r="D1040" s="13" t="s">
        <v>166</v>
      </c>
      <c r="E1040" s="13" t="s">
        <v>1743</v>
      </c>
      <c r="F1040" s="13"/>
      <c r="G1040" s="13"/>
      <c r="H1040" s="31"/>
      <c r="I1040" s="33" t="n">
        <v>45810.4968095023</v>
      </c>
      <c r="J1040" s="33" t="n">
        <v>45810.4968095023</v>
      </c>
      <c r="K1040" s="13" t="s">
        <v>3040</v>
      </c>
      <c r="L1040" s="13" t="s">
        <v>117</v>
      </c>
      <c r="M1040" s="13" t="s">
        <v>3044</v>
      </c>
      <c r="N1040" s="33" t="n">
        <v>46308.7264460648</v>
      </c>
    </row>
    <row r="1041" customFormat="false" ht="15" hidden="false" customHeight="false" outlineLevel="0" collapsed="false">
      <c r="A1041" s="13" t="s">
        <v>3045</v>
      </c>
      <c r="B1041" s="13" t="s">
        <v>59</v>
      </c>
      <c r="C1041" s="13" t="s">
        <v>3046</v>
      </c>
      <c r="D1041" s="13" t="s">
        <v>166</v>
      </c>
      <c r="E1041" s="13" t="s">
        <v>1743</v>
      </c>
      <c r="F1041" s="13"/>
      <c r="G1041" s="13"/>
      <c r="H1041" s="31"/>
      <c r="I1041" s="33" t="n">
        <v>45810.4967708333</v>
      </c>
      <c r="J1041" s="33" t="n">
        <v>45810.4967708333</v>
      </c>
      <c r="K1041" s="13" t="s">
        <v>3040</v>
      </c>
      <c r="L1041" s="13" t="s">
        <v>117</v>
      </c>
      <c r="M1041" s="13" t="s">
        <v>3047</v>
      </c>
      <c r="N1041" s="33" t="n">
        <v>46308.7264460648</v>
      </c>
    </row>
    <row r="1042" customFormat="false" ht="15" hidden="false" customHeight="false" outlineLevel="0" collapsed="false">
      <c r="A1042" s="13" t="s">
        <v>3048</v>
      </c>
      <c r="B1042" s="13" t="s">
        <v>59</v>
      </c>
      <c r="C1042" s="13" t="s">
        <v>3049</v>
      </c>
      <c r="D1042" s="13" t="s">
        <v>166</v>
      </c>
      <c r="E1042" s="13" t="s">
        <v>1743</v>
      </c>
      <c r="F1042" s="13"/>
      <c r="G1042" s="13"/>
      <c r="H1042" s="31"/>
      <c r="I1042" s="33" t="n">
        <v>45810.4967430671</v>
      </c>
      <c r="J1042" s="33" t="n">
        <v>45810.4967430671</v>
      </c>
      <c r="K1042" s="13" t="s">
        <v>3040</v>
      </c>
      <c r="L1042" s="13" t="s">
        <v>117</v>
      </c>
      <c r="M1042" s="13" t="s">
        <v>3050</v>
      </c>
      <c r="N1042" s="33" t="n">
        <v>46308.7264460648</v>
      </c>
    </row>
    <row r="1043" customFormat="false" ht="15" hidden="false" customHeight="false" outlineLevel="0" collapsed="false">
      <c r="A1043" s="13" t="s">
        <v>3051</v>
      </c>
      <c r="B1043" s="13" t="s">
        <v>59</v>
      </c>
      <c r="C1043" s="13" t="s">
        <v>3052</v>
      </c>
      <c r="D1043" s="13" t="s">
        <v>166</v>
      </c>
      <c r="E1043" s="13" t="s">
        <v>699</v>
      </c>
      <c r="F1043" s="13"/>
      <c r="G1043" s="13"/>
      <c r="H1043" s="31"/>
      <c r="I1043" s="33" t="n">
        <v>45800.5901080556</v>
      </c>
      <c r="J1043" s="33" t="n">
        <v>45800.5901080556</v>
      </c>
      <c r="K1043" s="13" t="s">
        <v>2974</v>
      </c>
      <c r="L1043" s="13" t="s">
        <v>117</v>
      </c>
      <c r="M1043" s="13" t="s">
        <v>3053</v>
      </c>
      <c r="N1043" s="33" t="n">
        <v>46308.7264460648</v>
      </c>
    </row>
    <row r="1044" customFormat="false" ht="15" hidden="false" customHeight="false" outlineLevel="0" collapsed="false">
      <c r="A1044" s="13" t="s">
        <v>3054</v>
      </c>
      <c r="B1044" s="13" t="s">
        <v>59</v>
      </c>
      <c r="C1044" s="13" t="s">
        <v>3055</v>
      </c>
      <c r="D1044" s="13" t="s">
        <v>166</v>
      </c>
      <c r="E1044" s="13" t="s">
        <v>1743</v>
      </c>
      <c r="F1044" s="13"/>
      <c r="G1044" s="13" t="s">
        <v>159</v>
      </c>
      <c r="H1044" s="31" t="n">
        <v>45798</v>
      </c>
      <c r="I1044" s="33" t="n">
        <v>45799.7322879051</v>
      </c>
      <c r="J1044" s="33" t="n">
        <v>45799.7322879051</v>
      </c>
      <c r="K1044" s="13" t="s">
        <v>2974</v>
      </c>
      <c r="L1044" s="13" t="s">
        <v>117</v>
      </c>
      <c r="M1044" s="13" t="s">
        <v>3056</v>
      </c>
      <c r="N1044" s="33" t="n">
        <v>46308.7264460648</v>
      </c>
    </row>
    <row r="1045" customFormat="false" ht="15" hidden="false" customHeight="false" outlineLevel="0" collapsed="false">
      <c r="A1045" s="13" t="s">
        <v>3057</v>
      </c>
      <c r="B1045" s="13" t="s">
        <v>59</v>
      </c>
      <c r="C1045" s="13" t="s">
        <v>3058</v>
      </c>
      <c r="D1045" s="13" t="s">
        <v>166</v>
      </c>
      <c r="E1045" s="13" t="s">
        <v>259</v>
      </c>
      <c r="F1045" s="13"/>
      <c r="G1045" s="13" t="s">
        <v>159</v>
      </c>
      <c r="H1045" s="31"/>
      <c r="I1045" s="33" t="n">
        <v>45799.6718277546</v>
      </c>
      <c r="J1045" s="33" t="n">
        <v>45799.6718277546</v>
      </c>
      <c r="K1045" s="13" t="s">
        <v>2974</v>
      </c>
      <c r="L1045" s="13" t="s">
        <v>117</v>
      </c>
      <c r="M1045" s="13" t="s">
        <v>3059</v>
      </c>
      <c r="N1045" s="33" t="n">
        <v>46308.7264460648</v>
      </c>
    </row>
    <row r="1046" customFormat="false" ht="15" hidden="false" customHeight="false" outlineLevel="0" collapsed="false">
      <c r="A1046" s="13" t="s">
        <v>3060</v>
      </c>
      <c r="B1046" s="13" t="s">
        <v>60</v>
      </c>
      <c r="C1046" s="13" t="s">
        <v>3061</v>
      </c>
      <c r="D1046" s="13" t="s">
        <v>166</v>
      </c>
      <c r="E1046" s="13" t="s">
        <v>317</v>
      </c>
      <c r="F1046" s="13"/>
      <c r="G1046" s="13" t="s">
        <v>159</v>
      </c>
      <c r="H1046" s="31"/>
      <c r="I1046" s="33" t="n">
        <v>46308.6877643634</v>
      </c>
      <c r="J1046" s="33" t="n">
        <v>46308.6877643634</v>
      </c>
      <c r="K1046" s="13" t="s">
        <v>2974</v>
      </c>
      <c r="L1046" s="13" t="s">
        <v>280</v>
      </c>
      <c r="M1046" s="13" t="s">
        <v>3062</v>
      </c>
      <c r="N1046" s="33" t="n">
        <v>46308.7264460648</v>
      </c>
    </row>
    <row r="1047" customFormat="false" ht="15" hidden="false" customHeight="false" outlineLevel="0" collapsed="false">
      <c r="A1047" s="13" t="s">
        <v>3063</v>
      </c>
      <c r="B1047" s="13" t="s">
        <v>60</v>
      </c>
      <c r="C1047" s="13" t="s">
        <v>3064</v>
      </c>
      <c r="D1047" s="13" t="s">
        <v>166</v>
      </c>
      <c r="E1047" s="13" t="s">
        <v>317</v>
      </c>
      <c r="F1047" s="13"/>
      <c r="G1047" s="13" t="s">
        <v>207</v>
      </c>
      <c r="H1047" s="31"/>
      <c r="I1047" s="33" t="n">
        <v>46198.6547171296</v>
      </c>
      <c r="J1047" s="33" t="n">
        <v>46198.6547171296</v>
      </c>
      <c r="K1047" s="13" t="s">
        <v>2974</v>
      </c>
      <c r="L1047" s="13" t="s">
        <v>280</v>
      </c>
      <c r="M1047" s="13" t="s">
        <v>3065</v>
      </c>
      <c r="N1047" s="33" t="n">
        <v>46308.7264460648</v>
      </c>
    </row>
    <row r="1048" customFormat="false" ht="15" hidden="false" customHeight="false" outlineLevel="0" collapsed="false">
      <c r="A1048" s="13" t="s">
        <v>3066</v>
      </c>
      <c r="B1048" s="13" t="s">
        <v>60</v>
      </c>
      <c r="C1048" s="13" t="s">
        <v>3064</v>
      </c>
      <c r="D1048" s="13" t="s">
        <v>166</v>
      </c>
      <c r="E1048" s="13" t="s">
        <v>317</v>
      </c>
      <c r="F1048" s="13"/>
      <c r="G1048" s="13" t="s">
        <v>207</v>
      </c>
      <c r="H1048" s="31"/>
      <c r="I1048" s="33" t="n">
        <v>46176.3959796412</v>
      </c>
      <c r="J1048" s="33" t="n">
        <v>46176.3959796412</v>
      </c>
      <c r="K1048" s="13" t="s">
        <v>2974</v>
      </c>
      <c r="L1048" s="13" t="s">
        <v>280</v>
      </c>
      <c r="M1048" s="13" t="s">
        <v>3067</v>
      </c>
      <c r="N1048" s="33" t="n">
        <v>46308.7264460648</v>
      </c>
    </row>
    <row r="1049" customFormat="false" ht="15" hidden="false" customHeight="false" outlineLevel="0" collapsed="false">
      <c r="A1049" s="13" t="s">
        <v>3068</v>
      </c>
      <c r="B1049" s="13" t="s">
        <v>60</v>
      </c>
      <c r="C1049" s="13" t="s">
        <v>3069</v>
      </c>
      <c r="D1049" s="13" t="s">
        <v>166</v>
      </c>
      <c r="E1049" s="13" t="s">
        <v>317</v>
      </c>
      <c r="F1049" s="13"/>
      <c r="G1049" s="13" t="s">
        <v>159</v>
      </c>
      <c r="H1049" s="31"/>
      <c r="I1049" s="33" t="n">
        <v>46169.3611221412</v>
      </c>
      <c r="J1049" s="33" t="n">
        <v>46169.361046007</v>
      </c>
      <c r="K1049" s="13" t="s">
        <v>2974</v>
      </c>
      <c r="L1049" s="13" t="s">
        <v>280</v>
      </c>
      <c r="M1049" s="13" t="s">
        <v>3070</v>
      </c>
      <c r="N1049" s="33" t="n">
        <v>46308.7264460648</v>
      </c>
    </row>
    <row r="1050" customFormat="false" ht="15" hidden="false" customHeight="false" outlineLevel="0" collapsed="false">
      <c r="A1050" s="13" t="s">
        <v>3071</v>
      </c>
      <c r="B1050" s="13" t="s">
        <v>60</v>
      </c>
      <c r="C1050" s="13" t="s">
        <v>2983</v>
      </c>
      <c r="D1050" s="13" t="s">
        <v>166</v>
      </c>
      <c r="E1050" s="13" t="s">
        <v>2984</v>
      </c>
      <c r="F1050" s="13"/>
      <c r="G1050" s="13"/>
      <c r="H1050" s="31" t="n">
        <v>46041</v>
      </c>
      <c r="I1050" s="33" t="n">
        <v>46037.8462777662</v>
      </c>
      <c r="J1050" s="33" t="n">
        <v>46037.8462777662</v>
      </c>
      <c r="K1050" s="13" t="s">
        <v>2974</v>
      </c>
      <c r="L1050" s="13" t="s">
        <v>280</v>
      </c>
      <c r="M1050" s="13" t="s">
        <v>3072</v>
      </c>
      <c r="N1050" s="33" t="n">
        <v>46308.7264460648</v>
      </c>
    </row>
    <row r="1051" customFormat="false" ht="15" hidden="false" customHeight="false" outlineLevel="0" collapsed="false">
      <c r="A1051" s="13" t="s">
        <v>3073</v>
      </c>
      <c r="B1051" s="13" t="s">
        <v>60</v>
      </c>
      <c r="C1051" s="13" t="s">
        <v>3074</v>
      </c>
      <c r="D1051" s="13" t="s">
        <v>166</v>
      </c>
      <c r="E1051" s="13" t="s">
        <v>95</v>
      </c>
      <c r="F1051" s="13"/>
      <c r="G1051" s="13" t="s">
        <v>159</v>
      </c>
      <c r="H1051" s="31" t="n">
        <v>45845</v>
      </c>
      <c r="I1051" s="33" t="n">
        <v>45846.6134959028</v>
      </c>
      <c r="J1051" s="33" t="n">
        <v>45846.6134959028</v>
      </c>
      <c r="K1051" s="13" t="s">
        <v>695</v>
      </c>
      <c r="L1051" s="13" t="s">
        <v>280</v>
      </c>
      <c r="M1051" s="13" t="s">
        <v>3075</v>
      </c>
      <c r="N1051" s="33" t="n">
        <v>46308.7264460648</v>
      </c>
    </row>
    <row r="1052" customFormat="false" ht="15" hidden="false" customHeight="false" outlineLevel="0" collapsed="false">
      <c r="A1052" s="13" t="s">
        <v>3076</v>
      </c>
      <c r="B1052" s="13" t="s">
        <v>60</v>
      </c>
      <c r="C1052" s="13" t="s">
        <v>3077</v>
      </c>
      <c r="D1052" s="13" t="s">
        <v>166</v>
      </c>
      <c r="E1052" s="13" t="s">
        <v>3078</v>
      </c>
      <c r="F1052" s="13"/>
      <c r="G1052" s="13" t="s">
        <v>207</v>
      </c>
      <c r="H1052" s="31"/>
      <c r="I1052" s="33" t="n">
        <v>45826.5169248958</v>
      </c>
      <c r="J1052" s="33" t="n">
        <v>45826.5169248958</v>
      </c>
      <c r="K1052" s="13" t="s">
        <v>695</v>
      </c>
      <c r="L1052" s="13" t="s">
        <v>280</v>
      </c>
      <c r="M1052" s="13" t="s">
        <v>3079</v>
      </c>
      <c r="N1052" s="33" t="n">
        <v>46308.7264460648</v>
      </c>
    </row>
    <row r="1053" customFormat="false" ht="15" hidden="false" customHeight="false" outlineLevel="0" collapsed="false">
      <c r="A1053" s="13" t="s">
        <v>3080</v>
      </c>
      <c r="B1053" s="13" t="s">
        <v>60</v>
      </c>
      <c r="C1053" s="13" t="s">
        <v>3081</v>
      </c>
      <c r="D1053" s="13" t="s">
        <v>3082</v>
      </c>
      <c r="E1053" s="13" t="s">
        <v>928</v>
      </c>
      <c r="F1053" s="13"/>
      <c r="G1053" s="13" t="s">
        <v>159</v>
      </c>
      <c r="H1053" s="31"/>
      <c r="I1053" s="33" t="n">
        <v>45821.5833869907</v>
      </c>
      <c r="J1053" s="33"/>
      <c r="K1053" s="13" t="s">
        <v>2974</v>
      </c>
      <c r="L1053" s="13" t="s">
        <v>280</v>
      </c>
      <c r="M1053" s="13" t="s">
        <v>3083</v>
      </c>
      <c r="N1053" s="33" t="n">
        <v>46308.7264460648</v>
      </c>
    </row>
    <row r="1054" customFormat="false" ht="15" hidden="false" customHeight="false" outlineLevel="0" collapsed="false">
      <c r="A1054" s="13" t="s">
        <v>3084</v>
      </c>
      <c r="B1054" s="13" t="s">
        <v>60</v>
      </c>
      <c r="C1054" s="13" t="s">
        <v>1435</v>
      </c>
      <c r="D1054" s="13" t="s">
        <v>166</v>
      </c>
      <c r="E1054" s="13" t="s">
        <v>981</v>
      </c>
      <c r="F1054" s="13"/>
      <c r="G1054" s="13"/>
      <c r="H1054" s="31"/>
      <c r="I1054" s="33" t="n">
        <v>45821.5833795139</v>
      </c>
      <c r="J1054" s="33" t="n">
        <v>45821.4450459607</v>
      </c>
      <c r="K1054" s="13" t="s">
        <v>2974</v>
      </c>
      <c r="L1054" s="13" t="s">
        <v>280</v>
      </c>
      <c r="M1054" s="13" t="s">
        <v>3085</v>
      </c>
      <c r="N1054" s="33" t="n">
        <v>46308.7264460648</v>
      </c>
    </row>
    <row r="1055" customFormat="false" ht="15" hidden="false" customHeight="false" outlineLevel="0" collapsed="false">
      <c r="A1055" s="13" t="s">
        <v>3086</v>
      </c>
      <c r="B1055" s="13" t="s">
        <v>60</v>
      </c>
      <c r="C1055" s="13" t="s">
        <v>2385</v>
      </c>
      <c r="D1055" s="13" t="s">
        <v>166</v>
      </c>
      <c r="E1055" s="13" t="s">
        <v>95</v>
      </c>
      <c r="F1055" s="13"/>
      <c r="G1055" s="13"/>
      <c r="H1055" s="31"/>
      <c r="I1055" s="33" t="n">
        <v>45821.5833795139</v>
      </c>
      <c r="J1055" s="33" t="n">
        <v>45821.4254722338</v>
      </c>
      <c r="K1055" s="13" t="s">
        <v>2974</v>
      </c>
      <c r="L1055" s="13" t="s">
        <v>280</v>
      </c>
      <c r="M1055" s="13" t="s">
        <v>3087</v>
      </c>
      <c r="N1055" s="33" t="n">
        <v>46308.7264460648</v>
      </c>
    </row>
    <row r="1056" customFormat="false" ht="15" hidden="false" customHeight="false" outlineLevel="0" collapsed="false">
      <c r="A1056" s="13" t="s">
        <v>3088</v>
      </c>
      <c r="B1056" s="13" t="s">
        <v>60</v>
      </c>
      <c r="C1056" s="13" t="s">
        <v>1278</v>
      </c>
      <c r="D1056" s="13" t="s">
        <v>166</v>
      </c>
      <c r="E1056" s="13" t="s">
        <v>981</v>
      </c>
      <c r="F1056" s="13"/>
      <c r="G1056" s="13"/>
      <c r="H1056" s="31"/>
      <c r="I1056" s="33" t="n">
        <v>45821.5833795139</v>
      </c>
      <c r="J1056" s="33" t="n">
        <v>45821.4911925116</v>
      </c>
      <c r="K1056" s="13" t="s">
        <v>2974</v>
      </c>
      <c r="L1056" s="13" t="s">
        <v>280</v>
      </c>
      <c r="M1056" s="13" t="s">
        <v>3089</v>
      </c>
      <c r="N1056" s="33" t="n">
        <v>46308.7264460648</v>
      </c>
    </row>
    <row r="1057" customFormat="false" ht="15" hidden="false" customHeight="false" outlineLevel="0" collapsed="false">
      <c r="A1057" s="13" t="s">
        <v>3090</v>
      </c>
      <c r="B1057" s="13" t="s">
        <v>60</v>
      </c>
      <c r="C1057" s="13" t="s">
        <v>3091</v>
      </c>
      <c r="D1057" s="13" t="s">
        <v>401</v>
      </c>
      <c r="E1057" s="13" t="s">
        <v>699</v>
      </c>
      <c r="F1057" s="13"/>
      <c r="G1057" s="13"/>
      <c r="H1057" s="31"/>
      <c r="I1057" s="33" t="n">
        <v>45821.5833791551</v>
      </c>
      <c r="J1057" s="33"/>
      <c r="K1057" s="13" t="s">
        <v>2974</v>
      </c>
      <c r="L1057" s="13" t="s">
        <v>280</v>
      </c>
      <c r="M1057" s="13" t="s">
        <v>3092</v>
      </c>
      <c r="N1057" s="33" t="n">
        <v>46308.7264460648</v>
      </c>
    </row>
    <row r="1058" customFormat="false" ht="15" hidden="false" customHeight="false" outlineLevel="0" collapsed="false">
      <c r="A1058" s="13" t="s">
        <v>3093</v>
      </c>
      <c r="B1058" s="13" t="s">
        <v>60</v>
      </c>
      <c r="C1058" s="13" t="s">
        <v>3094</v>
      </c>
      <c r="D1058" s="13" t="s">
        <v>166</v>
      </c>
      <c r="E1058" s="13" t="s">
        <v>95</v>
      </c>
      <c r="F1058" s="13"/>
      <c r="G1058" s="13" t="s">
        <v>189</v>
      </c>
      <c r="H1058" s="31" t="n">
        <v>45820</v>
      </c>
      <c r="I1058" s="33" t="n">
        <v>45821.3528809028</v>
      </c>
      <c r="J1058" s="33" t="n">
        <v>45821.3528809028</v>
      </c>
      <c r="K1058" s="13" t="s">
        <v>695</v>
      </c>
      <c r="L1058" s="13" t="s">
        <v>280</v>
      </c>
      <c r="M1058" s="13" t="s">
        <v>3095</v>
      </c>
      <c r="N1058" s="33" t="n">
        <v>46308.7264460648</v>
      </c>
    </row>
    <row r="1059" customFormat="false" ht="15" hidden="false" customHeight="false" outlineLevel="0" collapsed="false">
      <c r="A1059" s="13" t="s">
        <v>3096</v>
      </c>
      <c r="B1059" s="13" t="s">
        <v>60</v>
      </c>
      <c r="C1059" s="13" t="s">
        <v>3097</v>
      </c>
      <c r="D1059" s="13" t="s">
        <v>166</v>
      </c>
      <c r="E1059" s="13" t="s">
        <v>2967</v>
      </c>
      <c r="F1059" s="13"/>
      <c r="G1059" s="13"/>
      <c r="H1059" s="31" t="n">
        <v>45814</v>
      </c>
      <c r="I1059" s="33" t="n">
        <v>45817.4626739815</v>
      </c>
      <c r="J1059" s="33" t="n">
        <v>45817.4626739815</v>
      </c>
      <c r="K1059" s="13" t="s">
        <v>2974</v>
      </c>
      <c r="L1059" s="13" t="s">
        <v>280</v>
      </c>
      <c r="M1059" s="13" t="s">
        <v>3098</v>
      </c>
      <c r="N1059" s="33" t="n">
        <v>46308.7264460648</v>
      </c>
    </row>
    <row r="1060" customFormat="false" ht="15" hidden="false" customHeight="false" outlineLevel="0" collapsed="false">
      <c r="A1060" s="13" t="s">
        <v>3099</v>
      </c>
      <c r="B1060" s="13" t="s">
        <v>60</v>
      </c>
      <c r="C1060" s="13" t="s">
        <v>3100</v>
      </c>
      <c r="D1060" s="13" t="s">
        <v>166</v>
      </c>
      <c r="E1060" s="13" t="s">
        <v>699</v>
      </c>
      <c r="F1060" s="13"/>
      <c r="G1060" s="13" t="s">
        <v>159</v>
      </c>
      <c r="H1060" s="31"/>
      <c r="I1060" s="33" t="n">
        <v>45817.4618241204</v>
      </c>
      <c r="J1060" s="33" t="n">
        <v>45817.4618241204</v>
      </c>
      <c r="K1060" s="13" t="s">
        <v>2974</v>
      </c>
      <c r="L1060" s="13" t="s">
        <v>280</v>
      </c>
      <c r="M1060" s="13" t="s">
        <v>3101</v>
      </c>
      <c r="N1060" s="33" t="n">
        <v>46308.7264460648</v>
      </c>
    </row>
    <row r="1061" customFormat="false" ht="15" hidden="false" customHeight="false" outlineLevel="0" collapsed="false">
      <c r="A1061" s="13" t="s">
        <v>3102</v>
      </c>
      <c r="B1061" s="13" t="s">
        <v>60</v>
      </c>
      <c r="C1061" s="13" t="s">
        <v>3103</v>
      </c>
      <c r="D1061" s="13" t="s">
        <v>166</v>
      </c>
      <c r="E1061" s="13" t="s">
        <v>2967</v>
      </c>
      <c r="F1061" s="13"/>
      <c r="G1061" s="13" t="s">
        <v>207</v>
      </c>
      <c r="H1061" s="31" t="n">
        <v>45811</v>
      </c>
      <c r="I1061" s="33" t="n">
        <v>45810.6087900347</v>
      </c>
      <c r="J1061" s="33" t="n">
        <v>45810.4349611921</v>
      </c>
      <c r="K1061" s="13" t="s">
        <v>2974</v>
      </c>
      <c r="L1061" s="13" t="s">
        <v>280</v>
      </c>
      <c r="M1061" s="13" t="s">
        <v>3104</v>
      </c>
      <c r="N1061" s="33" t="n">
        <v>46308.7264460648</v>
      </c>
    </row>
    <row r="1062" customFormat="false" ht="15" hidden="false" customHeight="false" outlineLevel="0" collapsed="false">
      <c r="A1062" s="13" t="s">
        <v>3105</v>
      </c>
      <c r="B1062" s="13" t="s">
        <v>60</v>
      </c>
      <c r="C1062" s="13" t="s">
        <v>3106</v>
      </c>
      <c r="D1062" s="13" t="s">
        <v>401</v>
      </c>
      <c r="E1062" s="13" t="s">
        <v>95</v>
      </c>
      <c r="F1062" s="13"/>
      <c r="G1062" s="13" t="s">
        <v>159</v>
      </c>
      <c r="H1062" s="31"/>
      <c r="I1062" s="33" t="n">
        <v>45800.6168190741</v>
      </c>
      <c r="J1062" s="33"/>
      <c r="K1062" s="13" t="s">
        <v>2974</v>
      </c>
      <c r="L1062" s="13" t="s">
        <v>280</v>
      </c>
      <c r="M1062" s="13" t="s">
        <v>3107</v>
      </c>
      <c r="N1062" s="33" t="n">
        <v>46308.7264460648</v>
      </c>
    </row>
    <row r="1063" customFormat="false" ht="15" hidden="false" customHeight="false" outlineLevel="0" collapsed="false">
      <c r="A1063" s="13" t="s">
        <v>3108</v>
      </c>
      <c r="B1063" s="13" t="s">
        <v>60</v>
      </c>
      <c r="C1063" s="13" t="s">
        <v>3109</v>
      </c>
      <c r="D1063" s="13" t="s">
        <v>401</v>
      </c>
      <c r="E1063" s="13" t="s">
        <v>699</v>
      </c>
      <c r="F1063" s="13"/>
      <c r="G1063" s="13" t="s">
        <v>189</v>
      </c>
      <c r="H1063" s="31"/>
      <c r="I1063" s="33" t="n">
        <v>45800.5896623148</v>
      </c>
      <c r="J1063" s="33"/>
      <c r="K1063" s="13" t="s">
        <v>2974</v>
      </c>
      <c r="L1063" s="13" t="s">
        <v>280</v>
      </c>
      <c r="M1063" s="13" t="s">
        <v>3110</v>
      </c>
      <c r="N1063" s="33" t="n">
        <v>46308.7264460648</v>
      </c>
    </row>
    <row r="1064" customFormat="false" ht="15" hidden="false" customHeight="false" outlineLevel="0" collapsed="false">
      <c r="A1064" s="13" t="s">
        <v>3111</v>
      </c>
      <c r="B1064" s="13" t="s">
        <v>60</v>
      </c>
      <c r="C1064" s="13" t="s">
        <v>3112</v>
      </c>
      <c r="D1064" s="13" t="s">
        <v>401</v>
      </c>
      <c r="E1064" s="13" t="s">
        <v>699</v>
      </c>
      <c r="F1064" s="13"/>
      <c r="G1064" s="13" t="s">
        <v>159</v>
      </c>
      <c r="H1064" s="31"/>
      <c r="I1064" s="33" t="n">
        <v>45800.5896543056</v>
      </c>
      <c r="J1064" s="33"/>
      <c r="K1064" s="13" t="s">
        <v>2974</v>
      </c>
      <c r="L1064" s="13" t="s">
        <v>280</v>
      </c>
      <c r="M1064" s="13" t="s">
        <v>3113</v>
      </c>
      <c r="N1064" s="33" t="n">
        <v>46308.7264460648</v>
      </c>
    </row>
    <row r="1065" customFormat="false" ht="15" hidden="false" customHeight="false" outlineLevel="0" collapsed="false">
      <c r="A1065" s="13" t="s">
        <v>3114</v>
      </c>
      <c r="B1065" s="13" t="s">
        <v>60</v>
      </c>
      <c r="C1065" s="13" t="s">
        <v>3115</v>
      </c>
      <c r="D1065" s="13" t="s">
        <v>401</v>
      </c>
      <c r="E1065" s="13" t="s">
        <v>699</v>
      </c>
      <c r="F1065" s="13"/>
      <c r="G1065" s="13" t="s">
        <v>159</v>
      </c>
      <c r="H1065" s="31"/>
      <c r="I1065" s="33" t="n">
        <v>45800.5896445602</v>
      </c>
      <c r="J1065" s="33"/>
      <c r="K1065" s="13" t="s">
        <v>2974</v>
      </c>
      <c r="L1065" s="13" t="s">
        <v>280</v>
      </c>
      <c r="M1065" s="13" t="s">
        <v>3116</v>
      </c>
      <c r="N1065" s="33" t="n">
        <v>46308.7264460648</v>
      </c>
    </row>
    <row r="1066" customFormat="false" ht="15" hidden="false" customHeight="false" outlineLevel="0" collapsed="false">
      <c r="A1066" s="13" t="s">
        <v>3117</v>
      </c>
      <c r="B1066" s="13" t="s">
        <v>60</v>
      </c>
      <c r="C1066" s="13" t="s">
        <v>3118</v>
      </c>
      <c r="D1066" s="13" t="s">
        <v>401</v>
      </c>
      <c r="E1066" s="13" t="s">
        <v>699</v>
      </c>
      <c r="F1066" s="13"/>
      <c r="G1066" s="13" t="s">
        <v>159</v>
      </c>
      <c r="H1066" s="31"/>
      <c r="I1066" s="33" t="n">
        <v>45800.5896376157</v>
      </c>
      <c r="J1066" s="33"/>
      <c r="K1066" s="13" t="s">
        <v>2974</v>
      </c>
      <c r="L1066" s="13" t="s">
        <v>280</v>
      </c>
      <c r="M1066" s="13" t="s">
        <v>3119</v>
      </c>
      <c r="N1066" s="33" t="n">
        <v>46308.7264460648</v>
      </c>
    </row>
    <row r="1067" customFormat="false" ht="15" hidden="false" customHeight="false" outlineLevel="0" collapsed="false">
      <c r="A1067" s="13" t="s">
        <v>3120</v>
      </c>
      <c r="B1067" s="13" t="s">
        <v>60</v>
      </c>
      <c r="C1067" s="13" t="s">
        <v>3121</v>
      </c>
      <c r="D1067" s="13" t="s">
        <v>401</v>
      </c>
      <c r="E1067" s="13" t="s">
        <v>699</v>
      </c>
      <c r="F1067" s="13"/>
      <c r="G1067" s="13" t="s">
        <v>159</v>
      </c>
      <c r="H1067" s="31"/>
      <c r="I1067" s="33" t="n">
        <v>45800.5896306366</v>
      </c>
      <c r="J1067" s="33"/>
      <c r="K1067" s="13" t="s">
        <v>2974</v>
      </c>
      <c r="L1067" s="13" t="s">
        <v>280</v>
      </c>
      <c r="M1067" s="13" t="s">
        <v>3122</v>
      </c>
      <c r="N1067" s="33" t="n">
        <v>46308.7264460648</v>
      </c>
    </row>
    <row r="1068" customFormat="false" ht="15" hidden="false" customHeight="false" outlineLevel="0" collapsed="false">
      <c r="A1068" s="13" t="s">
        <v>3123</v>
      </c>
      <c r="B1068" s="13" t="s">
        <v>60</v>
      </c>
      <c r="C1068" s="13" t="s">
        <v>3124</v>
      </c>
      <c r="D1068" s="13" t="s">
        <v>401</v>
      </c>
      <c r="E1068" s="13" t="s">
        <v>95</v>
      </c>
      <c r="F1068" s="13"/>
      <c r="G1068" s="13" t="s">
        <v>159</v>
      </c>
      <c r="H1068" s="31"/>
      <c r="I1068" s="33" t="n">
        <v>45800.5892076273</v>
      </c>
      <c r="J1068" s="33"/>
      <c r="K1068" s="13" t="s">
        <v>2974</v>
      </c>
      <c r="L1068" s="13" t="s">
        <v>280</v>
      </c>
      <c r="M1068" s="13" t="s">
        <v>3125</v>
      </c>
      <c r="N1068" s="33" t="n">
        <v>46308.7264460648</v>
      </c>
    </row>
    <row r="1069" customFormat="false" ht="15" hidden="false" customHeight="false" outlineLevel="0" collapsed="false">
      <c r="A1069" s="13" t="s">
        <v>3126</v>
      </c>
      <c r="B1069" s="13" t="s">
        <v>60</v>
      </c>
      <c r="C1069" s="13" t="s">
        <v>3127</v>
      </c>
      <c r="D1069" s="13" t="s">
        <v>166</v>
      </c>
      <c r="E1069" s="13" t="s">
        <v>699</v>
      </c>
      <c r="F1069" s="13"/>
      <c r="G1069" s="13" t="s">
        <v>207</v>
      </c>
      <c r="H1069" s="31" t="n">
        <v>45799</v>
      </c>
      <c r="I1069" s="33" t="n">
        <v>45799.3843296991</v>
      </c>
      <c r="J1069" s="33" t="n">
        <v>45799.3843296991</v>
      </c>
      <c r="K1069" s="13" t="s">
        <v>2974</v>
      </c>
      <c r="L1069" s="13" t="s">
        <v>280</v>
      </c>
      <c r="M1069" s="13" t="s">
        <v>3128</v>
      </c>
      <c r="N1069" s="33" t="n">
        <v>46308.7264460648</v>
      </c>
    </row>
    <row r="1070" customFormat="false" ht="15" hidden="false" customHeight="false" outlineLevel="0" collapsed="false">
      <c r="A1070" s="13" t="s">
        <v>3129</v>
      </c>
      <c r="B1070" s="13" t="s">
        <v>60</v>
      </c>
      <c r="C1070" s="13" t="s">
        <v>3130</v>
      </c>
      <c r="D1070" s="13" t="s">
        <v>166</v>
      </c>
      <c r="E1070" s="13" t="s">
        <v>3131</v>
      </c>
      <c r="F1070" s="13"/>
      <c r="G1070" s="13" t="s">
        <v>159</v>
      </c>
      <c r="H1070" s="31" t="n">
        <v>45797</v>
      </c>
      <c r="I1070" s="33" t="n">
        <v>45798.4803902662</v>
      </c>
      <c r="J1070" s="33" t="n">
        <v>45798.4803902662</v>
      </c>
      <c r="K1070" s="13" t="s">
        <v>2974</v>
      </c>
      <c r="L1070" s="13" t="s">
        <v>280</v>
      </c>
      <c r="M1070" s="13" t="s">
        <v>3132</v>
      </c>
      <c r="N1070" s="33" t="n">
        <v>46308.7264460648</v>
      </c>
    </row>
    <row r="1071" customFormat="false" ht="15" hidden="false" customHeight="false" outlineLevel="0" collapsed="false">
      <c r="A1071" s="13" t="s">
        <v>3133</v>
      </c>
      <c r="B1071" s="13" t="s">
        <v>60</v>
      </c>
      <c r="C1071" s="13" t="s">
        <v>3134</v>
      </c>
      <c r="D1071" s="13" t="s">
        <v>166</v>
      </c>
      <c r="E1071" s="13" t="s">
        <v>95</v>
      </c>
      <c r="F1071" s="13"/>
      <c r="G1071" s="13" t="s">
        <v>207</v>
      </c>
      <c r="H1071" s="31" t="n">
        <v>45797</v>
      </c>
      <c r="I1071" s="33" t="n">
        <v>45797.7057046181</v>
      </c>
      <c r="J1071" s="33" t="n">
        <v>45797.7057046181</v>
      </c>
      <c r="K1071" s="13" t="s">
        <v>2974</v>
      </c>
      <c r="L1071" s="13" t="s">
        <v>280</v>
      </c>
      <c r="M1071" s="13" t="s">
        <v>3135</v>
      </c>
      <c r="N1071" s="33" t="n">
        <v>46308.7264460648</v>
      </c>
    </row>
    <row r="1072" customFormat="false" ht="15" hidden="false" customHeight="false" outlineLevel="0" collapsed="false">
      <c r="A1072" s="13" t="s">
        <v>3136</v>
      </c>
      <c r="B1072" s="13" t="s">
        <v>60</v>
      </c>
      <c r="C1072" s="13" t="s">
        <v>3137</v>
      </c>
      <c r="D1072" s="13" t="s">
        <v>166</v>
      </c>
      <c r="E1072" s="13" t="s">
        <v>95</v>
      </c>
      <c r="F1072" s="13"/>
      <c r="G1072" s="13" t="s">
        <v>207</v>
      </c>
      <c r="H1072" s="31" t="n">
        <v>45797</v>
      </c>
      <c r="I1072" s="33" t="n">
        <v>45797.6609107292</v>
      </c>
      <c r="J1072" s="33" t="n">
        <v>45797.6609107292</v>
      </c>
      <c r="K1072" s="13" t="s">
        <v>2974</v>
      </c>
      <c r="L1072" s="13" t="s">
        <v>280</v>
      </c>
      <c r="M1072" s="13" t="s">
        <v>3138</v>
      </c>
      <c r="N1072" s="33" t="n">
        <v>46308.7264460648</v>
      </c>
    </row>
    <row r="1073" customFormat="false" ht="15" hidden="false" customHeight="false" outlineLevel="0" collapsed="false">
      <c r="A1073" s="13" t="s">
        <v>3139</v>
      </c>
      <c r="B1073" s="13" t="s">
        <v>60</v>
      </c>
      <c r="C1073" s="13" t="s">
        <v>3140</v>
      </c>
      <c r="D1073" s="13" t="s">
        <v>166</v>
      </c>
      <c r="E1073" s="13"/>
      <c r="F1073" s="13"/>
      <c r="G1073" s="13" t="s">
        <v>189</v>
      </c>
      <c r="H1073" s="31" t="n">
        <v>45796</v>
      </c>
      <c r="I1073" s="33" t="n">
        <v>45797.6061620718</v>
      </c>
      <c r="J1073" s="33" t="n">
        <v>45797.6061620718</v>
      </c>
      <c r="K1073" s="13" t="s">
        <v>2974</v>
      </c>
      <c r="L1073" s="13" t="s">
        <v>280</v>
      </c>
      <c r="M1073" s="13" t="s">
        <v>3141</v>
      </c>
      <c r="N1073" s="33" t="n">
        <v>46308.7264460648</v>
      </c>
    </row>
    <row r="1074" customFormat="false" ht="15" hidden="false" customHeight="false" outlineLevel="0" collapsed="false">
      <c r="A1074" s="13" t="s">
        <v>3142</v>
      </c>
      <c r="B1074" s="13" t="s">
        <v>60</v>
      </c>
      <c r="C1074" s="13" t="s">
        <v>3143</v>
      </c>
      <c r="D1074" s="13" t="s">
        <v>401</v>
      </c>
      <c r="E1074" s="13" t="s">
        <v>699</v>
      </c>
      <c r="F1074" s="13"/>
      <c r="G1074" s="13" t="s">
        <v>189</v>
      </c>
      <c r="H1074" s="31"/>
      <c r="I1074" s="33" t="n">
        <v>45796.7504087037</v>
      </c>
      <c r="J1074" s="33"/>
      <c r="K1074" s="13" t="s">
        <v>2974</v>
      </c>
      <c r="L1074" s="13" t="s">
        <v>280</v>
      </c>
      <c r="M1074" s="13" t="s">
        <v>3144</v>
      </c>
      <c r="N1074" s="33" t="n">
        <v>46308.7264460648</v>
      </c>
    </row>
    <row r="1075" customFormat="false" ht="15" hidden="false" customHeight="false" outlineLevel="0" collapsed="false">
      <c r="A1075" s="13" t="s">
        <v>3145</v>
      </c>
      <c r="B1075" s="13" t="s">
        <v>60</v>
      </c>
      <c r="C1075" s="13" t="s">
        <v>3146</v>
      </c>
      <c r="D1075" s="13" t="s">
        <v>401</v>
      </c>
      <c r="E1075" s="13" t="s">
        <v>699</v>
      </c>
      <c r="F1075" s="13"/>
      <c r="G1075" s="13" t="s">
        <v>189</v>
      </c>
      <c r="H1075" s="31"/>
      <c r="I1075" s="33" t="n">
        <v>45796.5782554861</v>
      </c>
      <c r="J1075" s="33"/>
      <c r="K1075" s="13" t="s">
        <v>2974</v>
      </c>
      <c r="L1075" s="13" t="s">
        <v>280</v>
      </c>
      <c r="M1075" s="13" t="s">
        <v>3147</v>
      </c>
      <c r="N1075" s="33" t="n">
        <v>46308.7264460648</v>
      </c>
    </row>
    <row r="1076" customFormat="false" ht="15" hidden="false" customHeight="false" outlineLevel="0" collapsed="false">
      <c r="A1076" s="13" t="s">
        <v>3148</v>
      </c>
      <c r="B1076" s="13" t="s">
        <v>60</v>
      </c>
      <c r="C1076" s="13" t="s">
        <v>3149</v>
      </c>
      <c r="D1076" s="13" t="s">
        <v>401</v>
      </c>
      <c r="E1076" s="13" t="s">
        <v>699</v>
      </c>
      <c r="F1076" s="13"/>
      <c r="G1076" s="13" t="s">
        <v>189</v>
      </c>
      <c r="H1076" s="31"/>
      <c r="I1076" s="33" t="n">
        <v>45796.5782427315</v>
      </c>
      <c r="J1076" s="33"/>
      <c r="K1076" s="13" t="s">
        <v>2974</v>
      </c>
      <c r="L1076" s="13" t="s">
        <v>280</v>
      </c>
      <c r="M1076" s="13" t="s">
        <v>3150</v>
      </c>
      <c r="N1076" s="33" t="n">
        <v>46308.7264460648</v>
      </c>
    </row>
    <row r="1077" customFormat="false" ht="15" hidden="false" customHeight="false" outlineLevel="0" collapsed="false">
      <c r="A1077" s="13" t="s">
        <v>3151</v>
      </c>
      <c r="B1077" s="13" t="s">
        <v>60</v>
      </c>
      <c r="C1077" s="13" t="s">
        <v>3152</v>
      </c>
      <c r="D1077" s="13" t="s">
        <v>401</v>
      </c>
      <c r="E1077" s="13" t="s">
        <v>699</v>
      </c>
      <c r="F1077" s="13"/>
      <c r="G1077" s="13" t="s">
        <v>189</v>
      </c>
      <c r="H1077" s="31"/>
      <c r="I1077" s="33" t="n">
        <v>45796.5782233565</v>
      </c>
      <c r="J1077" s="33"/>
      <c r="K1077" s="13" t="s">
        <v>2974</v>
      </c>
      <c r="L1077" s="13" t="s">
        <v>280</v>
      </c>
      <c r="M1077" s="13" t="s">
        <v>3153</v>
      </c>
      <c r="N1077" s="33" t="n">
        <v>46308.7264460648</v>
      </c>
    </row>
    <row r="1078" customFormat="false" ht="15" hidden="false" customHeight="false" outlineLevel="0" collapsed="false">
      <c r="A1078" s="13" t="s">
        <v>3154</v>
      </c>
      <c r="B1078" s="13" t="s">
        <v>60</v>
      </c>
      <c r="C1078" s="13" t="s">
        <v>3155</v>
      </c>
      <c r="D1078" s="13" t="s">
        <v>401</v>
      </c>
      <c r="E1078" s="13" t="s">
        <v>699</v>
      </c>
      <c r="F1078" s="13"/>
      <c r="G1078" s="13" t="s">
        <v>189</v>
      </c>
      <c r="H1078" s="31"/>
      <c r="I1078" s="33" t="n">
        <v>45796.5782120023</v>
      </c>
      <c r="J1078" s="33"/>
      <c r="K1078" s="13" t="s">
        <v>2974</v>
      </c>
      <c r="L1078" s="13" t="s">
        <v>280</v>
      </c>
      <c r="M1078" s="13" t="s">
        <v>3156</v>
      </c>
      <c r="N1078" s="33" t="n">
        <v>46308.7264460648</v>
      </c>
    </row>
    <row r="1079" customFormat="false" ht="15" hidden="false" customHeight="false" outlineLevel="0" collapsed="false">
      <c r="A1079" s="13" t="s">
        <v>3157</v>
      </c>
      <c r="B1079" s="13" t="s">
        <v>60</v>
      </c>
      <c r="C1079" s="13" t="s">
        <v>3158</v>
      </c>
      <c r="D1079" s="13" t="s">
        <v>401</v>
      </c>
      <c r="E1079" s="13" t="s">
        <v>699</v>
      </c>
      <c r="F1079" s="13"/>
      <c r="G1079" s="13" t="s">
        <v>189</v>
      </c>
      <c r="H1079" s="31"/>
      <c r="I1079" s="33" t="n">
        <v>45796.5781765509</v>
      </c>
      <c r="J1079" s="33"/>
      <c r="K1079" s="13" t="s">
        <v>2974</v>
      </c>
      <c r="L1079" s="13" t="s">
        <v>280</v>
      </c>
      <c r="M1079" s="13" t="s">
        <v>3159</v>
      </c>
      <c r="N1079" s="33" t="n">
        <v>46308.7264460648</v>
      </c>
    </row>
    <row r="1080" customFormat="false" ht="15" hidden="false" customHeight="false" outlineLevel="0" collapsed="false">
      <c r="A1080" s="13" t="s">
        <v>3160</v>
      </c>
      <c r="B1080" s="13" t="s">
        <v>60</v>
      </c>
      <c r="C1080" s="13" t="s">
        <v>3161</v>
      </c>
      <c r="D1080" s="13" t="s">
        <v>401</v>
      </c>
      <c r="E1080" s="13" t="s">
        <v>699</v>
      </c>
      <c r="F1080" s="13"/>
      <c r="G1080" s="13" t="s">
        <v>189</v>
      </c>
      <c r="H1080" s="31"/>
      <c r="I1080" s="33" t="n">
        <v>45796.5781599653</v>
      </c>
      <c r="J1080" s="33"/>
      <c r="K1080" s="13" t="s">
        <v>2974</v>
      </c>
      <c r="L1080" s="13" t="s">
        <v>280</v>
      </c>
      <c r="M1080" s="13" t="s">
        <v>3162</v>
      </c>
      <c r="N1080" s="33" t="n">
        <v>46308.7264460648</v>
      </c>
    </row>
    <row r="1081" customFormat="false" ht="15" hidden="false" customHeight="false" outlineLevel="0" collapsed="false">
      <c r="A1081" s="13" t="s">
        <v>3163</v>
      </c>
      <c r="B1081" s="13" t="s">
        <v>60</v>
      </c>
      <c r="C1081" s="13" t="s">
        <v>3164</v>
      </c>
      <c r="D1081" s="13" t="s">
        <v>401</v>
      </c>
      <c r="E1081" s="13" t="s">
        <v>699</v>
      </c>
      <c r="F1081" s="13"/>
      <c r="G1081" s="13" t="s">
        <v>189</v>
      </c>
      <c r="H1081" s="31"/>
      <c r="I1081" s="33" t="n">
        <v>45796.578147662</v>
      </c>
      <c r="J1081" s="33"/>
      <c r="K1081" s="13" t="s">
        <v>2974</v>
      </c>
      <c r="L1081" s="13" t="s">
        <v>280</v>
      </c>
      <c r="M1081" s="13" t="s">
        <v>3165</v>
      </c>
      <c r="N1081" s="33" t="n">
        <v>46308.7264460648</v>
      </c>
    </row>
    <row r="1082" customFormat="false" ht="15" hidden="false" customHeight="false" outlineLevel="0" collapsed="false">
      <c r="A1082" s="13" t="s">
        <v>3166</v>
      </c>
      <c r="B1082" s="13" t="s">
        <v>60</v>
      </c>
      <c r="C1082" s="13" t="s">
        <v>3167</v>
      </c>
      <c r="D1082" s="13" t="s">
        <v>401</v>
      </c>
      <c r="E1082" s="13" t="s">
        <v>699</v>
      </c>
      <c r="F1082" s="13"/>
      <c r="G1082" s="13" t="s">
        <v>189</v>
      </c>
      <c r="H1082" s="31"/>
      <c r="I1082" s="33" t="n">
        <v>45796.5781345486</v>
      </c>
      <c r="J1082" s="33"/>
      <c r="K1082" s="13" t="s">
        <v>2974</v>
      </c>
      <c r="L1082" s="13" t="s">
        <v>280</v>
      </c>
      <c r="M1082" s="13" t="s">
        <v>3168</v>
      </c>
      <c r="N1082" s="33" t="n">
        <v>46308.7264460648</v>
      </c>
    </row>
    <row r="1083" customFormat="false" ht="15" hidden="false" customHeight="false" outlineLevel="0" collapsed="false">
      <c r="A1083" s="13" t="s">
        <v>3169</v>
      </c>
      <c r="B1083" s="13" t="s">
        <v>60</v>
      </c>
      <c r="C1083" s="13" t="s">
        <v>3170</v>
      </c>
      <c r="D1083" s="13" t="s">
        <v>401</v>
      </c>
      <c r="E1083" s="13" t="s">
        <v>699</v>
      </c>
      <c r="F1083" s="13"/>
      <c r="G1083" s="13" t="s">
        <v>189</v>
      </c>
      <c r="H1083" s="31"/>
      <c r="I1083" s="33" t="n">
        <v>45796.5781207639</v>
      </c>
      <c r="J1083" s="33"/>
      <c r="K1083" s="13" t="s">
        <v>2974</v>
      </c>
      <c r="L1083" s="13" t="s">
        <v>280</v>
      </c>
      <c r="M1083" s="13" t="s">
        <v>3171</v>
      </c>
      <c r="N1083" s="33" t="n">
        <v>46308.7264460648</v>
      </c>
    </row>
    <row r="1084" customFormat="false" ht="15" hidden="false" customHeight="false" outlineLevel="0" collapsed="false">
      <c r="A1084" s="13" t="s">
        <v>3172</v>
      </c>
      <c r="B1084" s="13" t="s">
        <v>60</v>
      </c>
      <c r="C1084" s="13" t="s">
        <v>3173</v>
      </c>
      <c r="D1084" s="13" t="s">
        <v>401</v>
      </c>
      <c r="E1084" s="13" t="s">
        <v>699</v>
      </c>
      <c r="F1084" s="13"/>
      <c r="G1084" s="13" t="s">
        <v>189</v>
      </c>
      <c r="H1084" s="31"/>
      <c r="I1084" s="33" t="n">
        <v>45796.5781065741</v>
      </c>
      <c r="J1084" s="33"/>
      <c r="K1084" s="13" t="s">
        <v>2974</v>
      </c>
      <c r="L1084" s="13" t="s">
        <v>280</v>
      </c>
      <c r="M1084" s="13" t="s">
        <v>3174</v>
      </c>
      <c r="N1084" s="33" t="n">
        <v>46308.7264460648</v>
      </c>
    </row>
    <row r="1085" customFormat="false" ht="15" hidden="false" customHeight="false" outlineLevel="0" collapsed="false">
      <c r="A1085" s="13" t="s">
        <v>3175</v>
      </c>
      <c r="B1085" s="13" t="s">
        <v>60</v>
      </c>
      <c r="C1085" s="13" t="s">
        <v>3176</v>
      </c>
      <c r="D1085" s="13" t="s">
        <v>401</v>
      </c>
      <c r="E1085" s="13" t="s">
        <v>699</v>
      </c>
      <c r="F1085" s="13"/>
      <c r="G1085" s="13" t="s">
        <v>189</v>
      </c>
      <c r="H1085" s="31"/>
      <c r="I1085" s="33" t="n">
        <v>45796.5779682407</v>
      </c>
      <c r="J1085" s="33"/>
      <c r="K1085" s="13" t="s">
        <v>2974</v>
      </c>
      <c r="L1085" s="13" t="s">
        <v>280</v>
      </c>
      <c r="M1085" s="13" t="s">
        <v>3177</v>
      </c>
      <c r="N1085" s="33" t="n">
        <v>46308.7264460648</v>
      </c>
    </row>
    <row r="1086" customFormat="false" ht="15" hidden="false" customHeight="false" outlineLevel="0" collapsed="false">
      <c r="A1086" s="13" t="s">
        <v>3178</v>
      </c>
      <c r="B1086" s="13" t="s">
        <v>60</v>
      </c>
      <c r="C1086" s="13" t="s">
        <v>3179</v>
      </c>
      <c r="D1086" s="13" t="s">
        <v>401</v>
      </c>
      <c r="E1086" s="13" t="s">
        <v>699</v>
      </c>
      <c r="F1086" s="13"/>
      <c r="G1086" s="13" t="s">
        <v>189</v>
      </c>
      <c r="H1086" s="31"/>
      <c r="I1086" s="33" t="n">
        <v>45796.5779565625</v>
      </c>
      <c r="J1086" s="33"/>
      <c r="K1086" s="13" t="s">
        <v>2974</v>
      </c>
      <c r="L1086" s="13" t="s">
        <v>280</v>
      </c>
      <c r="M1086" s="13" t="s">
        <v>3180</v>
      </c>
      <c r="N1086" s="33" t="n">
        <v>46308.7264460648</v>
      </c>
    </row>
    <row r="1087" customFormat="false" ht="15" hidden="false" customHeight="false" outlineLevel="0" collapsed="false">
      <c r="A1087" s="13" t="s">
        <v>3181</v>
      </c>
      <c r="B1087" s="13" t="s">
        <v>60</v>
      </c>
      <c r="C1087" s="13" t="s">
        <v>3182</v>
      </c>
      <c r="D1087" s="13" t="s">
        <v>401</v>
      </c>
      <c r="E1087" s="13" t="s">
        <v>699</v>
      </c>
      <c r="F1087" s="13"/>
      <c r="G1087" s="13" t="s">
        <v>189</v>
      </c>
      <c r="H1087" s="31"/>
      <c r="I1087" s="33" t="n">
        <v>45796.5779452778</v>
      </c>
      <c r="J1087" s="33"/>
      <c r="K1087" s="13" t="s">
        <v>2974</v>
      </c>
      <c r="L1087" s="13" t="s">
        <v>280</v>
      </c>
      <c r="M1087" s="13" t="s">
        <v>3183</v>
      </c>
      <c r="N1087" s="33" t="n">
        <v>46308.7264460648</v>
      </c>
    </row>
    <row r="1088" customFormat="false" ht="15" hidden="false" customHeight="false" outlineLevel="0" collapsed="false">
      <c r="A1088" s="13" t="s">
        <v>3184</v>
      </c>
      <c r="B1088" s="13" t="s">
        <v>60</v>
      </c>
      <c r="C1088" s="13" t="s">
        <v>3185</v>
      </c>
      <c r="D1088" s="13" t="s">
        <v>401</v>
      </c>
      <c r="E1088" s="13" t="s">
        <v>699</v>
      </c>
      <c r="F1088" s="13"/>
      <c r="G1088" s="13" t="s">
        <v>189</v>
      </c>
      <c r="H1088" s="31"/>
      <c r="I1088" s="33" t="n">
        <v>45796.5779251968</v>
      </c>
      <c r="J1088" s="33"/>
      <c r="K1088" s="13" t="s">
        <v>2974</v>
      </c>
      <c r="L1088" s="13" t="s">
        <v>280</v>
      </c>
      <c r="M1088" s="13" t="s">
        <v>3186</v>
      </c>
      <c r="N1088" s="33" t="n">
        <v>46308.7264460648</v>
      </c>
    </row>
    <row r="1089" customFormat="false" ht="15" hidden="false" customHeight="false" outlineLevel="0" collapsed="false">
      <c r="A1089" s="13" t="s">
        <v>3187</v>
      </c>
      <c r="B1089" s="13" t="s">
        <v>60</v>
      </c>
      <c r="C1089" s="13" t="s">
        <v>3188</v>
      </c>
      <c r="D1089" s="13" t="s">
        <v>401</v>
      </c>
      <c r="E1089" s="13" t="s">
        <v>699</v>
      </c>
      <c r="F1089" s="13"/>
      <c r="G1089" s="13" t="s">
        <v>189</v>
      </c>
      <c r="H1089" s="31"/>
      <c r="I1089" s="33" t="n">
        <v>45796.5779008681</v>
      </c>
      <c r="J1089" s="33"/>
      <c r="K1089" s="13" t="s">
        <v>2974</v>
      </c>
      <c r="L1089" s="13" t="s">
        <v>280</v>
      </c>
      <c r="M1089" s="13" t="s">
        <v>3189</v>
      </c>
      <c r="N1089" s="33" t="n">
        <v>46308.7264460648</v>
      </c>
    </row>
    <row r="1090" customFormat="false" ht="15" hidden="false" customHeight="false" outlineLevel="0" collapsed="false">
      <c r="A1090" s="13" t="s">
        <v>3190</v>
      </c>
      <c r="B1090" s="13" t="s">
        <v>60</v>
      </c>
      <c r="C1090" s="13" t="s">
        <v>3191</v>
      </c>
      <c r="D1090" s="13" t="s">
        <v>401</v>
      </c>
      <c r="E1090" s="13" t="s">
        <v>699</v>
      </c>
      <c r="F1090" s="13"/>
      <c r="G1090" s="13" t="s">
        <v>189</v>
      </c>
      <c r="H1090" s="31"/>
      <c r="I1090" s="33" t="n">
        <v>45796.5778886458</v>
      </c>
      <c r="J1090" s="33"/>
      <c r="K1090" s="13" t="s">
        <v>2974</v>
      </c>
      <c r="L1090" s="13" t="s">
        <v>280</v>
      </c>
      <c r="M1090" s="13" t="s">
        <v>3192</v>
      </c>
      <c r="N1090" s="33" t="n">
        <v>46308.7264460648</v>
      </c>
    </row>
  </sheetData>
  <autoFilter ref="A1:N10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5" min="4" style="0" width="20"/>
  </cols>
  <sheetData>
    <row r="1" customFormat="false" ht="31.5" hidden="false" customHeight="true" outlineLevel="0" collapsed="false">
      <c r="A1" s="14" t="s">
        <v>3193</v>
      </c>
      <c r="B1" s="14" t="s">
        <v>3194</v>
      </c>
      <c r="C1" s="14" t="s">
        <v>52</v>
      </c>
      <c r="D1" s="14" t="s">
        <v>3195</v>
      </c>
      <c r="E1" s="14" t="s">
        <v>3196</v>
      </c>
    </row>
    <row r="2" customFormat="false" ht="15" hidden="false" customHeight="false" outlineLevel="0" collapsed="false">
      <c r="A2" s="35" t="n">
        <v>46309.2916666667</v>
      </c>
      <c r="B2" s="15" t="s">
        <v>150</v>
      </c>
      <c r="C2" s="15" t="s">
        <v>57</v>
      </c>
      <c r="D2" s="15" t="s">
        <v>152</v>
      </c>
      <c r="E2" s="15" t="s">
        <v>278</v>
      </c>
    </row>
    <row r="3" customFormat="false" ht="15" hidden="false" customHeight="false" outlineLevel="0" collapsed="false">
      <c r="A3" s="18"/>
      <c r="B3" s="18"/>
      <c r="C3" s="18"/>
      <c r="D3" s="18"/>
      <c r="E3" s="18"/>
    </row>
    <row r="4" customFormat="false" ht="15" hidden="false" customHeight="false" outlineLevel="0" collapsed="false">
      <c r="A4" s="18"/>
      <c r="B4" s="18"/>
      <c r="C4" s="18"/>
      <c r="D4" s="18"/>
      <c r="E4" s="18"/>
    </row>
    <row r="5" customFormat="false" ht="15" hidden="false" customHeight="false" outlineLevel="0" collapsed="false">
      <c r="A5" s="18"/>
      <c r="B5" s="18"/>
      <c r="C5" s="18"/>
      <c r="D5" s="18"/>
      <c r="E5" s="18"/>
    </row>
    <row r="6" customFormat="false" ht="15" hidden="false" customHeight="false" outlineLevel="0" collapsed="false">
      <c r="A6" s="18"/>
      <c r="B6" s="18"/>
      <c r="C6" s="18"/>
      <c r="D6" s="18"/>
      <c r="E6" s="18"/>
    </row>
    <row r="7" customFormat="false" ht="15" hidden="false" customHeight="false" outlineLevel="0" collapsed="false">
      <c r="A7" s="18"/>
      <c r="B7" s="18"/>
      <c r="C7" s="18"/>
      <c r="D7" s="18"/>
      <c r="E7" s="18"/>
    </row>
    <row r="8" customFormat="false" ht="15" hidden="false" customHeight="false" outlineLevel="0" collapsed="false">
      <c r="A8" s="18"/>
      <c r="B8" s="18"/>
      <c r="C8" s="18"/>
      <c r="D8" s="18"/>
      <c r="E8" s="18"/>
    </row>
    <row r="9" customFormat="false" ht="15" hidden="false" customHeight="false" outlineLevel="0" collapsed="false">
      <c r="A9" s="18"/>
      <c r="B9" s="18"/>
      <c r="C9" s="18"/>
      <c r="D9" s="18"/>
      <c r="E9" s="18"/>
    </row>
    <row r="10" customFormat="false" ht="15" hidden="false" customHeight="false" outlineLevel="0" collapsed="false">
      <c r="A10" s="18"/>
      <c r="B10" s="18"/>
      <c r="C10" s="18"/>
      <c r="D10" s="18"/>
      <c r="E10" s="18"/>
    </row>
    <row r="11" customFormat="false" ht="15" hidden="false" customHeight="false" outlineLevel="0" collapsed="false">
      <c r="A11" s="18"/>
      <c r="B11" s="18"/>
      <c r="C11" s="18"/>
      <c r="D11" s="18"/>
      <c r="E11" s="18"/>
    </row>
    <row r="12" customFormat="false" ht="15" hidden="false" customHeight="false" outlineLevel="0" collapsed="false">
      <c r="A12" s="18"/>
      <c r="B12" s="18"/>
      <c r="C12" s="18"/>
      <c r="D12" s="18"/>
      <c r="E12" s="18"/>
    </row>
    <row r="13" customFormat="false" ht="15" hidden="false" customHeight="false" outlineLevel="0" collapsed="false">
      <c r="A13" s="18"/>
      <c r="B13" s="18"/>
      <c r="C13" s="18"/>
      <c r="D13" s="18"/>
      <c r="E13" s="18"/>
    </row>
    <row r="14" customFormat="false" ht="15" hidden="false" customHeight="false" outlineLevel="0" collapsed="false">
      <c r="A14" s="18"/>
      <c r="B14" s="18"/>
      <c r="C14" s="18"/>
      <c r="D14" s="18"/>
      <c r="E14" s="18"/>
    </row>
    <row r="15" customFormat="false" ht="15" hidden="false" customHeight="false" outlineLevel="0" collapsed="false">
      <c r="A15" s="18"/>
      <c r="B15" s="18"/>
      <c r="C15" s="18"/>
      <c r="D15" s="18"/>
      <c r="E15" s="18"/>
    </row>
    <row r="16" customFormat="false" ht="15" hidden="false" customHeight="false" outlineLevel="0" collapsed="false">
      <c r="A16" s="18"/>
      <c r="B16" s="18"/>
      <c r="C16" s="18"/>
      <c r="D16" s="18"/>
      <c r="E16" s="18"/>
    </row>
    <row r="17" customFormat="false" ht="15" hidden="false" customHeight="false" outlineLevel="0" collapsed="false">
      <c r="A17" s="18"/>
      <c r="B17" s="18"/>
      <c r="C17" s="18"/>
      <c r="D17" s="18"/>
      <c r="E17" s="18"/>
    </row>
    <row r="18" customFormat="false" ht="15" hidden="false" customHeight="false" outlineLevel="0" collapsed="false">
      <c r="A18" s="18"/>
      <c r="B18" s="18"/>
      <c r="C18" s="18"/>
      <c r="D18" s="18"/>
      <c r="E18" s="18"/>
    </row>
    <row r="19" customFormat="false" ht="15" hidden="false" customHeight="false" outlineLevel="0" collapsed="false">
      <c r="A19" s="18"/>
      <c r="B19" s="18"/>
      <c r="C19" s="18"/>
      <c r="D19" s="18"/>
      <c r="E19" s="18"/>
    </row>
    <row r="20" customFormat="false" ht="15" hidden="false" customHeight="false" outlineLevel="0" collapsed="false">
      <c r="A20" s="18"/>
      <c r="B20" s="18"/>
      <c r="C20" s="18"/>
      <c r="D20" s="18"/>
      <c r="E20" s="18"/>
    </row>
    <row r="21" customFormat="false" ht="15" hidden="false" customHeight="false" outlineLevel="0" collapsed="false">
      <c r="A21" s="18"/>
      <c r="B21" s="18"/>
      <c r="C21" s="18"/>
      <c r="D21" s="18"/>
      <c r="E21" s="18"/>
    </row>
    <row r="22" customFormat="false" ht="15" hidden="false" customHeight="false" outlineLevel="0" collapsed="false">
      <c r="A22" s="18"/>
      <c r="B22" s="18"/>
      <c r="C22" s="18"/>
      <c r="D22" s="18"/>
      <c r="E22" s="18"/>
    </row>
    <row r="23" customFormat="false" ht="15" hidden="false" customHeight="false" outlineLevel="0" collapsed="false">
      <c r="A23" s="18"/>
      <c r="B23" s="18"/>
      <c r="C23" s="18"/>
      <c r="D23" s="18"/>
      <c r="E23" s="18"/>
    </row>
    <row r="24" customFormat="false" ht="15" hidden="false" customHeight="false" outlineLevel="0" collapsed="false">
      <c r="A24" s="18"/>
      <c r="B24" s="18"/>
      <c r="C24" s="18"/>
      <c r="D24" s="18"/>
      <c r="E24" s="18"/>
    </row>
    <row r="25" customFormat="false" ht="15" hidden="false" customHeight="false" outlineLevel="0" collapsed="false">
      <c r="A25" s="18"/>
      <c r="B25" s="18"/>
      <c r="C25" s="18"/>
      <c r="D25" s="18"/>
      <c r="E25" s="18"/>
    </row>
    <row r="26" customFormat="false" ht="15" hidden="false" customHeight="false" outlineLevel="0" collapsed="false">
      <c r="A26" s="18"/>
      <c r="B26" s="18"/>
      <c r="C26" s="18"/>
      <c r="D26" s="18"/>
      <c r="E26" s="18"/>
    </row>
    <row r="27" customFormat="false" ht="15" hidden="false" customHeight="false" outlineLevel="0" collapsed="false">
      <c r="A27" s="18"/>
      <c r="B27" s="18"/>
      <c r="C27" s="18"/>
      <c r="D27" s="18"/>
      <c r="E27" s="18"/>
    </row>
    <row r="28" customFormat="false" ht="15" hidden="false" customHeight="false" outlineLevel="0" collapsed="false">
      <c r="A28" s="18"/>
      <c r="B28" s="18"/>
      <c r="C28" s="18"/>
      <c r="D28" s="18"/>
      <c r="E28" s="18"/>
    </row>
    <row r="29" customFormat="false" ht="15" hidden="false" customHeight="false" outlineLevel="0" collapsed="false">
      <c r="A29" s="18"/>
      <c r="B29" s="18"/>
      <c r="C29" s="18"/>
      <c r="D29" s="18"/>
      <c r="E29" s="18"/>
    </row>
    <row r="30" customFormat="false" ht="15" hidden="false" customHeight="false" outlineLevel="0" collapsed="false">
      <c r="A30" s="18"/>
      <c r="B30" s="18"/>
      <c r="C30" s="18"/>
      <c r="D30" s="18"/>
      <c r="E30" s="18"/>
    </row>
    <row r="31" customFormat="false" ht="15" hidden="false" customHeight="false" outlineLevel="0" collapsed="false">
      <c r="A31" s="18"/>
      <c r="B31" s="18"/>
      <c r="C31" s="18"/>
      <c r="D31" s="18"/>
      <c r="E31" s="18"/>
    </row>
    <row r="32" customFormat="false" ht="15" hidden="false" customHeight="false" outlineLevel="0" collapsed="false">
      <c r="A32" s="18"/>
      <c r="B32" s="18"/>
      <c r="C32" s="18"/>
      <c r="D32" s="18"/>
      <c r="E32" s="18"/>
    </row>
    <row r="33" customFormat="false" ht="15" hidden="false" customHeight="false" outlineLevel="0" collapsed="false">
      <c r="A33" s="18"/>
      <c r="B33" s="18"/>
      <c r="C33" s="18"/>
      <c r="D33" s="18"/>
      <c r="E33" s="18"/>
    </row>
    <row r="34" customFormat="false" ht="15" hidden="false" customHeight="false" outlineLevel="0" collapsed="false">
      <c r="A34" s="18"/>
      <c r="B34" s="18"/>
      <c r="C34" s="18"/>
      <c r="D34" s="18"/>
      <c r="E34" s="18"/>
    </row>
    <row r="35" customFormat="false" ht="15" hidden="false" customHeight="false" outlineLevel="0" collapsed="false">
      <c r="A35" s="18"/>
      <c r="B35" s="18"/>
      <c r="C35" s="18"/>
      <c r="D35" s="18"/>
      <c r="E35" s="18"/>
    </row>
    <row r="36" customFormat="false" ht="15" hidden="false" customHeight="false" outlineLevel="0" collapsed="false">
      <c r="A36" s="18"/>
      <c r="B36" s="18"/>
      <c r="C36" s="18"/>
      <c r="D36" s="18"/>
      <c r="E36" s="18"/>
    </row>
    <row r="37" customFormat="false" ht="15" hidden="false" customHeight="false" outlineLevel="0" collapsed="false">
      <c r="A37" s="18"/>
      <c r="B37" s="18"/>
      <c r="C37" s="18"/>
      <c r="D37" s="18"/>
      <c r="E37" s="18"/>
    </row>
    <row r="38" customFormat="false" ht="15" hidden="false" customHeight="false" outlineLevel="0" collapsed="false">
      <c r="A38" s="18"/>
      <c r="B38" s="18"/>
      <c r="C38" s="18"/>
      <c r="D38" s="18"/>
      <c r="E38" s="18"/>
    </row>
    <row r="39" customFormat="false" ht="15" hidden="false" customHeight="false" outlineLevel="0" collapsed="false">
      <c r="A39" s="18"/>
      <c r="B39" s="18"/>
      <c r="C39" s="18"/>
      <c r="D39" s="18"/>
      <c r="E39" s="18"/>
    </row>
    <row r="40" customFormat="false" ht="15" hidden="false" customHeight="false" outlineLevel="0" collapsed="false">
      <c r="A40" s="18"/>
      <c r="B40" s="18"/>
      <c r="C40" s="18"/>
      <c r="D40" s="18"/>
      <c r="E40" s="18"/>
    </row>
    <row r="41" customFormat="false" ht="15" hidden="false" customHeight="false" outlineLevel="0" collapsed="false">
      <c r="A41" s="18"/>
      <c r="B41" s="18"/>
      <c r="C41" s="18"/>
      <c r="D41" s="18"/>
      <c r="E41" s="18"/>
    </row>
    <row r="42" customFormat="false" ht="15" hidden="false" customHeight="false" outlineLevel="0" collapsed="false">
      <c r="A42" s="18"/>
      <c r="B42" s="18"/>
      <c r="C42" s="18"/>
      <c r="D42" s="18"/>
      <c r="E42" s="18"/>
    </row>
    <row r="43" customFormat="false" ht="15" hidden="false" customHeight="false" outlineLevel="0" collapsed="false">
      <c r="A43" s="18"/>
      <c r="B43" s="18"/>
      <c r="C43" s="18"/>
      <c r="D43" s="18"/>
      <c r="E43" s="18"/>
    </row>
    <row r="44" customFormat="false" ht="15" hidden="false" customHeight="false" outlineLevel="0" collapsed="false">
      <c r="A44" s="18"/>
      <c r="B44" s="18"/>
      <c r="C44" s="18"/>
      <c r="D44" s="18"/>
      <c r="E44" s="18"/>
    </row>
    <row r="45" customFormat="false" ht="15" hidden="false" customHeight="false" outlineLevel="0" collapsed="false">
      <c r="A45" s="18"/>
      <c r="B45" s="18"/>
      <c r="C45" s="18"/>
      <c r="D45" s="18"/>
      <c r="E45" s="18"/>
    </row>
    <row r="46" customFormat="false" ht="15" hidden="false" customHeight="false" outlineLevel="0" collapsed="false">
      <c r="A46" s="18"/>
      <c r="B46" s="18"/>
      <c r="C46" s="18"/>
      <c r="D46" s="18"/>
      <c r="E46" s="18"/>
    </row>
    <row r="47" customFormat="false" ht="15" hidden="false" customHeight="false" outlineLevel="0" collapsed="false">
      <c r="A47" s="18"/>
      <c r="B47" s="18"/>
      <c r="C47" s="18"/>
      <c r="D47" s="18"/>
      <c r="E47" s="18"/>
    </row>
    <row r="48" customFormat="false" ht="15" hidden="false" customHeight="false" outlineLevel="0" collapsed="false">
      <c r="A48" s="18"/>
      <c r="B48" s="18"/>
      <c r="C48" s="18"/>
      <c r="D48" s="18"/>
      <c r="E48" s="18"/>
    </row>
    <row r="49" customFormat="false" ht="15" hidden="false" customHeight="false" outlineLevel="0" collapsed="false">
      <c r="A49" s="18"/>
      <c r="B49" s="18"/>
      <c r="C49" s="18"/>
      <c r="D49" s="18"/>
      <c r="E49" s="18"/>
    </row>
    <row r="50" customFormat="false" ht="15" hidden="false" customHeight="false" outlineLevel="0" collapsed="false">
      <c r="A50" s="18"/>
      <c r="B50" s="18"/>
      <c r="C50" s="18"/>
      <c r="D50" s="18"/>
      <c r="E50" s="18"/>
    </row>
    <row r="51" customFormat="false" ht="15" hidden="false" customHeight="false" outlineLevel="0" collapsed="false">
      <c r="A51" s="18"/>
      <c r="B51" s="18"/>
      <c r="C51" s="18"/>
      <c r="D51" s="18"/>
      <c r="E51" s="18"/>
    </row>
    <row r="52" customFormat="false" ht="15" hidden="false" customHeight="false" outlineLevel="0" collapsed="false">
      <c r="A52" s="18"/>
      <c r="B52" s="18"/>
      <c r="C52" s="18"/>
      <c r="D52" s="18"/>
      <c r="E52" s="18"/>
    </row>
    <row r="53" customFormat="false" ht="15" hidden="false" customHeight="false" outlineLevel="0" collapsed="false">
      <c r="A53" s="18"/>
      <c r="B53" s="18"/>
      <c r="C53" s="18"/>
      <c r="D53" s="18"/>
      <c r="E53" s="18"/>
    </row>
    <row r="54" customFormat="false" ht="15" hidden="false" customHeight="false" outlineLevel="0" collapsed="false">
      <c r="A54" s="18"/>
      <c r="B54" s="18"/>
      <c r="C54" s="18"/>
      <c r="D54" s="18"/>
      <c r="E54" s="18"/>
    </row>
    <row r="55" customFormat="false" ht="15" hidden="false" customHeight="false" outlineLevel="0" collapsed="false">
      <c r="A55" s="18"/>
      <c r="B55" s="18"/>
      <c r="C55" s="18"/>
      <c r="D55" s="18"/>
      <c r="E55" s="18"/>
    </row>
    <row r="56" customFormat="false" ht="15" hidden="false" customHeight="false" outlineLevel="0" collapsed="false">
      <c r="A56" s="18"/>
      <c r="B56" s="18"/>
      <c r="C56" s="18"/>
      <c r="D56" s="18"/>
      <c r="E56" s="18"/>
    </row>
    <row r="57" customFormat="false" ht="15" hidden="false" customHeight="false" outlineLevel="0" collapsed="false">
      <c r="A57" s="18"/>
      <c r="B57" s="18"/>
      <c r="C57" s="18"/>
      <c r="D57" s="18"/>
      <c r="E57" s="18"/>
    </row>
    <row r="58" customFormat="false" ht="15" hidden="false" customHeight="false" outlineLevel="0" collapsed="false">
      <c r="A58" s="18"/>
      <c r="B58" s="18"/>
      <c r="C58" s="18"/>
      <c r="D58" s="18"/>
      <c r="E58" s="18"/>
    </row>
    <row r="59" customFormat="false" ht="15" hidden="false" customHeight="false" outlineLevel="0" collapsed="false">
      <c r="A59" s="18"/>
      <c r="B59" s="18"/>
      <c r="C59" s="18"/>
      <c r="D59" s="18"/>
      <c r="E59" s="18"/>
    </row>
    <row r="60" customFormat="false" ht="15" hidden="false" customHeight="false" outlineLevel="0" collapsed="false">
      <c r="A60" s="18"/>
      <c r="B60" s="18"/>
      <c r="C60" s="18"/>
      <c r="D60" s="18"/>
      <c r="E60" s="18"/>
    </row>
    <row r="61" customFormat="false" ht="15" hidden="false" customHeight="false" outlineLevel="0" collapsed="false">
      <c r="A61" s="18"/>
      <c r="B61" s="18"/>
      <c r="C61" s="18"/>
      <c r="D61" s="18"/>
      <c r="E61" s="18"/>
    </row>
    <row r="62" customFormat="false" ht="15" hidden="false" customHeight="false" outlineLevel="0" collapsed="false">
      <c r="A62" s="18"/>
      <c r="B62" s="18"/>
      <c r="C62" s="18"/>
      <c r="D62" s="18"/>
      <c r="E62" s="18"/>
    </row>
    <row r="63" customFormat="false" ht="15" hidden="false" customHeight="false" outlineLevel="0" collapsed="false">
      <c r="A63" s="18"/>
      <c r="B63" s="18"/>
      <c r="C63" s="18"/>
      <c r="D63" s="18"/>
      <c r="E63" s="18"/>
    </row>
    <row r="64" customFormat="false" ht="15" hidden="false" customHeight="false" outlineLevel="0" collapsed="false">
      <c r="A64" s="18"/>
      <c r="B64" s="18"/>
      <c r="C64" s="18"/>
      <c r="D64" s="18"/>
      <c r="E64" s="18"/>
    </row>
    <row r="65" customFormat="false" ht="15" hidden="false" customHeight="false" outlineLevel="0" collapsed="false">
      <c r="A65" s="18"/>
      <c r="B65" s="18"/>
      <c r="C65" s="18"/>
      <c r="D65" s="18"/>
      <c r="E65" s="18"/>
    </row>
    <row r="66" customFormat="false" ht="15" hidden="false" customHeight="false" outlineLevel="0" collapsed="false">
      <c r="A66" s="18"/>
      <c r="B66" s="18"/>
      <c r="C66" s="18"/>
      <c r="D66" s="18"/>
      <c r="E66" s="18"/>
    </row>
    <row r="67" customFormat="false" ht="15" hidden="false" customHeight="false" outlineLevel="0" collapsed="false">
      <c r="A67" s="18"/>
      <c r="B67" s="18"/>
      <c r="C67" s="18"/>
      <c r="D67" s="18"/>
      <c r="E67" s="18"/>
    </row>
    <row r="68" customFormat="false" ht="15" hidden="false" customHeight="false" outlineLevel="0" collapsed="false">
      <c r="A68" s="18"/>
      <c r="B68" s="18"/>
      <c r="C68" s="18"/>
      <c r="D68" s="18"/>
      <c r="E68" s="18"/>
    </row>
    <row r="69" customFormat="false" ht="15" hidden="false" customHeight="false" outlineLevel="0" collapsed="false">
      <c r="A69" s="18"/>
      <c r="B69" s="18"/>
      <c r="C69" s="18"/>
      <c r="D69" s="18"/>
      <c r="E69" s="18"/>
    </row>
    <row r="70" customFormat="false" ht="15" hidden="false" customHeight="false" outlineLevel="0" collapsed="false">
      <c r="A70" s="18"/>
      <c r="B70" s="18"/>
      <c r="C70" s="18"/>
      <c r="D70" s="18"/>
      <c r="E70" s="18"/>
    </row>
    <row r="71" customFormat="false" ht="15" hidden="false" customHeight="false" outlineLevel="0" collapsed="false">
      <c r="A71" s="18"/>
      <c r="B71" s="18"/>
      <c r="C71" s="18"/>
      <c r="D71" s="18"/>
      <c r="E71" s="18"/>
    </row>
    <row r="72" customFormat="false" ht="15" hidden="false" customHeight="false" outlineLevel="0" collapsed="false">
      <c r="A72" s="18"/>
      <c r="B72" s="18"/>
      <c r="C72" s="18"/>
      <c r="D72" s="18"/>
      <c r="E72" s="18"/>
    </row>
    <row r="73" customFormat="false" ht="15" hidden="false" customHeight="false" outlineLevel="0" collapsed="false">
      <c r="A73" s="18"/>
      <c r="B73" s="18"/>
      <c r="C73" s="18"/>
      <c r="D73" s="18"/>
      <c r="E73" s="18"/>
    </row>
    <row r="74" customFormat="false" ht="15" hidden="false" customHeight="false" outlineLevel="0" collapsed="false">
      <c r="A74" s="18"/>
      <c r="B74" s="18"/>
      <c r="C74" s="18"/>
      <c r="D74" s="18"/>
      <c r="E74" s="18"/>
    </row>
    <row r="75" customFormat="false" ht="15" hidden="false" customHeight="false" outlineLevel="0" collapsed="false">
      <c r="A75" s="18"/>
      <c r="B75" s="18"/>
      <c r="C75" s="18"/>
      <c r="D75" s="18"/>
      <c r="E75" s="18"/>
    </row>
    <row r="76" customFormat="false" ht="15" hidden="false" customHeight="false" outlineLevel="0" collapsed="false">
      <c r="A76" s="18"/>
      <c r="B76" s="18"/>
      <c r="C76" s="18"/>
      <c r="D76" s="18"/>
      <c r="E76" s="18"/>
    </row>
    <row r="77" customFormat="false" ht="15" hidden="false" customHeight="false" outlineLevel="0" collapsed="false">
      <c r="A77" s="18"/>
      <c r="B77" s="18"/>
      <c r="C77" s="18"/>
      <c r="D77" s="18"/>
      <c r="E77" s="18"/>
    </row>
    <row r="78" customFormat="false" ht="15" hidden="false" customHeight="false" outlineLevel="0" collapsed="false">
      <c r="A78" s="18"/>
      <c r="B78" s="18"/>
      <c r="C78" s="18"/>
      <c r="D78" s="18"/>
      <c r="E78" s="18"/>
    </row>
    <row r="79" customFormat="false" ht="15" hidden="false" customHeight="false" outlineLevel="0" collapsed="false">
      <c r="A79" s="18"/>
      <c r="B79" s="18"/>
      <c r="C79" s="18"/>
      <c r="D79" s="18"/>
      <c r="E79" s="18"/>
    </row>
    <row r="80" customFormat="false" ht="15" hidden="false" customHeight="false" outlineLevel="0" collapsed="false">
      <c r="A80" s="18"/>
      <c r="B80" s="18"/>
      <c r="C80" s="18"/>
      <c r="D80" s="18"/>
      <c r="E80" s="18"/>
    </row>
    <row r="81" customFormat="false" ht="15" hidden="false" customHeight="false" outlineLevel="0" collapsed="false">
      <c r="A81" s="18"/>
      <c r="B81" s="18"/>
      <c r="C81" s="18"/>
      <c r="D81" s="18"/>
      <c r="E81" s="18"/>
    </row>
    <row r="82" customFormat="false" ht="15" hidden="false" customHeight="false" outlineLevel="0" collapsed="false">
      <c r="A82" s="18"/>
      <c r="B82" s="18"/>
      <c r="C82" s="18"/>
      <c r="D82" s="18"/>
      <c r="E82" s="18"/>
    </row>
    <row r="83" customFormat="false" ht="15" hidden="false" customHeight="false" outlineLevel="0" collapsed="false">
      <c r="A83" s="18"/>
      <c r="B83" s="18"/>
      <c r="C83" s="18"/>
      <c r="D83" s="18"/>
      <c r="E83" s="18"/>
    </row>
    <row r="84" customFormat="false" ht="15" hidden="false" customHeight="false" outlineLevel="0" collapsed="false">
      <c r="A84" s="18"/>
      <c r="B84" s="18"/>
      <c r="C84" s="18"/>
      <c r="D84" s="18"/>
      <c r="E84" s="18"/>
    </row>
    <row r="85" customFormat="false" ht="15" hidden="false" customHeight="false" outlineLevel="0" collapsed="false">
      <c r="A85" s="18"/>
      <c r="B85" s="18"/>
      <c r="C85" s="18"/>
      <c r="D85" s="18"/>
      <c r="E85" s="18"/>
    </row>
    <row r="86" customFormat="false" ht="15" hidden="false" customHeight="false" outlineLevel="0" collapsed="false">
      <c r="A86" s="18"/>
      <c r="B86" s="18"/>
      <c r="C86" s="18"/>
      <c r="D86" s="18"/>
      <c r="E86" s="18"/>
    </row>
    <row r="87" customFormat="false" ht="15" hidden="false" customHeight="false" outlineLevel="0" collapsed="false">
      <c r="A87" s="18"/>
      <c r="B87" s="18"/>
      <c r="C87" s="18"/>
      <c r="D87" s="18"/>
      <c r="E87" s="18"/>
    </row>
    <row r="88" customFormat="false" ht="15" hidden="false" customHeight="false" outlineLevel="0" collapsed="false">
      <c r="A88" s="18"/>
      <c r="B88" s="18"/>
      <c r="C88" s="18"/>
      <c r="D88" s="18"/>
      <c r="E88" s="18"/>
    </row>
    <row r="89" customFormat="false" ht="15" hidden="false" customHeight="false" outlineLevel="0" collapsed="false">
      <c r="A89" s="18"/>
      <c r="B89" s="18"/>
      <c r="C89" s="18"/>
      <c r="D89" s="18"/>
      <c r="E89" s="18"/>
    </row>
    <row r="90" customFormat="false" ht="15" hidden="false" customHeight="false" outlineLevel="0" collapsed="false">
      <c r="A90" s="18"/>
      <c r="B90" s="18"/>
      <c r="C90" s="18"/>
      <c r="D90" s="18"/>
      <c r="E90" s="18"/>
    </row>
    <row r="91" customFormat="false" ht="15" hidden="false" customHeight="false" outlineLevel="0" collapsed="false">
      <c r="A91" s="18"/>
      <c r="B91" s="18"/>
      <c r="C91" s="18"/>
      <c r="D91" s="18"/>
      <c r="E91" s="18"/>
    </row>
    <row r="92" customFormat="false" ht="15" hidden="false" customHeight="false" outlineLevel="0" collapsed="false">
      <c r="A92" s="18"/>
      <c r="B92" s="18"/>
      <c r="C92" s="18"/>
      <c r="D92" s="18"/>
      <c r="E92" s="18"/>
    </row>
    <row r="93" customFormat="false" ht="15" hidden="false" customHeight="false" outlineLevel="0" collapsed="false">
      <c r="A93" s="18"/>
      <c r="B93" s="18"/>
      <c r="C93" s="18"/>
      <c r="D93" s="18"/>
      <c r="E93" s="18"/>
    </row>
    <row r="94" customFormat="false" ht="15" hidden="false" customHeight="false" outlineLevel="0" collapsed="false">
      <c r="A94" s="18"/>
      <c r="B94" s="18"/>
      <c r="C94" s="18"/>
      <c r="D94" s="18"/>
      <c r="E94" s="18"/>
    </row>
    <row r="95" customFormat="false" ht="15" hidden="false" customHeight="false" outlineLevel="0" collapsed="false">
      <c r="A95" s="18"/>
      <c r="B95" s="18"/>
      <c r="C95" s="18"/>
      <c r="D95" s="18"/>
      <c r="E95" s="18"/>
    </row>
    <row r="96" customFormat="false" ht="15" hidden="false" customHeight="false" outlineLevel="0" collapsed="false">
      <c r="A96" s="18"/>
      <c r="B96" s="18"/>
      <c r="C96" s="18"/>
      <c r="D96" s="18"/>
      <c r="E96" s="18"/>
    </row>
    <row r="97" customFormat="false" ht="15" hidden="false" customHeight="false" outlineLevel="0" collapsed="false">
      <c r="A97" s="18"/>
      <c r="B97" s="18"/>
      <c r="C97" s="18"/>
      <c r="D97" s="18"/>
      <c r="E97" s="18"/>
    </row>
    <row r="98" customFormat="false" ht="15" hidden="false" customHeight="false" outlineLevel="0" collapsed="false">
      <c r="A98" s="18"/>
      <c r="B98" s="18"/>
      <c r="C98" s="18"/>
      <c r="D98" s="18"/>
      <c r="E98" s="18"/>
    </row>
    <row r="99" customFormat="false" ht="15" hidden="false" customHeight="false" outlineLevel="0" collapsed="false">
      <c r="A99" s="18"/>
      <c r="B99" s="18"/>
      <c r="C99" s="18"/>
      <c r="D99" s="18"/>
      <c r="E99" s="18"/>
    </row>
    <row r="100" customFormat="false" ht="15" hidden="false" customHeight="false" outlineLevel="0" collapsed="false">
      <c r="A100" s="18"/>
      <c r="B100" s="18"/>
      <c r="C100" s="18"/>
      <c r="D100" s="18"/>
      <c r="E100" s="18"/>
    </row>
    <row r="101" customFormat="false" ht="15" hidden="false" customHeight="false" outlineLevel="0" collapsed="false">
      <c r="A101" s="18"/>
      <c r="B101" s="18"/>
      <c r="C101" s="18"/>
      <c r="D101" s="18"/>
      <c r="E101" s="18"/>
    </row>
    <row r="102" customFormat="false" ht="15" hidden="false" customHeight="false" outlineLevel="0" collapsed="false">
      <c r="A102" s="18"/>
      <c r="B102" s="18"/>
      <c r="C102" s="18"/>
      <c r="D102" s="18"/>
      <c r="E102" s="18"/>
    </row>
    <row r="103" customFormat="false" ht="15" hidden="false" customHeight="false" outlineLevel="0" collapsed="false">
      <c r="A103" s="18"/>
      <c r="B103" s="18"/>
      <c r="C103" s="18"/>
      <c r="D103" s="18"/>
      <c r="E103" s="18"/>
    </row>
    <row r="104" customFormat="false" ht="15" hidden="false" customHeight="false" outlineLevel="0" collapsed="false">
      <c r="A104" s="18"/>
      <c r="B104" s="18"/>
      <c r="C104" s="18"/>
      <c r="D104" s="18"/>
      <c r="E104" s="18"/>
    </row>
    <row r="105" customFormat="false" ht="15" hidden="false" customHeight="false" outlineLevel="0" collapsed="false">
      <c r="A105" s="18"/>
      <c r="B105" s="18"/>
      <c r="C105" s="18"/>
      <c r="D105" s="18"/>
      <c r="E105" s="18"/>
    </row>
    <row r="106" customFormat="false" ht="15" hidden="false" customHeight="false" outlineLevel="0" collapsed="false">
      <c r="A106" s="18"/>
      <c r="B106" s="18"/>
      <c r="C106" s="18"/>
      <c r="D106" s="18"/>
      <c r="E106" s="18"/>
    </row>
    <row r="107" customFormat="false" ht="15" hidden="false" customHeight="false" outlineLevel="0" collapsed="false">
      <c r="A107" s="18"/>
      <c r="B107" s="18"/>
      <c r="C107" s="18"/>
      <c r="D107" s="18"/>
      <c r="E107" s="18"/>
    </row>
    <row r="108" customFormat="false" ht="15" hidden="false" customHeight="false" outlineLevel="0" collapsed="false">
      <c r="A108" s="18"/>
      <c r="B108" s="18"/>
      <c r="C108" s="18"/>
      <c r="D108" s="18"/>
      <c r="E108" s="18"/>
    </row>
    <row r="109" customFormat="false" ht="15" hidden="false" customHeight="false" outlineLevel="0" collapsed="false">
      <c r="A109" s="18"/>
      <c r="B109" s="18"/>
      <c r="C109" s="18"/>
      <c r="D109" s="18"/>
      <c r="E109" s="18"/>
    </row>
    <row r="110" customFormat="false" ht="15" hidden="false" customHeight="false" outlineLevel="0" collapsed="false">
      <c r="A110" s="18"/>
      <c r="B110" s="18"/>
      <c r="C110" s="18"/>
      <c r="D110" s="18"/>
      <c r="E110" s="18"/>
    </row>
    <row r="111" customFormat="false" ht="15" hidden="false" customHeight="false" outlineLevel="0" collapsed="false">
      <c r="A111" s="18"/>
      <c r="B111" s="18"/>
      <c r="C111" s="18"/>
      <c r="D111" s="18"/>
      <c r="E111" s="18"/>
    </row>
    <row r="112" customFormat="false" ht="15" hidden="false" customHeight="false" outlineLevel="0" collapsed="false">
      <c r="A112" s="18"/>
      <c r="B112" s="18"/>
      <c r="C112" s="18"/>
      <c r="D112" s="18"/>
      <c r="E112" s="18"/>
    </row>
    <row r="113" customFormat="false" ht="15" hidden="false" customHeight="false" outlineLevel="0" collapsed="false">
      <c r="A113" s="18"/>
      <c r="B113" s="18"/>
      <c r="C113" s="18"/>
      <c r="D113" s="18"/>
      <c r="E113" s="18"/>
    </row>
    <row r="114" customFormat="false" ht="15" hidden="false" customHeight="false" outlineLevel="0" collapsed="false">
      <c r="A114" s="18"/>
      <c r="B114" s="18"/>
      <c r="C114" s="18"/>
      <c r="D114" s="18"/>
      <c r="E114" s="18"/>
    </row>
    <row r="115" customFormat="false" ht="15" hidden="false" customHeight="false" outlineLevel="0" collapsed="false">
      <c r="A115" s="18"/>
      <c r="B115" s="18"/>
      <c r="C115" s="18"/>
      <c r="D115" s="18"/>
      <c r="E115" s="18"/>
    </row>
    <row r="116" customFormat="false" ht="15" hidden="false" customHeight="false" outlineLevel="0" collapsed="false">
      <c r="A116" s="18"/>
      <c r="B116" s="18"/>
      <c r="C116" s="18"/>
      <c r="D116" s="18"/>
      <c r="E116" s="18"/>
    </row>
    <row r="117" customFormat="false" ht="15" hidden="false" customHeight="false" outlineLevel="0" collapsed="false">
      <c r="A117" s="18"/>
      <c r="B117" s="18"/>
      <c r="C117" s="18"/>
      <c r="D117" s="18"/>
      <c r="E117" s="18"/>
    </row>
    <row r="118" customFormat="false" ht="15" hidden="false" customHeight="false" outlineLevel="0" collapsed="false">
      <c r="A118" s="18"/>
      <c r="B118" s="18"/>
      <c r="C118" s="18"/>
      <c r="D118" s="18"/>
      <c r="E118" s="18"/>
    </row>
    <row r="119" customFormat="false" ht="15" hidden="false" customHeight="false" outlineLevel="0" collapsed="false">
      <c r="A119" s="18"/>
      <c r="B119" s="18"/>
      <c r="C119" s="18"/>
      <c r="D119" s="18"/>
      <c r="E119" s="18"/>
    </row>
    <row r="120" customFormat="false" ht="15" hidden="false" customHeight="false" outlineLevel="0" collapsed="false">
      <c r="A120" s="18"/>
      <c r="B120" s="18"/>
      <c r="C120" s="18"/>
      <c r="D120" s="18"/>
      <c r="E120" s="18"/>
    </row>
    <row r="121" customFormat="false" ht="15" hidden="false" customHeight="false" outlineLevel="0" collapsed="false">
      <c r="A121" s="18"/>
      <c r="B121" s="18"/>
      <c r="C121" s="18"/>
      <c r="D121" s="18"/>
      <c r="E121" s="18"/>
    </row>
    <row r="122" customFormat="false" ht="15" hidden="false" customHeight="false" outlineLevel="0" collapsed="false">
      <c r="A122" s="18"/>
      <c r="B122" s="18"/>
      <c r="C122" s="18"/>
      <c r="D122" s="18"/>
      <c r="E122" s="18"/>
    </row>
    <row r="123" customFormat="false" ht="15" hidden="false" customHeight="false" outlineLevel="0" collapsed="false">
      <c r="A123" s="18"/>
      <c r="B123" s="18"/>
      <c r="C123" s="18"/>
      <c r="D123" s="18"/>
      <c r="E123" s="18"/>
    </row>
    <row r="124" customFormat="false" ht="15" hidden="false" customHeight="false" outlineLevel="0" collapsed="false">
      <c r="A124" s="18"/>
      <c r="B124" s="18"/>
      <c r="C124" s="18"/>
      <c r="D124" s="18"/>
      <c r="E124" s="18"/>
    </row>
    <row r="125" customFormat="false" ht="15" hidden="false" customHeight="false" outlineLevel="0" collapsed="false">
      <c r="A125" s="18"/>
      <c r="B125" s="18"/>
      <c r="C125" s="18"/>
      <c r="D125" s="18"/>
      <c r="E125" s="18"/>
    </row>
    <row r="126" customFormat="false" ht="15" hidden="false" customHeight="false" outlineLevel="0" collapsed="false">
      <c r="A126" s="18"/>
      <c r="B126" s="18"/>
      <c r="C126" s="18"/>
      <c r="D126" s="18"/>
      <c r="E126" s="18"/>
    </row>
    <row r="127" customFormat="false" ht="15" hidden="false" customHeight="false" outlineLevel="0" collapsed="false">
      <c r="A127" s="18"/>
      <c r="B127" s="18"/>
      <c r="C127" s="18"/>
      <c r="D127" s="18"/>
      <c r="E127" s="18"/>
    </row>
    <row r="128" customFormat="false" ht="15" hidden="false" customHeight="false" outlineLevel="0" collapsed="false">
      <c r="A128" s="18"/>
      <c r="B128" s="18"/>
      <c r="C128" s="18"/>
      <c r="D128" s="18"/>
      <c r="E128" s="18"/>
    </row>
    <row r="129" customFormat="false" ht="15" hidden="false" customHeight="false" outlineLevel="0" collapsed="false">
      <c r="A129" s="18"/>
      <c r="B129" s="18"/>
      <c r="C129" s="18"/>
      <c r="D129" s="18"/>
      <c r="E129" s="18"/>
    </row>
    <row r="130" customFormat="false" ht="15" hidden="false" customHeight="false" outlineLevel="0" collapsed="false">
      <c r="A130" s="18"/>
      <c r="B130" s="18"/>
      <c r="C130" s="18"/>
      <c r="D130" s="18"/>
      <c r="E130" s="18"/>
    </row>
    <row r="131" customFormat="false" ht="15" hidden="false" customHeight="false" outlineLevel="0" collapsed="false">
      <c r="A131" s="18"/>
      <c r="B131" s="18"/>
      <c r="C131" s="18"/>
      <c r="D131" s="18"/>
      <c r="E131" s="18"/>
    </row>
    <row r="132" customFormat="false" ht="15" hidden="false" customHeight="false" outlineLevel="0" collapsed="false">
      <c r="A132" s="18"/>
      <c r="B132" s="18"/>
      <c r="C132" s="18"/>
      <c r="D132" s="18"/>
      <c r="E132" s="18"/>
    </row>
    <row r="133" customFormat="false" ht="15" hidden="false" customHeight="false" outlineLevel="0" collapsed="false">
      <c r="A133" s="18"/>
      <c r="B133" s="18"/>
      <c r="C133" s="18"/>
      <c r="D133" s="18"/>
      <c r="E133" s="18"/>
    </row>
    <row r="134" customFormat="false" ht="15" hidden="false" customHeight="false" outlineLevel="0" collapsed="false">
      <c r="A134" s="18"/>
      <c r="B134" s="18"/>
      <c r="C134" s="18"/>
      <c r="D134" s="18"/>
      <c r="E134" s="18"/>
    </row>
    <row r="135" customFormat="false" ht="15" hidden="false" customHeight="false" outlineLevel="0" collapsed="false">
      <c r="A135" s="18"/>
      <c r="B135" s="18"/>
      <c r="C135" s="18"/>
      <c r="D135" s="18"/>
      <c r="E135" s="18"/>
    </row>
    <row r="136" customFormat="false" ht="15" hidden="false" customHeight="false" outlineLevel="0" collapsed="false">
      <c r="A136" s="18"/>
      <c r="B136" s="18"/>
      <c r="C136" s="18"/>
      <c r="D136" s="18"/>
      <c r="E136" s="18"/>
    </row>
    <row r="137" customFormat="false" ht="15" hidden="false" customHeight="false" outlineLevel="0" collapsed="false">
      <c r="A137" s="18"/>
      <c r="B137" s="18"/>
      <c r="C137" s="18"/>
      <c r="D137" s="18"/>
      <c r="E137" s="18"/>
    </row>
    <row r="138" customFormat="false" ht="15" hidden="false" customHeight="false" outlineLevel="0" collapsed="false">
      <c r="A138" s="18"/>
      <c r="B138" s="18"/>
      <c r="C138" s="18"/>
      <c r="D138" s="18"/>
      <c r="E138" s="18"/>
    </row>
    <row r="139" customFormat="false" ht="15" hidden="false" customHeight="false" outlineLevel="0" collapsed="false">
      <c r="A139" s="18"/>
      <c r="B139" s="18"/>
      <c r="C139" s="18"/>
      <c r="D139" s="18"/>
      <c r="E139" s="18"/>
    </row>
    <row r="140" customFormat="false" ht="15" hidden="false" customHeight="false" outlineLevel="0" collapsed="false">
      <c r="A140" s="18"/>
      <c r="B140" s="18"/>
      <c r="C140" s="18"/>
      <c r="D140" s="18"/>
      <c r="E140" s="18"/>
    </row>
    <row r="141" customFormat="false" ht="15" hidden="false" customHeight="false" outlineLevel="0" collapsed="false">
      <c r="A141" s="18"/>
      <c r="B141" s="18"/>
      <c r="C141" s="18"/>
      <c r="D141" s="18"/>
      <c r="E141" s="18"/>
    </row>
    <row r="142" customFormat="false" ht="15" hidden="false" customHeight="false" outlineLevel="0" collapsed="false">
      <c r="A142" s="18"/>
      <c r="B142" s="18"/>
      <c r="C142" s="18"/>
      <c r="D142" s="18"/>
      <c r="E142" s="18"/>
    </row>
    <row r="143" customFormat="false" ht="15" hidden="false" customHeight="false" outlineLevel="0" collapsed="false">
      <c r="A143" s="18"/>
      <c r="B143" s="18"/>
      <c r="C143" s="18"/>
      <c r="D143" s="18"/>
      <c r="E143" s="18"/>
    </row>
    <row r="144" customFormat="false" ht="15" hidden="false" customHeight="false" outlineLevel="0" collapsed="false">
      <c r="A144" s="18"/>
      <c r="B144" s="18"/>
      <c r="C144" s="18"/>
      <c r="D144" s="18"/>
      <c r="E144" s="18"/>
    </row>
    <row r="145" customFormat="false" ht="15" hidden="false" customHeight="false" outlineLevel="0" collapsed="false">
      <c r="A145" s="18"/>
      <c r="B145" s="18"/>
      <c r="C145" s="18"/>
      <c r="D145" s="18"/>
      <c r="E145" s="18"/>
    </row>
    <row r="146" customFormat="false" ht="15" hidden="false" customHeight="false" outlineLevel="0" collapsed="false">
      <c r="A146" s="18"/>
      <c r="B146" s="18"/>
      <c r="C146" s="18"/>
      <c r="D146" s="18"/>
      <c r="E146" s="18"/>
    </row>
    <row r="147" customFormat="false" ht="15" hidden="false" customHeight="false" outlineLevel="0" collapsed="false">
      <c r="A147" s="18"/>
      <c r="B147" s="18"/>
      <c r="C147" s="18"/>
      <c r="D147" s="18"/>
      <c r="E147" s="18"/>
    </row>
    <row r="148" customFormat="false" ht="15" hidden="false" customHeight="false" outlineLevel="0" collapsed="false">
      <c r="A148" s="18"/>
      <c r="B148" s="18"/>
      <c r="C148" s="18"/>
      <c r="D148" s="18"/>
      <c r="E148" s="18"/>
    </row>
    <row r="149" customFormat="false" ht="15" hidden="false" customHeight="false" outlineLevel="0" collapsed="false">
      <c r="A149" s="18"/>
      <c r="B149" s="18"/>
      <c r="C149" s="18"/>
      <c r="D149" s="18"/>
      <c r="E149" s="18"/>
    </row>
    <row r="150" customFormat="false" ht="15" hidden="false" customHeight="false" outlineLevel="0" collapsed="false">
      <c r="A150" s="18"/>
      <c r="B150" s="18"/>
      <c r="C150" s="18"/>
      <c r="D150" s="18"/>
      <c r="E150" s="18"/>
    </row>
    <row r="151" customFormat="false" ht="15" hidden="false" customHeight="false" outlineLevel="0" collapsed="false">
      <c r="A151" s="18"/>
      <c r="B151" s="18"/>
      <c r="C151" s="18"/>
      <c r="D151" s="18"/>
      <c r="E151" s="18"/>
    </row>
    <row r="152" customFormat="false" ht="15" hidden="false" customHeight="false" outlineLevel="0" collapsed="false">
      <c r="A152" s="18"/>
      <c r="B152" s="18"/>
      <c r="C152" s="18"/>
      <c r="D152" s="18"/>
      <c r="E152" s="18"/>
    </row>
    <row r="153" customFormat="false" ht="15" hidden="false" customHeight="false" outlineLevel="0" collapsed="false">
      <c r="A153" s="18"/>
      <c r="B153" s="18"/>
      <c r="C153" s="18"/>
      <c r="D153" s="18"/>
      <c r="E153" s="18"/>
    </row>
    <row r="154" customFormat="false" ht="15" hidden="false" customHeight="false" outlineLevel="0" collapsed="false">
      <c r="A154" s="18"/>
      <c r="B154" s="18"/>
      <c r="C154" s="18"/>
      <c r="D154" s="18"/>
      <c r="E154" s="18"/>
    </row>
    <row r="155" customFormat="false" ht="15" hidden="false" customHeight="false" outlineLevel="0" collapsed="false">
      <c r="A155" s="18"/>
      <c r="B155" s="18"/>
      <c r="C155" s="18"/>
      <c r="D155" s="18"/>
      <c r="E155" s="18"/>
    </row>
    <row r="156" customFormat="false" ht="15" hidden="false" customHeight="false" outlineLevel="0" collapsed="false">
      <c r="A156" s="18"/>
      <c r="B156" s="18"/>
      <c r="C156" s="18"/>
      <c r="D156" s="18"/>
      <c r="E156" s="18"/>
    </row>
    <row r="157" customFormat="false" ht="15" hidden="false" customHeight="false" outlineLevel="0" collapsed="false">
      <c r="A157" s="18"/>
      <c r="B157" s="18"/>
      <c r="C157" s="18"/>
      <c r="D157" s="18"/>
      <c r="E157" s="18"/>
    </row>
    <row r="158" customFormat="false" ht="15" hidden="false" customHeight="false" outlineLevel="0" collapsed="false">
      <c r="A158" s="18"/>
      <c r="B158" s="18"/>
      <c r="C158" s="18"/>
      <c r="D158" s="18"/>
      <c r="E158" s="18"/>
    </row>
    <row r="159" customFormat="false" ht="15" hidden="false" customHeight="false" outlineLevel="0" collapsed="false">
      <c r="A159" s="18"/>
      <c r="B159" s="18"/>
      <c r="C159" s="18"/>
      <c r="D159" s="18"/>
      <c r="E159" s="18"/>
    </row>
    <row r="160" customFormat="false" ht="15" hidden="false" customHeight="false" outlineLevel="0" collapsed="false">
      <c r="A160" s="18"/>
      <c r="B160" s="18"/>
      <c r="C160" s="18"/>
      <c r="D160" s="18"/>
      <c r="E160" s="18"/>
    </row>
    <row r="161" customFormat="false" ht="15" hidden="false" customHeight="false" outlineLevel="0" collapsed="false">
      <c r="A161" s="18"/>
      <c r="B161" s="18"/>
      <c r="C161" s="18"/>
      <c r="D161" s="18"/>
      <c r="E161" s="18"/>
    </row>
    <row r="162" customFormat="false" ht="15" hidden="false" customHeight="false" outlineLevel="0" collapsed="false">
      <c r="A162" s="18"/>
      <c r="B162" s="18"/>
      <c r="C162" s="18"/>
      <c r="D162" s="18"/>
      <c r="E162" s="18"/>
    </row>
    <row r="163" customFormat="false" ht="15" hidden="false" customHeight="false" outlineLevel="0" collapsed="false">
      <c r="A163" s="18"/>
      <c r="B163" s="18"/>
      <c r="C163" s="18"/>
      <c r="D163" s="18"/>
      <c r="E163" s="18"/>
    </row>
    <row r="164" customFormat="false" ht="15" hidden="false" customHeight="false" outlineLevel="0" collapsed="false">
      <c r="A164" s="18"/>
      <c r="B164" s="18"/>
      <c r="C164" s="18"/>
      <c r="D164" s="18"/>
      <c r="E164" s="18"/>
    </row>
    <row r="165" customFormat="false" ht="15" hidden="false" customHeight="false" outlineLevel="0" collapsed="false">
      <c r="A165" s="18"/>
      <c r="B165" s="18"/>
      <c r="C165" s="18"/>
      <c r="D165" s="18"/>
      <c r="E165" s="18"/>
    </row>
    <row r="166" customFormat="false" ht="15" hidden="false" customHeight="false" outlineLevel="0" collapsed="false">
      <c r="A166" s="18"/>
      <c r="B166" s="18"/>
      <c r="C166" s="18"/>
      <c r="D166" s="18"/>
      <c r="E166" s="18"/>
    </row>
    <row r="167" customFormat="false" ht="15" hidden="false" customHeight="false" outlineLevel="0" collapsed="false">
      <c r="A167" s="18"/>
      <c r="B167" s="18"/>
      <c r="C167" s="18"/>
      <c r="D167" s="18"/>
      <c r="E167" s="18"/>
    </row>
    <row r="168" customFormat="false" ht="15" hidden="false" customHeight="false" outlineLevel="0" collapsed="false">
      <c r="A168" s="18"/>
      <c r="B168" s="18"/>
      <c r="C168" s="18"/>
      <c r="D168" s="18"/>
      <c r="E168" s="18"/>
    </row>
    <row r="169" customFormat="false" ht="15" hidden="false" customHeight="false" outlineLevel="0" collapsed="false">
      <c r="A169" s="18"/>
      <c r="B169" s="18"/>
      <c r="C169" s="18"/>
      <c r="D169" s="18"/>
      <c r="E169" s="18"/>
    </row>
    <row r="170" customFormat="false" ht="15" hidden="false" customHeight="false" outlineLevel="0" collapsed="false">
      <c r="A170" s="18"/>
      <c r="B170" s="18"/>
      <c r="C170" s="18"/>
      <c r="D170" s="18"/>
      <c r="E170" s="18"/>
    </row>
    <row r="171" customFormat="false" ht="15" hidden="false" customHeight="false" outlineLevel="0" collapsed="false">
      <c r="A171" s="18"/>
      <c r="B171" s="18"/>
      <c r="C171" s="18"/>
      <c r="D171" s="18"/>
      <c r="E171" s="18"/>
    </row>
    <row r="172" customFormat="false" ht="15" hidden="false" customHeight="false" outlineLevel="0" collapsed="false">
      <c r="A172" s="18"/>
      <c r="B172" s="18"/>
      <c r="C172" s="18"/>
      <c r="D172" s="18"/>
      <c r="E172" s="18"/>
    </row>
    <row r="173" customFormat="false" ht="15" hidden="false" customHeight="false" outlineLevel="0" collapsed="false">
      <c r="A173" s="18"/>
      <c r="B173" s="18"/>
      <c r="C173" s="18"/>
      <c r="D173" s="18"/>
      <c r="E173" s="18"/>
    </row>
    <row r="174" customFormat="false" ht="15" hidden="false" customHeight="false" outlineLevel="0" collapsed="false">
      <c r="A174" s="18"/>
      <c r="B174" s="18"/>
      <c r="C174" s="18"/>
      <c r="D174" s="18"/>
      <c r="E174" s="18"/>
    </row>
    <row r="175" customFormat="false" ht="15" hidden="false" customHeight="false" outlineLevel="0" collapsed="false">
      <c r="A175" s="18"/>
      <c r="B175" s="18"/>
      <c r="C175" s="18"/>
      <c r="D175" s="18"/>
      <c r="E175" s="18"/>
    </row>
    <row r="176" customFormat="false" ht="15" hidden="false" customHeight="false" outlineLevel="0" collapsed="false">
      <c r="A176" s="18"/>
      <c r="B176" s="18"/>
      <c r="C176" s="18"/>
      <c r="D176" s="18"/>
      <c r="E176" s="18"/>
    </row>
    <row r="177" customFormat="false" ht="15" hidden="false" customHeight="false" outlineLevel="0" collapsed="false">
      <c r="A177" s="18"/>
      <c r="B177" s="18"/>
      <c r="C177" s="18"/>
      <c r="D177" s="18"/>
      <c r="E177" s="18"/>
    </row>
    <row r="178" customFormat="false" ht="15" hidden="false" customHeight="false" outlineLevel="0" collapsed="false">
      <c r="A178" s="18"/>
      <c r="B178" s="18"/>
      <c r="C178" s="18"/>
      <c r="D178" s="18"/>
      <c r="E178" s="18"/>
    </row>
    <row r="179" customFormat="false" ht="15" hidden="false" customHeight="false" outlineLevel="0" collapsed="false">
      <c r="A179" s="18"/>
      <c r="B179" s="18"/>
      <c r="C179" s="18"/>
      <c r="D179" s="18"/>
      <c r="E179" s="18"/>
    </row>
    <row r="180" customFormat="false" ht="15" hidden="false" customHeight="false" outlineLevel="0" collapsed="false">
      <c r="A180" s="18"/>
      <c r="B180" s="18"/>
      <c r="C180" s="18"/>
      <c r="D180" s="18"/>
      <c r="E180" s="18"/>
    </row>
    <row r="181" customFormat="false" ht="15" hidden="false" customHeight="false" outlineLevel="0" collapsed="false">
      <c r="A181" s="18"/>
      <c r="B181" s="18"/>
      <c r="C181" s="18"/>
      <c r="D181" s="18"/>
      <c r="E181" s="18"/>
    </row>
    <row r="182" customFormat="false" ht="15" hidden="false" customHeight="false" outlineLevel="0" collapsed="false">
      <c r="A182" s="18"/>
      <c r="B182" s="18"/>
      <c r="C182" s="18"/>
      <c r="D182" s="18"/>
      <c r="E182" s="18"/>
    </row>
    <row r="183" customFormat="false" ht="15" hidden="false" customHeight="false" outlineLevel="0" collapsed="false">
      <c r="A183" s="18"/>
      <c r="B183" s="18"/>
      <c r="C183" s="18"/>
      <c r="D183" s="18"/>
      <c r="E183" s="18"/>
    </row>
    <row r="184" customFormat="false" ht="15" hidden="false" customHeight="false" outlineLevel="0" collapsed="false">
      <c r="A184" s="18"/>
      <c r="B184" s="18"/>
      <c r="C184" s="18"/>
      <c r="D184" s="18"/>
      <c r="E184" s="18"/>
    </row>
    <row r="185" customFormat="false" ht="15" hidden="false" customHeight="false" outlineLevel="0" collapsed="false">
      <c r="A185" s="18"/>
      <c r="B185" s="18"/>
      <c r="C185" s="18"/>
      <c r="D185" s="18"/>
      <c r="E185" s="18"/>
    </row>
    <row r="186" customFormat="false" ht="15" hidden="false" customHeight="false" outlineLevel="0" collapsed="false">
      <c r="A186" s="18"/>
      <c r="B186" s="18"/>
      <c r="C186" s="18"/>
      <c r="D186" s="18"/>
      <c r="E186" s="18"/>
    </row>
    <row r="187" customFormat="false" ht="15" hidden="false" customHeight="false" outlineLevel="0" collapsed="false">
      <c r="A187" s="18"/>
      <c r="B187" s="18"/>
      <c r="C187" s="18"/>
      <c r="D187" s="18"/>
      <c r="E187" s="18"/>
    </row>
    <row r="188" customFormat="false" ht="15" hidden="false" customHeight="false" outlineLevel="0" collapsed="false">
      <c r="A188" s="18"/>
      <c r="B188" s="18"/>
      <c r="C188" s="18"/>
      <c r="D188" s="18"/>
      <c r="E188" s="18"/>
    </row>
    <row r="189" customFormat="false" ht="15" hidden="false" customHeight="false" outlineLevel="0" collapsed="false">
      <c r="A189" s="18"/>
      <c r="B189" s="18"/>
      <c r="C189" s="18"/>
      <c r="D189" s="18"/>
      <c r="E189" s="18"/>
    </row>
    <row r="190" customFormat="false" ht="15" hidden="false" customHeight="false" outlineLevel="0" collapsed="false">
      <c r="A190" s="18"/>
      <c r="B190" s="18"/>
      <c r="C190" s="18"/>
      <c r="D190" s="18"/>
      <c r="E190" s="18"/>
    </row>
    <row r="191" customFormat="false" ht="15" hidden="false" customHeight="false" outlineLevel="0" collapsed="false">
      <c r="A191" s="18"/>
      <c r="B191" s="18"/>
      <c r="C191" s="18"/>
      <c r="D191" s="18"/>
      <c r="E191" s="18"/>
    </row>
    <row r="192" customFormat="false" ht="15" hidden="false" customHeight="false" outlineLevel="0" collapsed="false">
      <c r="A192" s="18"/>
      <c r="B192" s="18"/>
      <c r="C192" s="18"/>
      <c r="D192" s="18"/>
      <c r="E192" s="18"/>
    </row>
    <row r="193" customFormat="false" ht="15" hidden="false" customHeight="false" outlineLevel="0" collapsed="false">
      <c r="A193" s="18"/>
      <c r="B193" s="18"/>
      <c r="C193" s="18"/>
      <c r="D193" s="18"/>
      <c r="E193" s="18"/>
    </row>
    <row r="194" customFormat="false" ht="15" hidden="false" customHeight="false" outlineLevel="0" collapsed="false">
      <c r="A194" s="18"/>
      <c r="B194" s="18"/>
      <c r="C194" s="18"/>
      <c r="D194" s="18"/>
      <c r="E194" s="18"/>
    </row>
    <row r="195" customFormat="false" ht="15" hidden="false" customHeight="false" outlineLevel="0" collapsed="false">
      <c r="A195" s="18"/>
      <c r="B195" s="18"/>
      <c r="C195" s="18"/>
      <c r="D195" s="18"/>
      <c r="E195" s="18"/>
    </row>
    <row r="196" customFormat="false" ht="15" hidden="false" customHeight="false" outlineLevel="0" collapsed="false">
      <c r="A196" s="18"/>
      <c r="B196" s="18"/>
      <c r="C196" s="18"/>
      <c r="D196" s="18"/>
      <c r="E196" s="18"/>
    </row>
    <row r="197" customFormat="false" ht="15" hidden="false" customHeight="false" outlineLevel="0" collapsed="false">
      <c r="A197" s="18"/>
      <c r="B197" s="18"/>
      <c r="C197" s="18"/>
      <c r="D197" s="18"/>
      <c r="E197" s="18"/>
    </row>
    <row r="198" customFormat="false" ht="15" hidden="false" customHeight="false" outlineLevel="0" collapsed="false">
      <c r="A198" s="18"/>
      <c r="B198" s="18"/>
      <c r="C198" s="18"/>
      <c r="D198" s="18"/>
      <c r="E198" s="18"/>
    </row>
    <row r="199" customFormat="false" ht="15" hidden="false" customHeight="false" outlineLevel="0" collapsed="false">
      <c r="A199" s="18"/>
      <c r="B199" s="18"/>
      <c r="C199" s="18"/>
      <c r="D199" s="18"/>
      <c r="E199" s="18"/>
    </row>
    <row r="200" customFormat="false" ht="15" hidden="false" customHeight="false" outlineLevel="0" collapsed="false">
      <c r="A200" s="18"/>
      <c r="B200" s="18"/>
      <c r="C200" s="18"/>
      <c r="D200" s="18"/>
      <c r="E200" s="18"/>
    </row>
    <row r="201" customFormat="false" ht="15" hidden="false" customHeight="false" outlineLevel="0" collapsed="false">
      <c r="A201" s="18"/>
      <c r="B201" s="18"/>
      <c r="C201" s="18"/>
      <c r="D201" s="18"/>
      <c r="E201" s="18"/>
    </row>
    <row r="202" customFormat="false" ht="15" hidden="false" customHeight="false" outlineLevel="0" collapsed="false">
      <c r="A202" s="18"/>
      <c r="B202" s="18"/>
      <c r="C202" s="18"/>
      <c r="D202" s="18"/>
      <c r="E202" s="18"/>
    </row>
    <row r="203" customFormat="false" ht="15" hidden="false" customHeight="false" outlineLevel="0" collapsed="false">
      <c r="A203" s="18"/>
      <c r="B203" s="18"/>
      <c r="C203" s="18"/>
      <c r="D203" s="18"/>
      <c r="E203" s="18"/>
    </row>
    <row r="204" customFormat="false" ht="15" hidden="false" customHeight="false" outlineLevel="0" collapsed="false">
      <c r="A204" s="18"/>
      <c r="B204" s="18"/>
      <c r="C204" s="18"/>
      <c r="D204" s="18"/>
      <c r="E204" s="18"/>
    </row>
    <row r="205" customFormat="false" ht="15" hidden="false" customHeight="false" outlineLevel="0" collapsed="false">
      <c r="A205" s="18"/>
      <c r="B205" s="18"/>
      <c r="C205" s="18"/>
      <c r="D205" s="18"/>
      <c r="E205" s="18"/>
    </row>
    <row r="206" customFormat="false" ht="15" hidden="false" customHeight="false" outlineLevel="0" collapsed="false">
      <c r="A206" s="18"/>
      <c r="B206" s="18"/>
      <c r="C206" s="18"/>
      <c r="D206" s="18"/>
      <c r="E206" s="18"/>
    </row>
    <row r="207" customFormat="false" ht="15" hidden="false" customHeight="false" outlineLevel="0" collapsed="false">
      <c r="A207" s="18"/>
      <c r="B207" s="18"/>
      <c r="C207" s="18"/>
      <c r="D207" s="18"/>
      <c r="E207" s="18"/>
    </row>
    <row r="208" customFormat="false" ht="15" hidden="false" customHeight="false" outlineLevel="0" collapsed="false">
      <c r="A208" s="18"/>
      <c r="B208" s="18"/>
      <c r="C208" s="18"/>
      <c r="D208" s="18"/>
      <c r="E208" s="18"/>
    </row>
    <row r="209" customFormat="false" ht="15" hidden="false" customHeight="false" outlineLevel="0" collapsed="false">
      <c r="A209" s="18"/>
      <c r="B209" s="18"/>
      <c r="C209" s="18"/>
      <c r="D209" s="18"/>
      <c r="E209" s="18"/>
    </row>
    <row r="210" customFormat="false" ht="15" hidden="false" customHeight="false" outlineLevel="0" collapsed="false">
      <c r="A210" s="18"/>
      <c r="B210" s="18"/>
      <c r="C210" s="18"/>
      <c r="D210" s="18"/>
      <c r="E210" s="18"/>
    </row>
    <row r="211" customFormat="false" ht="15" hidden="false" customHeight="false" outlineLevel="0" collapsed="false">
      <c r="A211" s="18"/>
      <c r="B211" s="18"/>
      <c r="C211" s="18"/>
      <c r="D211" s="18"/>
      <c r="E211" s="18"/>
    </row>
    <row r="212" customFormat="false" ht="15" hidden="false" customHeight="false" outlineLevel="0" collapsed="false">
      <c r="A212" s="18"/>
      <c r="B212" s="18"/>
      <c r="C212" s="18"/>
      <c r="D212" s="18"/>
      <c r="E212" s="18"/>
    </row>
    <row r="213" customFormat="false" ht="15" hidden="false" customHeight="false" outlineLevel="0" collapsed="false">
      <c r="A213" s="18"/>
      <c r="B213" s="18"/>
      <c r="C213" s="18"/>
      <c r="D213" s="18"/>
      <c r="E213" s="18"/>
    </row>
    <row r="214" customFormat="false" ht="15" hidden="false" customHeight="false" outlineLevel="0" collapsed="false">
      <c r="A214" s="18"/>
      <c r="B214" s="18"/>
      <c r="C214" s="18"/>
      <c r="D214" s="18"/>
      <c r="E214" s="18"/>
    </row>
    <row r="215" customFormat="false" ht="15" hidden="false" customHeight="false" outlineLevel="0" collapsed="false">
      <c r="A215" s="18"/>
      <c r="B215" s="18"/>
      <c r="C215" s="18"/>
      <c r="D215" s="18"/>
      <c r="E215" s="18"/>
    </row>
    <row r="216" customFormat="false" ht="15" hidden="false" customHeight="false" outlineLevel="0" collapsed="false">
      <c r="A216" s="18"/>
      <c r="B216" s="18"/>
      <c r="C216" s="18"/>
      <c r="D216" s="18"/>
      <c r="E216" s="18"/>
    </row>
    <row r="217" customFormat="false" ht="15" hidden="false" customHeight="false" outlineLevel="0" collapsed="false">
      <c r="A217" s="18"/>
      <c r="B217" s="18"/>
      <c r="C217" s="18"/>
      <c r="D217" s="18"/>
      <c r="E217" s="18"/>
    </row>
    <row r="218" customFormat="false" ht="15" hidden="false" customHeight="false" outlineLevel="0" collapsed="false">
      <c r="A218" s="18"/>
      <c r="B218" s="18"/>
      <c r="C218" s="18"/>
      <c r="D218" s="18"/>
      <c r="E218" s="18"/>
    </row>
    <row r="219" customFormat="false" ht="15" hidden="false" customHeight="false" outlineLevel="0" collapsed="false">
      <c r="A219" s="18"/>
      <c r="B219" s="18"/>
      <c r="C219" s="18"/>
      <c r="D219" s="18"/>
      <c r="E219" s="18"/>
    </row>
    <row r="220" customFormat="false" ht="15" hidden="false" customHeight="false" outlineLevel="0" collapsed="false">
      <c r="A220" s="18"/>
      <c r="B220" s="18"/>
      <c r="C220" s="18"/>
      <c r="D220" s="18"/>
      <c r="E220" s="18"/>
    </row>
    <row r="221" customFormat="false" ht="15" hidden="false" customHeight="false" outlineLevel="0" collapsed="false">
      <c r="A221" s="18"/>
      <c r="B221" s="18"/>
      <c r="C221" s="18"/>
      <c r="D221" s="18"/>
      <c r="E221" s="18"/>
    </row>
    <row r="222" customFormat="false" ht="15" hidden="false" customHeight="false" outlineLevel="0" collapsed="false">
      <c r="A222" s="18"/>
      <c r="B222" s="18"/>
      <c r="C222" s="18"/>
      <c r="D222" s="18"/>
      <c r="E222" s="18"/>
    </row>
    <row r="223" customFormat="false" ht="15" hidden="false" customHeight="false" outlineLevel="0" collapsed="false">
      <c r="A223" s="18"/>
      <c r="B223" s="18"/>
      <c r="C223" s="18"/>
      <c r="D223" s="18"/>
      <c r="E223" s="18"/>
    </row>
    <row r="224" customFormat="false" ht="15" hidden="false" customHeight="false" outlineLevel="0" collapsed="false">
      <c r="A224" s="18"/>
      <c r="B224" s="18"/>
      <c r="C224" s="18"/>
      <c r="D224" s="18"/>
      <c r="E224" s="18"/>
    </row>
    <row r="225" customFormat="false" ht="15" hidden="false" customHeight="false" outlineLevel="0" collapsed="false">
      <c r="A225" s="18"/>
      <c r="B225" s="18"/>
      <c r="C225" s="18"/>
      <c r="D225" s="18"/>
      <c r="E225" s="18"/>
    </row>
    <row r="226" customFormat="false" ht="15" hidden="false" customHeight="false" outlineLevel="0" collapsed="false">
      <c r="A226" s="18"/>
      <c r="B226" s="18"/>
      <c r="C226" s="18"/>
      <c r="D226" s="18"/>
      <c r="E226" s="18"/>
    </row>
    <row r="227" customFormat="false" ht="15" hidden="false" customHeight="false" outlineLevel="0" collapsed="false">
      <c r="A227" s="18"/>
      <c r="B227" s="18"/>
      <c r="C227" s="18"/>
      <c r="D227" s="18"/>
      <c r="E227" s="18"/>
    </row>
    <row r="228" customFormat="false" ht="15" hidden="false" customHeight="false" outlineLevel="0" collapsed="false">
      <c r="A228" s="18"/>
      <c r="B228" s="18"/>
      <c r="C228" s="18"/>
      <c r="D228" s="18"/>
      <c r="E228" s="18"/>
    </row>
    <row r="229" customFormat="false" ht="15" hidden="false" customHeight="false" outlineLevel="0" collapsed="false">
      <c r="A229" s="18"/>
      <c r="B229" s="18"/>
      <c r="C229" s="18"/>
      <c r="D229" s="18"/>
      <c r="E229" s="18"/>
    </row>
    <row r="230" customFormat="false" ht="15" hidden="false" customHeight="false" outlineLevel="0" collapsed="false">
      <c r="A230" s="18"/>
      <c r="B230" s="18"/>
      <c r="C230" s="18"/>
      <c r="D230" s="18"/>
      <c r="E230" s="18"/>
    </row>
    <row r="231" customFormat="false" ht="15" hidden="false" customHeight="false" outlineLevel="0" collapsed="false">
      <c r="A231" s="18"/>
      <c r="B231" s="18"/>
      <c r="C231" s="18"/>
      <c r="D231" s="18"/>
      <c r="E231" s="18"/>
    </row>
    <row r="232" customFormat="false" ht="15" hidden="false" customHeight="false" outlineLevel="0" collapsed="false">
      <c r="A232" s="18"/>
      <c r="B232" s="18"/>
      <c r="C232" s="18"/>
      <c r="D232" s="18"/>
      <c r="E232" s="18"/>
    </row>
    <row r="233" customFormat="false" ht="15" hidden="false" customHeight="false" outlineLevel="0" collapsed="false">
      <c r="A233" s="18"/>
      <c r="B233" s="18"/>
      <c r="C233" s="18"/>
      <c r="D233" s="18"/>
      <c r="E233" s="18"/>
    </row>
    <row r="234" customFormat="false" ht="15" hidden="false" customHeight="false" outlineLevel="0" collapsed="false">
      <c r="A234" s="18"/>
      <c r="B234" s="18"/>
      <c r="C234" s="18"/>
      <c r="D234" s="18"/>
      <c r="E234" s="18"/>
    </row>
    <row r="235" customFormat="false" ht="15" hidden="false" customHeight="false" outlineLevel="0" collapsed="false">
      <c r="A235" s="18"/>
      <c r="B235" s="18"/>
      <c r="C235" s="18"/>
      <c r="D235" s="18"/>
      <c r="E235" s="18"/>
    </row>
    <row r="236" customFormat="false" ht="15" hidden="false" customHeight="false" outlineLevel="0" collapsed="false">
      <c r="A236" s="18"/>
      <c r="B236" s="18"/>
      <c r="C236" s="18"/>
      <c r="D236" s="18"/>
      <c r="E236" s="18"/>
    </row>
    <row r="237" customFormat="false" ht="15" hidden="false" customHeight="false" outlineLevel="0" collapsed="false">
      <c r="A237" s="18"/>
      <c r="B237" s="18"/>
      <c r="C237" s="18"/>
      <c r="D237" s="18"/>
      <c r="E237" s="18"/>
    </row>
    <row r="238" customFormat="false" ht="15" hidden="false" customHeight="false" outlineLevel="0" collapsed="false">
      <c r="A238" s="18"/>
      <c r="B238" s="18"/>
      <c r="C238" s="18"/>
      <c r="D238" s="18"/>
      <c r="E238" s="18"/>
    </row>
    <row r="239" customFormat="false" ht="15" hidden="false" customHeight="false" outlineLevel="0" collapsed="false">
      <c r="A239" s="18"/>
      <c r="B239" s="18"/>
      <c r="C239" s="18"/>
      <c r="D239" s="18"/>
      <c r="E239" s="18"/>
    </row>
    <row r="240" customFormat="false" ht="15" hidden="false" customHeight="false" outlineLevel="0" collapsed="false">
      <c r="A240" s="18"/>
      <c r="B240" s="18"/>
      <c r="C240" s="18"/>
      <c r="D240" s="18"/>
      <c r="E240" s="18"/>
    </row>
    <row r="241" customFormat="false" ht="15" hidden="false" customHeight="false" outlineLevel="0" collapsed="false">
      <c r="A241" s="18"/>
      <c r="B241" s="18"/>
      <c r="C241" s="18"/>
      <c r="D241" s="18"/>
      <c r="E241" s="18"/>
    </row>
    <row r="242" customFormat="false" ht="15" hidden="false" customHeight="false" outlineLevel="0" collapsed="false">
      <c r="A242" s="18"/>
      <c r="B242" s="18"/>
      <c r="C242" s="18"/>
      <c r="D242" s="18"/>
      <c r="E242" s="18"/>
    </row>
    <row r="243" customFormat="false" ht="15" hidden="false" customHeight="false" outlineLevel="0" collapsed="false">
      <c r="A243" s="18"/>
      <c r="B243" s="18"/>
      <c r="C243" s="18"/>
      <c r="D243" s="18"/>
      <c r="E243" s="18"/>
    </row>
    <row r="244" customFormat="false" ht="15" hidden="false" customHeight="false" outlineLevel="0" collapsed="false">
      <c r="A244" s="18"/>
      <c r="B244" s="18"/>
      <c r="C244" s="18"/>
      <c r="D244" s="18"/>
      <c r="E244" s="18"/>
    </row>
    <row r="245" customFormat="false" ht="15" hidden="false" customHeight="false" outlineLevel="0" collapsed="false">
      <c r="A245" s="18"/>
      <c r="B245" s="18"/>
      <c r="C245" s="18"/>
      <c r="D245" s="18"/>
      <c r="E245" s="18"/>
    </row>
    <row r="246" customFormat="false" ht="15" hidden="false" customHeight="false" outlineLevel="0" collapsed="false">
      <c r="A246" s="18"/>
      <c r="B246" s="18"/>
      <c r="C246" s="18"/>
      <c r="D246" s="18"/>
      <c r="E246" s="18"/>
    </row>
    <row r="247" customFormat="false" ht="15" hidden="false" customHeight="false" outlineLevel="0" collapsed="false">
      <c r="A247" s="18"/>
      <c r="B247" s="18"/>
      <c r="C247" s="18"/>
      <c r="D247" s="18"/>
      <c r="E247" s="18"/>
    </row>
    <row r="248" customFormat="false" ht="15" hidden="false" customHeight="false" outlineLevel="0" collapsed="false">
      <c r="A248" s="18"/>
      <c r="B248" s="18"/>
      <c r="C248" s="18"/>
      <c r="D248" s="18"/>
      <c r="E248" s="18"/>
    </row>
    <row r="249" customFormat="false" ht="15" hidden="false" customHeight="false" outlineLevel="0" collapsed="false">
      <c r="A249" s="18"/>
      <c r="B249" s="18"/>
      <c r="C249" s="18"/>
      <c r="D249" s="18"/>
      <c r="E249" s="18"/>
    </row>
    <row r="250" customFormat="false" ht="15" hidden="false" customHeight="false" outlineLevel="0" collapsed="false">
      <c r="A250" s="18"/>
      <c r="B250" s="18"/>
      <c r="C250" s="18"/>
      <c r="D250" s="18"/>
      <c r="E250" s="18"/>
    </row>
    <row r="251" customFormat="false" ht="15" hidden="false" customHeight="false" outlineLevel="0" collapsed="false">
      <c r="A251" s="18"/>
      <c r="B251" s="18"/>
      <c r="C251" s="18"/>
      <c r="D251" s="18"/>
      <c r="E251" s="18"/>
    </row>
    <row r="252" customFormat="false" ht="15" hidden="false" customHeight="false" outlineLevel="0" collapsed="false">
      <c r="A252" s="18"/>
      <c r="B252" s="18"/>
      <c r="C252" s="18"/>
      <c r="D252" s="18"/>
      <c r="E252" s="18"/>
    </row>
    <row r="253" customFormat="false" ht="15" hidden="false" customHeight="false" outlineLevel="0" collapsed="false">
      <c r="A253" s="18"/>
      <c r="B253" s="18"/>
      <c r="C253" s="18"/>
      <c r="D253" s="18"/>
      <c r="E253" s="18"/>
    </row>
    <row r="254" customFormat="false" ht="15" hidden="false" customHeight="false" outlineLevel="0" collapsed="false">
      <c r="A254" s="18"/>
      <c r="B254" s="18"/>
      <c r="C254" s="18"/>
      <c r="D254" s="18"/>
      <c r="E254" s="18"/>
    </row>
    <row r="255" customFormat="false" ht="15" hidden="false" customHeight="false" outlineLevel="0" collapsed="false">
      <c r="A255" s="18"/>
      <c r="B255" s="18"/>
      <c r="C255" s="18"/>
      <c r="D255" s="18"/>
      <c r="E255" s="18"/>
    </row>
    <row r="256" customFormat="false" ht="15" hidden="false" customHeight="false" outlineLevel="0" collapsed="false">
      <c r="A256" s="18"/>
      <c r="B256" s="18"/>
      <c r="C256" s="18"/>
      <c r="D256" s="18"/>
      <c r="E256" s="18"/>
    </row>
    <row r="257" customFormat="false" ht="15" hidden="false" customHeight="false" outlineLevel="0" collapsed="false">
      <c r="A257" s="18"/>
      <c r="B257" s="18"/>
      <c r="C257" s="18"/>
      <c r="D257" s="18"/>
      <c r="E257" s="18"/>
    </row>
    <row r="258" customFormat="false" ht="15" hidden="false" customHeight="false" outlineLevel="0" collapsed="false">
      <c r="A258" s="18"/>
      <c r="B258" s="18"/>
      <c r="C258" s="18"/>
      <c r="D258" s="18"/>
      <c r="E258" s="18"/>
    </row>
    <row r="259" customFormat="false" ht="15" hidden="false" customHeight="false" outlineLevel="0" collapsed="false">
      <c r="A259" s="18"/>
      <c r="B259" s="18"/>
      <c r="C259" s="18"/>
      <c r="D259" s="18"/>
      <c r="E259" s="18"/>
    </row>
    <row r="260" customFormat="false" ht="15" hidden="false" customHeight="false" outlineLevel="0" collapsed="false">
      <c r="A260" s="18"/>
      <c r="B260" s="18"/>
      <c r="C260" s="18"/>
      <c r="D260" s="18"/>
      <c r="E260" s="18"/>
    </row>
    <row r="261" customFormat="false" ht="15" hidden="false" customHeight="false" outlineLevel="0" collapsed="false">
      <c r="A261" s="18"/>
      <c r="B261" s="18"/>
      <c r="C261" s="18"/>
      <c r="D261" s="18"/>
      <c r="E261" s="18"/>
    </row>
    <row r="262" customFormat="false" ht="15" hidden="false" customHeight="false" outlineLevel="0" collapsed="false">
      <c r="A262" s="18"/>
      <c r="B262" s="18"/>
      <c r="C262" s="18"/>
      <c r="D262" s="18"/>
      <c r="E262" s="18"/>
    </row>
    <row r="263" customFormat="false" ht="15" hidden="false" customHeight="false" outlineLevel="0" collapsed="false">
      <c r="A263" s="18"/>
      <c r="B263" s="18"/>
      <c r="C263" s="18"/>
      <c r="D263" s="18"/>
      <c r="E263" s="18"/>
    </row>
    <row r="264" customFormat="false" ht="15" hidden="false" customHeight="false" outlineLevel="0" collapsed="false">
      <c r="A264" s="18"/>
      <c r="B264" s="18"/>
      <c r="C264" s="18"/>
      <c r="D264" s="18"/>
      <c r="E264" s="18"/>
    </row>
    <row r="265" customFormat="false" ht="15" hidden="false" customHeight="false" outlineLevel="0" collapsed="false">
      <c r="A265" s="18"/>
      <c r="B265" s="18"/>
      <c r="C265" s="18"/>
      <c r="D265" s="18"/>
      <c r="E265" s="18"/>
    </row>
    <row r="266" customFormat="false" ht="15" hidden="false" customHeight="false" outlineLevel="0" collapsed="false">
      <c r="A266" s="18"/>
      <c r="B266" s="18"/>
      <c r="C266" s="18"/>
      <c r="D266" s="18"/>
      <c r="E266" s="18"/>
    </row>
    <row r="267" customFormat="false" ht="15" hidden="false" customHeight="false" outlineLevel="0" collapsed="false">
      <c r="A267" s="18"/>
      <c r="B267" s="18"/>
      <c r="C267" s="18"/>
      <c r="D267" s="18"/>
      <c r="E267" s="18"/>
    </row>
    <row r="268" customFormat="false" ht="15" hidden="false" customHeight="false" outlineLevel="0" collapsed="false">
      <c r="A268" s="18"/>
      <c r="B268" s="18"/>
      <c r="C268" s="18"/>
      <c r="D268" s="18"/>
      <c r="E268" s="18"/>
    </row>
    <row r="269" customFormat="false" ht="15" hidden="false" customHeight="false" outlineLevel="0" collapsed="false">
      <c r="A269" s="18"/>
      <c r="B269" s="18"/>
      <c r="C269" s="18"/>
      <c r="D269" s="18"/>
      <c r="E269" s="18"/>
    </row>
    <row r="270" customFormat="false" ht="15" hidden="false" customHeight="false" outlineLevel="0" collapsed="false">
      <c r="A270" s="18"/>
      <c r="B270" s="18"/>
      <c r="C270" s="18"/>
      <c r="D270" s="18"/>
      <c r="E270" s="18"/>
    </row>
    <row r="271" customFormat="false" ht="15" hidden="false" customHeight="false" outlineLevel="0" collapsed="false">
      <c r="A271" s="18"/>
      <c r="B271" s="18"/>
      <c r="C271" s="18"/>
      <c r="D271" s="18"/>
      <c r="E271" s="18"/>
    </row>
    <row r="272" customFormat="false" ht="15" hidden="false" customHeight="false" outlineLevel="0" collapsed="false">
      <c r="A272" s="18"/>
      <c r="B272" s="18"/>
      <c r="C272" s="18"/>
      <c r="D272" s="18"/>
      <c r="E272" s="18"/>
    </row>
    <row r="273" customFormat="false" ht="15" hidden="false" customHeight="false" outlineLevel="0" collapsed="false">
      <c r="A273" s="18"/>
      <c r="B273" s="18"/>
      <c r="C273" s="18"/>
      <c r="D273" s="18"/>
      <c r="E273" s="18"/>
    </row>
    <row r="274" customFormat="false" ht="15" hidden="false" customHeight="false" outlineLevel="0" collapsed="false">
      <c r="A274" s="18"/>
      <c r="B274" s="18"/>
      <c r="C274" s="18"/>
      <c r="D274" s="18"/>
      <c r="E274" s="18"/>
    </row>
    <row r="275" customFormat="false" ht="15" hidden="false" customHeight="false" outlineLevel="0" collapsed="false">
      <c r="A275" s="18"/>
      <c r="B275" s="18"/>
      <c r="C275" s="18"/>
      <c r="D275" s="18"/>
      <c r="E275" s="18"/>
    </row>
    <row r="276" customFormat="false" ht="15" hidden="false" customHeight="false" outlineLevel="0" collapsed="false">
      <c r="A276" s="18"/>
      <c r="B276" s="18"/>
      <c r="C276" s="18"/>
      <c r="D276" s="18"/>
      <c r="E276" s="18"/>
    </row>
    <row r="277" customFormat="false" ht="15" hidden="false" customHeight="false" outlineLevel="0" collapsed="false">
      <c r="A277" s="18"/>
      <c r="B277" s="18"/>
      <c r="C277" s="18"/>
      <c r="D277" s="18"/>
      <c r="E277" s="18"/>
    </row>
    <row r="278" customFormat="false" ht="15" hidden="false" customHeight="false" outlineLevel="0" collapsed="false">
      <c r="A278" s="18"/>
      <c r="B278" s="18"/>
      <c r="C278" s="18"/>
      <c r="D278" s="18"/>
      <c r="E278" s="18"/>
    </row>
    <row r="279" customFormat="false" ht="15" hidden="false" customHeight="false" outlineLevel="0" collapsed="false">
      <c r="A279" s="18"/>
      <c r="B279" s="18"/>
      <c r="C279" s="18"/>
      <c r="D279" s="18"/>
      <c r="E279" s="18"/>
    </row>
    <row r="280" customFormat="false" ht="15" hidden="false" customHeight="false" outlineLevel="0" collapsed="false">
      <c r="A280" s="18"/>
      <c r="B280" s="18"/>
      <c r="C280" s="18"/>
      <c r="D280" s="18"/>
      <c r="E280" s="18"/>
    </row>
    <row r="281" customFormat="false" ht="15" hidden="false" customHeight="false" outlineLevel="0" collapsed="false">
      <c r="A281" s="18"/>
      <c r="B281" s="18"/>
      <c r="C281" s="18"/>
      <c r="D281" s="18"/>
      <c r="E281" s="18"/>
    </row>
    <row r="282" customFormat="false" ht="15" hidden="false" customHeight="false" outlineLevel="0" collapsed="false">
      <c r="A282" s="18"/>
      <c r="B282" s="18"/>
      <c r="C282" s="18"/>
      <c r="D282" s="18"/>
      <c r="E282" s="18"/>
    </row>
    <row r="283" customFormat="false" ht="15" hidden="false" customHeight="false" outlineLevel="0" collapsed="false">
      <c r="A283" s="18"/>
      <c r="B283" s="18"/>
      <c r="C283" s="18"/>
      <c r="D283" s="18"/>
      <c r="E283" s="18"/>
    </row>
    <row r="284" customFormat="false" ht="15" hidden="false" customHeight="false" outlineLevel="0" collapsed="false">
      <c r="A284" s="18"/>
      <c r="B284" s="18"/>
      <c r="C284" s="18"/>
      <c r="D284" s="18"/>
      <c r="E284" s="18"/>
    </row>
    <row r="285" customFormat="false" ht="15" hidden="false" customHeight="false" outlineLevel="0" collapsed="false">
      <c r="A285" s="18"/>
      <c r="B285" s="18"/>
      <c r="C285" s="18"/>
      <c r="D285" s="18"/>
      <c r="E285" s="18"/>
    </row>
    <row r="286" customFormat="false" ht="15" hidden="false" customHeight="false" outlineLevel="0" collapsed="false">
      <c r="A286" s="18"/>
      <c r="B286" s="18"/>
      <c r="C286" s="18"/>
      <c r="D286" s="18"/>
      <c r="E286" s="18"/>
    </row>
    <row r="287" customFormat="false" ht="15" hidden="false" customHeight="false" outlineLevel="0" collapsed="false">
      <c r="A287" s="18"/>
      <c r="B287" s="18"/>
      <c r="C287" s="18"/>
      <c r="D287" s="18"/>
      <c r="E287" s="18"/>
    </row>
    <row r="288" customFormat="false" ht="15" hidden="false" customHeight="false" outlineLevel="0" collapsed="false">
      <c r="A288" s="18"/>
      <c r="B288" s="18"/>
      <c r="C288" s="18"/>
      <c r="D288" s="18"/>
      <c r="E288" s="18"/>
    </row>
    <row r="289" customFormat="false" ht="15" hidden="false" customHeight="false" outlineLevel="0" collapsed="false">
      <c r="A289" s="18"/>
      <c r="B289" s="18"/>
      <c r="C289" s="18"/>
      <c r="D289" s="18"/>
      <c r="E289" s="18"/>
    </row>
    <row r="290" customFormat="false" ht="15" hidden="false" customHeight="false" outlineLevel="0" collapsed="false">
      <c r="A290" s="18"/>
      <c r="B290" s="18"/>
      <c r="C290" s="18"/>
      <c r="D290" s="18"/>
      <c r="E290" s="18"/>
    </row>
    <row r="291" customFormat="false" ht="15" hidden="false" customHeight="false" outlineLevel="0" collapsed="false">
      <c r="A291" s="18"/>
      <c r="B291" s="18"/>
      <c r="C291" s="18"/>
      <c r="D291" s="18"/>
      <c r="E291" s="18"/>
    </row>
    <row r="292" customFormat="false" ht="15" hidden="false" customHeight="false" outlineLevel="0" collapsed="false">
      <c r="A292" s="18"/>
      <c r="B292" s="18"/>
      <c r="C292" s="18"/>
      <c r="D292" s="18"/>
      <c r="E292" s="18"/>
    </row>
    <row r="293" customFormat="false" ht="15" hidden="false" customHeight="false" outlineLevel="0" collapsed="false">
      <c r="A293" s="18"/>
      <c r="B293" s="18"/>
      <c r="C293" s="18"/>
      <c r="D293" s="18"/>
      <c r="E293" s="18"/>
    </row>
    <row r="294" customFormat="false" ht="15" hidden="false" customHeight="false" outlineLevel="0" collapsed="false">
      <c r="A294" s="18"/>
      <c r="B294" s="18"/>
      <c r="C294" s="18"/>
      <c r="D294" s="18"/>
      <c r="E294" s="18"/>
    </row>
    <row r="295" customFormat="false" ht="15" hidden="false" customHeight="false" outlineLevel="0" collapsed="false">
      <c r="A295" s="18"/>
      <c r="B295" s="18"/>
      <c r="C295" s="18"/>
      <c r="D295" s="18"/>
      <c r="E295" s="18"/>
    </row>
    <row r="296" customFormat="false" ht="15" hidden="false" customHeight="false" outlineLevel="0" collapsed="false">
      <c r="A296" s="18"/>
      <c r="B296" s="18"/>
      <c r="C296" s="18"/>
      <c r="D296" s="18"/>
      <c r="E296" s="18"/>
    </row>
    <row r="297" customFormat="false" ht="15" hidden="false" customHeight="false" outlineLevel="0" collapsed="false">
      <c r="A297" s="18"/>
      <c r="B297" s="18"/>
      <c r="C297" s="18"/>
      <c r="D297" s="18"/>
      <c r="E297" s="18"/>
    </row>
    <row r="298" customFormat="false" ht="15" hidden="false" customHeight="false" outlineLevel="0" collapsed="false">
      <c r="A298" s="18"/>
      <c r="B298" s="18"/>
      <c r="C298" s="18"/>
      <c r="D298" s="18"/>
      <c r="E298" s="18"/>
    </row>
    <row r="299" customFormat="false" ht="15" hidden="false" customHeight="false" outlineLevel="0" collapsed="false">
      <c r="A299" s="18"/>
      <c r="B299" s="18"/>
      <c r="C299" s="18"/>
      <c r="D299" s="18"/>
      <c r="E299" s="18"/>
    </row>
    <row r="300" customFormat="false" ht="15" hidden="false" customHeight="false" outlineLevel="0" collapsed="false">
      <c r="A300" s="18"/>
      <c r="B300" s="18"/>
      <c r="C300" s="18"/>
      <c r="D300" s="18"/>
      <c r="E300" s="18"/>
    </row>
    <row r="301" customFormat="false" ht="15" hidden="false" customHeight="false" outlineLevel="0" collapsed="false">
      <c r="A301" s="18"/>
      <c r="B301" s="18"/>
      <c r="C301" s="18"/>
      <c r="D301" s="18"/>
      <c r="E301" s="18"/>
    </row>
    <row r="302" customFormat="false" ht="15" hidden="false" customHeight="false" outlineLevel="0" collapsed="false">
      <c r="A302" s="18"/>
      <c r="B302" s="18"/>
      <c r="C302" s="18"/>
      <c r="D302" s="18"/>
      <c r="E302" s="18"/>
    </row>
    <row r="303" customFormat="false" ht="15" hidden="false" customHeight="false" outlineLevel="0" collapsed="false">
      <c r="A303" s="18"/>
      <c r="B303" s="18"/>
      <c r="C303" s="18"/>
      <c r="D303" s="18"/>
      <c r="E303" s="18"/>
    </row>
    <row r="304" customFormat="false" ht="15" hidden="false" customHeight="false" outlineLevel="0" collapsed="false">
      <c r="A304" s="18"/>
      <c r="B304" s="18"/>
      <c r="C304" s="18"/>
      <c r="D304" s="18"/>
      <c r="E304" s="18"/>
    </row>
    <row r="305" customFormat="false" ht="15" hidden="false" customHeight="false" outlineLevel="0" collapsed="false">
      <c r="A305" s="18"/>
      <c r="B305" s="18"/>
      <c r="C305" s="18"/>
      <c r="D305" s="18"/>
      <c r="E305" s="18"/>
    </row>
    <row r="306" customFormat="false" ht="15" hidden="false" customHeight="false" outlineLevel="0" collapsed="false">
      <c r="A306" s="18"/>
      <c r="B306" s="18"/>
      <c r="C306" s="18"/>
      <c r="D306" s="18"/>
      <c r="E306" s="18"/>
    </row>
    <row r="307" customFormat="false" ht="15" hidden="false" customHeight="false" outlineLevel="0" collapsed="false">
      <c r="A307" s="18"/>
      <c r="B307" s="18"/>
      <c r="C307" s="18"/>
      <c r="D307" s="18"/>
      <c r="E307" s="18"/>
    </row>
    <row r="308" customFormat="false" ht="15" hidden="false" customHeight="false" outlineLevel="0" collapsed="false">
      <c r="A308" s="18"/>
      <c r="B308" s="18"/>
      <c r="C308" s="18"/>
      <c r="D308" s="18"/>
      <c r="E308" s="18"/>
    </row>
    <row r="309" customFormat="false" ht="15" hidden="false" customHeight="false" outlineLevel="0" collapsed="false">
      <c r="A309" s="18"/>
      <c r="B309" s="18"/>
      <c r="C309" s="18"/>
      <c r="D309" s="18"/>
      <c r="E309" s="18"/>
    </row>
    <row r="310" customFormat="false" ht="15" hidden="false" customHeight="false" outlineLevel="0" collapsed="false">
      <c r="A310" s="18"/>
      <c r="B310" s="18"/>
      <c r="C310" s="18"/>
      <c r="D310" s="18"/>
      <c r="E310" s="18"/>
    </row>
    <row r="311" customFormat="false" ht="15" hidden="false" customHeight="false" outlineLevel="0" collapsed="false">
      <c r="A311" s="18"/>
      <c r="B311" s="18"/>
      <c r="C311" s="18"/>
      <c r="D311" s="18"/>
      <c r="E311" s="18"/>
    </row>
    <row r="312" customFormat="false" ht="15" hidden="false" customHeight="false" outlineLevel="0" collapsed="false">
      <c r="A312" s="18"/>
      <c r="B312" s="18"/>
      <c r="C312" s="18"/>
      <c r="D312" s="18"/>
      <c r="E312" s="18"/>
    </row>
    <row r="313" customFormat="false" ht="15" hidden="false" customHeight="false" outlineLevel="0" collapsed="false">
      <c r="A313" s="18"/>
      <c r="B313" s="18"/>
      <c r="C313" s="18"/>
      <c r="D313" s="18"/>
      <c r="E313" s="18"/>
    </row>
    <row r="314" customFormat="false" ht="15" hidden="false" customHeight="false" outlineLevel="0" collapsed="false">
      <c r="A314" s="18"/>
      <c r="B314" s="18"/>
      <c r="C314" s="18"/>
      <c r="D314" s="18"/>
      <c r="E314" s="18"/>
    </row>
    <row r="315" customFormat="false" ht="15" hidden="false" customHeight="false" outlineLevel="0" collapsed="false">
      <c r="A315" s="18"/>
      <c r="B315" s="18"/>
      <c r="C315" s="18"/>
      <c r="D315" s="18"/>
      <c r="E315" s="18"/>
    </row>
    <row r="316" customFormat="false" ht="15" hidden="false" customHeight="false" outlineLevel="0" collapsed="false">
      <c r="A316" s="18"/>
      <c r="B316" s="18"/>
      <c r="C316" s="18"/>
      <c r="D316" s="18"/>
      <c r="E316" s="18"/>
    </row>
    <row r="317" customFormat="false" ht="15" hidden="false" customHeight="false" outlineLevel="0" collapsed="false">
      <c r="A317" s="18"/>
      <c r="B317" s="18"/>
      <c r="C317" s="18"/>
      <c r="D317" s="18"/>
      <c r="E317" s="18"/>
    </row>
    <row r="318" customFormat="false" ht="15" hidden="false" customHeight="false" outlineLevel="0" collapsed="false">
      <c r="A318" s="18"/>
      <c r="B318" s="18"/>
      <c r="C318" s="18"/>
      <c r="D318" s="18"/>
      <c r="E318" s="18"/>
    </row>
    <row r="319" customFormat="false" ht="15" hidden="false" customHeight="false" outlineLevel="0" collapsed="false">
      <c r="A319" s="18"/>
      <c r="B319" s="18"/>
      <c r="C319" s="18"/>
      <c r="D319" s="18"/>
      <c r="E319" s="18"/>
    </row>
    <row r="320" customFormat="false" ht="15" hidden="false" customHeight="false" outlineLevel="0" collapsed="false">
      <c r="A320" s="18"/>
      <c r="B320" s="18"/>
      <c r="C320" s="18"/>
      <c r="D320" s="18"/>
      <c r="E320" s="18"/>
    </row>
    <row r="321" customFormat="false" ht="15" hidden="false" customHeight="false" outlineLevel="0" collapsed="false">
      <c r="A321" s="18"/>
      <c r="B321" s="18"/>
      <c r="C321" s="18"/>
      <c r="D321" s="18"/>
      <c r="E321" s="18"/>
    </row>
    <row r="322" customFormat="false" ht="15" hidden="false" customHeight="false" outlineLevel="0" collapsed="false">
      <c r="A322" s="18"/>
      <c r="B322" s="18"/>
      <c r="C322" s="18"/>
      <c r="D322" s="18"/>
      <c r="E322" s="18"/>
    </row>
    <row r="323" customFormat="false" ht="15" hidden="false" customHeight="false" outlineLevel="0" collapsed="false">
      <c r="A323" s="18"/>
      <c r="B323" s="18"/>
      <c r="C323" s="18"/>
      <c r="D323" s="18"/>
      <c r="E323" s="18"/>
    </row>
    <row r="324" customFormat="false" ht="15" hidden="false" customHeight="false" outlineLevel="0" collapsed="false">
      <c r="A324" s="18"/>
      <c r="B324" s="18"/>
      <c r="C324" s="18"/>
      <c r="D324" s="18"/>
      <c r="E324" s="18"/>
    </row>
    <row r="325" customFormat="false" ht="15" hidden="false" customHeight="false" outlineLevel="0" collapsed="false">
      <c r="A325" s="18"/>
      <c r="B325" s="18"/>
      <c r="C325" s="18"/>
      <c r="D325" s="18"/>
      <c r="E325" s="18"/>
    </row>
    <row r="326" customFormat="false" ht="15" hidden="false" customHeight="false" outlineLevel="0" collapsed="false">
      <c r="A326" s="18"/>
      <c r="B326" s="18"/>
      <c r="C326" s="18"/>
      <c r="D326" s="18"/>
      <c r="E326" s="18"/>
    </row>
    <row r="327" customFormat="false" ht="15" hidden="false" customHeight="false" outlineLevel="0" collapsed="false">
      <c r="A327" s="18"/>
      <c r="B327" s="18"/>
      <c r="C327" s="18"/>
      <c r="D327" s="18"/>
      <c r="E327" s="18"/>
    </row>
    <row r="328" customFormat="false" ht="15" hidden="false" customHeight="false" outlineLevel="0" collapsed="false">
      <c r="A328" s="18"/>
      <c r="B328" s="18"/>
      <c r="C328" s="18"/>
      <c r="D328" s="18"/>
      <c r="E328" s="18"/>
    </row>
    <row r="329" customFormat="false" ht="15" hidden="false" customHeight="false" outlineLevel="0" collapsed="false">
      <c r="A329" s="18"/>
      <c r="B329" s="18"/>
      <c r="C329" s="18"/>
      <c r="D329" s="18"/>
      <c r="E329" s="18"/>
    </row>
    <row r="330" customFormat="false" ht="15" hidden="false" customHeight="false" outlineLevel="0" collapsed="false">
      <c r="A330" s="18"/>
      <c r="B330" s="18"/>
      <c r="C330" s="18"/>
      <c r="D330" s="18"/>
      <c r="E330" s="18"/>
    </row>
    <row r="331" customFormat="false" ht="15" hidden="false" customHeight="false" outlineLevel="0" collapsed="false">
      <c r="A331" s="18"/>
      <c r="B331" s="18"/>
      <c r="C331" s="18"/>
      <c r="D331" s="18"/>
      <c r="E331" s="18"/>
    </row>
    <row r="332" customFormat="false" ht="15" hidden="false" customHeight="false" outlineLevel="0" collapsed="false">
      <c r="A332" s="18"/>
      <c r="B332" s="18"/>
      <c r="C332" s="18"/>
      <c r="D332" s="18"/>
      <c r="E332" s="18"/>
    </row>
    <row r="333" customFormat="false" ht="15" hidden="false" customHeight="false" outlineLevel="0" collapsed="false">
      <c r="A333" s="18"/>
      <c r="B333" s="18"/>
      <c r="C333" s="18"/>
      <c r="D333" s="18"/>
      <c r="E333" s="18"/>
    </row>
    <row r="334" customFormat="false" ht="15" hidden="false" customHeight="false" outlineLevel="0" collapsed="false">
      <c r="A334" s="18"/>
      <c r="B334" s="18"/>
      <c r="C334" s="18"/>
      <c r="D334" s="18"/>
      <c r="E334" s="18"/>
    </row>
    <row r="335" customFormat="false" ht="15" hidden="false" customHeight="false" outlineLevel="0" collapsed="false">
      <c r="A335" s="18"/>
      <c r="B335" s="18"/>
      <c r="C335" s="18"/>
      <c r="D335" s="18"/>
      <c r="E335" s="18"/>
    </row>
    <row r="336" customFormat="false" ht="15" hidden="false" customHeight="false" outlineLevel="0" collapsed="false">
      <c r="A336" s="18"/>
      <c r="B336" s="18"/>
      <c r="C336" s="18"/>
      <c r="D336" s="18"/>
      <c r="E336" s="18"/>
    </row>
    <row r="337" customFormat="false" ht="15" hidden="false" customHeight="false" outlineLevel="0" collapsed="false">
      <c r="A337" s="18"/>
      <c r="B337" s="18"/>
      <c r="C337" s="18"/>
      <c r="D337" s="18"/>
      <c r="E337" s="18"/>
    </row>
    <row r="338" customFormat="false" ht="15" hidden="false" customHeight="false" outlineLevel="0" collapsed="false">
      <c r="A338" s="18"/>
      <c r="B338" s="18"/>
      <c r="C338" s="18"/>
      <c r="D338" s="18"/>
      <c r="E338" s="18"/>
    </row>
    <row r="339" customFormat="false" ht="15" hidden="false" customHeight="false" outlineLevel="0" collapsed="false">
      <c r="A339" s="18"/>
      <c r="B339" s="18"/>
      <c r="C339" s="18"/>
      <c r="D339" s="18"/>
      <c r="E339" s="18"/>
    </row>
    <row r="340" customFormat="false" ht="15" hidden="false" customHeight="false" outlineLevel="0" collapsed="false">
      <c r="A340" s="18"/>
      <c r="B340" s="18"/>
      <c r="C340" s="18"/>
      <c r="D340" s="18"/>
      <c r="E340" s="18"/>
    </row>
    <row r="341" customFormat="false" ht="15" hidden="false" customHeight="false" outlineLevel="0" collapsed="false">
      <c r="A341" s="18"/>
      <c r="B341" s="18"/>
      <c r="C341" s="18"/>
      <c r="D341" s="18"/>
      <c r="E341" s="18"/>
    </row>
    <row r="342" customFormat="false" ht="15" hidden="false" customHeight="false" outlineLevel="0" collapsed="false">
      <c r="A342" s="18"/>
      <c r="B342" s="18"/>
      <c r="C342" s="18"/>
      <c r="D342" s="18"/>
      <c r="E342" s="18"/>
    </row>
    <row r="343" customFormat="false" ht="15" hidden="false" customHeight="false" outlineLevel="0" collapsed="false">
      <c r="A343" s="18"/>
      <c r="B343" s="18"/>
      <c r="C343" s="18"/>
      <c r="D343" s="18"/>
      <c r="E343" s="18"/>
    </row>
    <row r="344" customFormat="false" ht="15" hidden="false" customHeight="false" outlineLevel="0" collapsed="false">
      <c r="A344" s="18"/>
      <c r="B344" s="18"/>
      <c r="C344" s="18"/>
      <c r="D344" s="18"/>
      <c r="E344" s="18"/>
    </row>
    <row r="345" customFormat="false" ht="15" hidden="false" customHeight="false" outlineLevel="0" collapsed="false">
      <c r="A345" s="18"/>
      <c r="B345" s="18"/>
      <c r="C345" s="18"/>
      <c r="D345" s="18"/>
      <c r="E345" s="18"/>
    </row>
    <row r="346" customFormat="false" ht="15" hidden="false" customHeight="false" outlineLevel="0" collapsed="false">
      <c r="A346" s="18"/>
      <c r="B346" s="18"/>
      <c r="C346" s="18"/>
      <c r="D346" s="18"/>
      <c r="E346" s="18"/>
    </row>
    <row r="347" customFormat="false" ht="15" hidden="false" customHeight="false" outlineLevel="0" collapsed="false">
      <c r="A347" s="18"/>
      <c r="B347" s="18"/>
      <c r="C347" s="18"/>
      <c r="D347" s="18"/>
      <c r="E347" s="18"/>
    </row>
    <row r="348" customFormat="false" ht="15" hidden="false" customHeight="false" outlineLevel="0" collapsed="false">
      <c r="A348" s="18"/>
      <c r="B348" s="18"/>
      <c r="C348" s="18"/>
      <c r="D348" s="18"/>
      <c r="E348" s="18"/>
    </row>
    <row r="349" customFormat="false" ht="15" hidden="false" customHeight="false" outlineLevel="0" collapsed="false">
      <c r="A349" s="18"/>
      <c r="B349" s="18"/>
      <c r="C349" s="18"/>
      <c r="D349" s="18"/>
      <c r="E349" s="18"/>
    </row>
    <row r="350" customFormat="false" ht="15" hidden="false" customHeight="false" outlineLevel="0" collapsed="false">
      <c r="A350" s="18"/>
      <c r="B350" s="18"/>
      <c r="C350" s="18"/>
      <c r="D350" s="18"/>
      <c r="E350" s="18"/>
    </row>
    <row r="351" customFormat="false" ht="15" hidden="false" customHeight="false" outlineLevel="0" collapsed="false">
      <c r="A351" s="18"/>
      <c r="B351" s="18"/>
      <c r="C351" s="18"/>
      <c r="D351" s="18"/>
      <c r="E351" s="18"/>
    </row>
    <row r="352" customFormat="false" ht="15" hidden="false" customHeight="false" outlineLevel="0" collapsed="false">
      <c r="A352" s="18"/>
      <c r="B352" s="18"/>
      <c r="C352" s="18"/>
      <c r="D352" s="18"/>
      <c r="E352" s="18"/>
    </row>
    <row r="353" customFormat="false" ht="15" hidden="false" customHeight="false" outlineLevel="0" collapsed="false">
      <c r="A353" s="18"/>
      <c r="B353" s="18"/>
      <c r="C353" s="18"/>
      <c r="D353" s="18"/>
      <c r="E353" s="18"/>
    </row>
    <row r="354" customFormat="false" ht="15" hidden="false" customHeight="false" outlineLevel="0" collapsed="false">
      <c r="A354" s="18"/>
      <c r="B354" s="18"/>
      <c r="C354" s="18"/>
      <c r="D354" s="18"/>
      <c r="E354" s="18"/>
    </row>
    <row r="355" customFormat="false" ht="15" hidden="false" customHeight="false" outlineLevel="0" collapsed="false">
      <c r="A355" s="18"/>
      <c r="B355" s="18"/>
      <c r="C355" s="18"/>
      <c r="D355" s="18"/>
      <c r="E355" s="18"/>
    </row>
    <row r="356" customFormat="false" ht="15" hidden="false" customHeight="false" outlineLevel="0" collapsed="false">
      <c r="A356" s="18"/>
      <c r="B356" s="18"/>
      <c r="C356" s="18"/>
      <c r="D356" s="18"/>
      <c r="E356" s="18"/>
    </row>
    <row r="357" customFormat="false" ht="15" hidden="false" customHeight="false" outlineLevel="0" collapsed="false">
      <c r="A357" s="18"/>
      <c r="B357" s="18"/>
      <c r="C357" s="18"/>
      <c r="D357" s="18"/>
      <c r="E357" s="18"/>
    </row>
    <row r="358" customFormat="false" ht="15" hidden="false" customHeight="false" outlineLevel="0" collapsed="false">
      <c r="A358" s="18"/>
      <c r="B358" s="18"/>
      <c r="C358" s="18"/>
      <c r="D358" s="18"/>
      <c r="E358" s="18"/>
    </row>
    <row r="359" customFormat="false" ht="15" hidden="false" customHeight="false" outlineLevel="0" collapsed="false">
      <c r="A359" s="18"/>
      <c r="B359" s="18"/>
      <c r="C359" s="18"/>
      <c r="D359" s="18"/>
      <c r="E359" s="18"/>
    </row>
    <row r="360" customFormat="false" ht="15" hidden="false" customHeight="false" outlineLevel="0" collapsed="false">
      <c r="A360" s="18"/>
      <c r="B360" s="18"/>
      <c r="C360" s="18"/>
      <c r="D360" s="18"/>
      <c r="E360" s="18"/>
    </row>
    <row r="361" customFormat="false" ht="15" hidden="false" customHeight="false" outlineLevel="0" collapsed="false">
      <c r="A361" s="18"/>
      <c r="B361" s="18"/>
      <c r="C361" s="18"/>
      <c r="D361" s="18"/>
      <c r="E361" s="18"/>
    </row>
    <row r="362" customFormat="false" ht="15" hidden="false" customHeight="false" outlineLevel="0" collapsed="false">
      <c r="A362" s="18"/>
      <c r="B362" s="18"/>
      <c r="C362" s="18"/>
      <c r="D362" s="18"/>
      <c r="E362" s="18"/>
    </row>
    <row r="363" customFormat="false" ht="15" hidden="false" customHeight="false" outlineLevel="0" collapsed="false">
      <c r="A363" s="18"/>
      <c r="B363" s="18"/>
      <c r="C363" s="18"/>
      <c r="D363" s="18"/>
      <c r="E363" s="18"/>
    </row>
    <row r="364" customFormat="false" ht="15" hidden="false" customHeight="false" outlineLevel="0" collapsed="false">
      <c r="A364" s="18"/>
      <c r="B364" s="18"/>
      <c r="C364" s="18"/>
      <c r="D364" s="18"/>
      <c r="E364" s="18"/>
    </row>
    <row r="365" customFormat="false" ht="15" hidden="false" customHeight="false" outlineLevel="0" collapsed="false">
      <c r="A365" s="18"/>
      <c r="B365" s="18"/>
      <c r="C365" s="18"/>
      <c r="D365" s="18"/>
      <c r="E365" s="18"/>
    </row>
    <row r="366" customFormat="false" ht="15" hidden="false" customHeight="false" outlineLevel="0" collapsed="false">
      <c r="A366" s="18"/>
      <c r="B366" s="18"/>
      <c r="C366" s="18"/>
      <c r="D366" s="18"/>
      <c r="E366" s="18"/>
    </row>
    <row r="367" customFormat="false" ht="15" hidden="false" customHeight="false" outlineLevel="0" collapsed="false">
      <c r="A367" s="18"/>
      <c r="B367" s="18"/>
      <c r="C367" s="18"/>
      <c r="D367" s="18"/>
      <c r="E367" s="18"/>
    </row>
    <row r="368" customFormat="false" ht="15" hidden="false" customHeight="false" outlineLevel="0" collapsed="false">
      <c r="A368" s="18"/>
      <c r="B368" s="18"/>
      <c r="C368" s="18"/>
      <c r="D368" s="18"/>
      <c r="E368" s="18"/>
    </row>
    <row r="369" customFormat="false" ht="15" hidden="false" customHeight="false" outlineLevel="0" collapsed="false">
      <c r="A369" s="18"/>
      <c r="B369" s="18"/>
      <c r="C369" s="18"/>
      <c r="D369" s="18"/>
      <c r="E369" s="18"/>
    </row>
    <row r="370" customFormat="false" ht="15" hidden="false" customHeight="false" outlineLevel="0" collapsed="false">
      <c r="A370" s="18"/>
      <c r="B370" s="18"/>
      <c r="C370" s="18"/>
      <c r="D370" s="18"/>
      <c r="E370" s="18"/>
    </row>
    <row r="371" customFormat="false" ht="15" hidden="false" customHeight="false" outlineLevel="0" collapsed="false">
      <c r="A371" s="18"/>
      <c r="B371" s="18"/>
      <c r="C371" s="18"/>
      <c r="D371" s="18"/>
      <c r="E371" s="18"/>
    </row>
    <row r="372" customFormat="false" ht="15" hidden="false" customHeight="false" outlineLevel="0" collapsed="false">
      <c r="A372" s="18"/>
      <c r="B372" s="18"/>
      <c r="C372" s="18"/>
      <c r="D372" s="18"/>
      <c r="E372" s="18"/>
    </row>
    <row r="373" customFormat="false" ht="15" hidden="false" customHeight="false" outlineLevel="0" collapsed="false">
      <c r="A373" s="18"/>
      <c r="B373" s="18"/>
      <c r="C373" s="18"/>
      <c r="D373" s="18"/>
      <c r="E373" s="18"/>
    </row>
    <row r="374" customFormat="false" ht="15" hidden="false" customHeight="false" outlineLevel="0" collapsed="false">
      <c r="A374" s="18"/>
      <c r="B374" s="18"/>
      <c r="C374" s="18"/>
      <c r="D374" s="18"/>
      <c r="E374" s="18"/>
    </row>
    <row r="375" customFormat="false" ht="15" hidden="false" customHeight="false" outlineLevel="0" collapsed="false">
      <c r="A375" s="18"/>
      <c r="B375" s="18"/>
      <c r="C375" s="18"/>
      <c r="D375" s="18"/>
      <c r="E375" s="18"/>
    </row>
    <row r="376" customFormat="false" ht="15" hidden="false" customHeight="false" outlineLevel="0" collapsed="false">
      <c r="A376" s="18"/>
      <c r="B376" s="18"/>
      <c r="C376" s="18"/>
      <c r="D376" s="18"/>
      <c r="E376" s="18"/>
    </row>
    <row r="377" customFormat="false" ht="15" hidden="false" customHeight="false" outlineLevel="0" collapsed="false">
      <c r="A377" s="18"/>
      <c r="B377" s="18"/>
      <c r="C377" s="18"/>
      <c r="D377" s="18"/>
      <c r="E377" s="18"/>
    </row>
    <row r="378" customFormat="false" ht="15" hidden="false" customHeight="false" outlineLevel="0" collapsed="false">
      <c r="A378" s="18"/>
      <c r="B378" s="18"/>
      <c r="C378" s="18"/>
      <c r="D378" s="18"/>
      <c r="E378" s="18"/>
    </row>
    <row r="379" customFormat="false" ht="15" hidden="false" customHeight="false" outlineLevel="0" collapsed="false">
      <c r="A379" s="18"/>
      <c r="B379" s="18"/>
      <c r="C379" s="18"/>
      <c r="D379" s="18"/>
      <c r="E379" s="18"/>
    </row>
    <row r="380" customFormat="false" ht="15" hidden="false" customHeight="false" outlineLevel="0" collapsed="false">
      <c r="A380" s="18"/>
      <c r="B380" s="18"/>
      <c r="C380" s="18"/>
      <c r="D380" s="18"/>
      <c r="E380" s="18"/>
    </row>
    <row r="381" customFormat="false" ht="15" hidden="false" customHeight="false" outlineLevel="0" collapsed="false">
      <c r="A381" s="18"/>
      <c r="B381" s="18"/>
      <c r="C381" s="18"/>
      <c r="D381" s="18"/>
      <c r="E381" s="18"/>
    </row>
    <row r="382" customFormat="false" ht="15" hidden="false" customHeight="false" outlineLevel="0" collapsed="false">
      <c r="A382" s="18"/>
      <c r="B382" s="18"/>
      <c r="C382" s="18"/>
      <c r="D382" s="18"/>
      <c r="E382" s="18"/>
    </row>
    <row r="383" customFormat="false" ht="15" hidden="false" customHeight="false" outlineLevel="0" collapsed="false">
      <c r="A383" s="18"/>
      <c r="B383" s="18"/>
      <c r="C383" s="18"/>
      <c r="D383" s="18"/>
      <c r="E383" s="18"/>
    </row>
    <row r="384" customFormat="false" ht="15" hidden="false" customHeight="false" outlineLevel="0" collapsed="false">
      <c r="A384" s="18"/>
      <c r="B384" s="18"/>
      <c r="C384" s="18"/>
      <c r="D384" s="18"/>
      <c r="E384" s="18"/>
    </row>
    <row r="385" customFormat="false" ht="15" hidden="false" customHeight="false" outlineLevel="0" collapsed="false">
      <c r="A385" s="18"/>
      <c r="B385" s="18"/>
      <c r="C385" s="18"/>
      <c r="D385" s="18"/>
      <c r="E385" s="18"/>
    </row>
    <row r="386" customFormat="false" ht="15" hidden="false" customHeight="false" outlineLevel="0" collapsed="false">
      <c r="A386" s="18"/>
      <c r="B386" s="18"/>
      <c r="C386" s="18"/>
      <c r="D386" s="18"/>
      <c r="E386" s="18"/>
    </row>
    <row r="387" customFormat="false" ht="15" hidden="false" customHeight="false" outlineLevel="0" collapsed="false">
      <c r="A387" s="18"/>
      <c r="B387" s="18"/>
      <c r="C387" s="18"/>
      <c r="D387" s="18"/>
      <c r="E387" s="18"/>
    </row>
    <row r="388" customFormat="false" ht="15" hidden="false" customHeight="false" outlineLevel="0" collapsed="false">
      <c r="A388" s="18"/>
      <c r="B388" s="18"/>
      <c r="C388" s="18"/>
      <c r="D388" s="18"/>
      <c r="E388" s="18"/>
    </row>
    <row r="389" customFormat="false" ht="15" hidden="false" customHeight="false" outlineLevel="0" collapsed="false">
      <c r="A389" s="18"/>
      <c r="B389" s="18"/>
      <c r="C389" s="18"/>
      <c r="D389" s="18"/>
      <c r="E389" s="18"/>
    </row>
    <row r="390" customFormat="false" ht="15" hidden="false" customHeight="false" outlineLevel="0" collapsed="false">
      <c r="A390" s="18"/>
      <c r="B390" s="18"/>
      <c r="C390" s="18"/>
      <c r="D390" s="18"/>
      <c r="E390" s="18"/>
    </row>
    <row r="391" customFormat="false" ht="15" hidden="false" customHeight="false" outlineLevel="0" collapsed="false">
      <c r="A391" s="18"/>
      <c r="B391" s="18"/>
      <c r="C391" s="18"/>
      <c r="D391" s="18"/>
      <c r="E391" s="18"/>
    </row>
    <row r="392" customFormat="false" ht="15" hidden="false" customHeight="false" outlineLevel="0" collapsed="false">
      <c r="A392" s="18"/>
      <c r="B392" s="18"/>
      <c r="C392" s="18"/>
      <c r="D392" s="18"/>
      <c r="E392" s="18"/>
    </row>
    <row r="393" customFormat="false" ht="15" hidden="false" customHeight="false" outlineLevel="0" collapsed="false">
      <c r="A393" s="18"/>
      <c r="B393" s="18"/>
      <c r="C393" s="18"/>
      <c r="D393" s="18"/>
      <c r="E393" s="18"/>
    </row>
    <row r="394" customFormat="false" ht="15" hidden="false" customHeight="false" outlineLevel="0" collapsed="false">
      <c r="A394" s="18"/>
      <c r="B394" s="18"/>
      <c r="C394" s="18"/>
      <c r="D394" s="18"/>
      <c r="E394" s="18"/>
    </row>
    <row r="395" customFormat="false" ht="15" hidden="false" customHeight="false" outlineLevel="0" collapsed="false">
      <c r="A395" s="18"/>
      <c r="B395" s="18"/>
      <c r="C395" s="18"/>
      <c r="D395" s="18"/>
      <c r="E395" s="18"/>
    </row>
    <row r="396" customFormat="false" ht="15" hidden="false" customHeight="false" outlineLevel="0" collapsed="false">
      <c r="A396" s="18"/>
      <c r="B396" s="18"/>
      <c r="C396" s="18"/>
      <c r="D396" s="18"/>
      <c r="E396" s="18"/>
    </row>
    <row r="397" customFormat="false" ht="15" hidden="false" customHeight="false" outlineLevel="0" collapsed="false">
      <c r="A397" s="18"/>
      <c r="B397" s="18"/>
      <c r="C397" s="18"/>
      <c r="D397" s="18"/>
      <c r="E397" s="18"/>
    </row>
    <row r="398" customFormat="false" ht="15" hidden="false" customHeight="false" outlineLevel="0" collapsed="false">
      <c r="A398" s="18"/>
      <c r="B398" s="18"/>
      <c r="C398" s="18"/>
      <c r="D398" s="18"/>
      <c r="E398" s="18"/>
    </row>
    <row r="399" customFormat="false" ht="15" hidden="false" customHeight="false" outlineLevel="0" collapsed="false">
      <c r="A399" s="18"/>
      <c r="B399" s="18"/>
      <c r="C399" s="18"/>
      <c r="D399" s="18"/>
      <c r="E399" s="18"/>
    </row>
    <row r="400" customFormat="false" ht="15" hidden="false" customHeight="false" outlineLevel="0" collapsed="false">
      <c r="A400" s="18"/>
      <c r="B400" s="18"/>
      <c r="C400" s="18"/>
      <c r="D400" s="18"/>
      <c r="E400" s="18"/>
    </row>
    <row r="401" customFormat="false" ht="15" hidden="false" customHeight="false" outlineLevel="0" collapsed="false">
      <c r="A401" s="18"/>
      <c r="B401" s="18"/>
      <c r="C401" s="18"/>
      <c r="D401" s="18"/>
      <c r="E401" s="18"/>
    </row>
    <row r="402" customFormat="false" ht="15" hidden="false" customHeight="false" outlineLevel="0" collapsed="false">
      <c r="A402" s="18"/>
      <c r="B402" s="18"/>
      <c r="C402" s="18"/>
      <c r="D402" s="18"/>
      <c r="E402" s="18"/>
    </row>
    <row r="403" customFormat="false" ht="15" hidden="false" customHeight="false" outlineLevel="0" collapsed="false">
      <c r="A403" s="18"/>
      <c r="B403" s="18"/>
      <c r="C403" s="18"/>
      <c r="D403" s="18"/>
      <c r="E403" s="18"/>
    </row>
    <row r="404" customFormat="false" ht="15" hidden="false" customHeight="false" outlineLevel="0" collapsed="false">
      <c r="A404" s="18"/>
      <c r="B404" s="18"/>
      <c r="C404" s="18"/>
      <c r="D404" s="18"/>
      <c r="E404" s="18"/>
    </row>
    <row r="405" customFormat="false" ht="15" hidden="false" customHeight="false" outlineLevel="0" collapsed="false">
      <c r="A405" s="18"/>
      <c r="B405" s="18"/>
      <c r="C405" s="18"/>
      <c r="D405" s="18"/>
      <c r="E405" s="18"/>
    </row>
    <row r="406" customFormat="false" ht="15" hidden="false" customHeight="false" outlineLevel="0" collapsed="false">
      <c r="A406" s="18"/>
      <c r="B406" s="18"/>
      <c r="C406" s="18"/>
      <c r="D406" s="18"/>
      <c r="E406" s="18"/>
    </row>
    <row r="407" customFormat="false" ht="15" hidden="false" customHeight="false" outlineLevel="0" collapsed="false">
      <c r="A407" s="18"/>
      <c r="B407" s="18"/>
      <c r="C407" s="18"/>
      <c r="D407" s="18"/>
      <c r="E407" s="18"/>
    </row>
    <row r="408" customFormat="false" ht="15" hidden="false" customHeight="false" outlineLevel="0" collapsed="false">
      <c r="A408" s="18"/>
      <c r="B408" s="18"/>
      <c r="C408" s="18"/>
      <c r="D408" s="18"/>
      <c r="E408" s="18"/>
    </row>
    <row r="409" customFormat="false" ht="15" hidden="false" customHeight="false" outlineLevel="0" collapsed="false">
      <c r="A409" s="18"/>
      <c r="B409" s="18"/>
      <c r="C409" s="18"/>
      <c r="D409" s="18"/>
      <c r="E409" s="18"/>
    </row>
    <row r="410" customFormat="false" ht="15" hidden="false" customHeight="false" outlineLevel="0" collapsed="false">
      <c r="A410" s="18"/>
      <c r="B410" s="18"/>
      <c r="C410" s="18"/>
      <c r="D410" s="18"/>
      <c r="E410" s="18"/>
    </row>
    <row r="411" customFormat="false" ht="15" hidden="false" customHeight="false" outlineLevel="0" collapsed="false">
      <c r="A411" s="18"/>
      <c r="B411" s="18"/>
      <c r="C411" s="18"/>
      <c r="D411" s="18"/>
      <c r="E411" s="18"/>
    </row>
    <row r="412" customFormat="false" ht="15" hidden="false" customHeight="false" outlineLevel="0" collapsed="false">
      <c r="A412" s="18"/>
      <c r="B412" s="18"/>
      <c r="C412" s="18"/>
      <c r="D412" s="18"/>
      <c r="E412" s="18"/>
    </row>
    <row r="413" customFormat="false" ht="15" hidden="false" customHeight="false" outlineLevel="0" collapsed="false">
      <c r="A413" s="18"/>
      <c r="B413" s="18"/>
      <c r="C413" s="18"/>
      <c r="D413" s="18"/>
      <c r="E413" s="18"/>
    </row>
    <row r="414" customFormat="false" ht="15" hidden="false" customHeight="false" outlineLevel="0" collapsed="false">
      <c r="A414" s="18"/>
      <c r="B414" s="18"/>
      <c r="C414" s="18"/>
      <c r="D414" s="18"/>
      <c r="E414" s="18"/>
    </row>
    <row r="415" customFormat="false" ht="15" hidden="false" customHeight="false" outlineLevel="0" collapsed="false">
      <c r="A415" s="18"/>
      <c r="B415" s="18"/>
      <c r="C415" s="18"/>
      <c r="D415" s="18"/>
      <c r="E415" s="18"/>
    </row>
    <row r="416" customFormat="false" ht="15" hidden="false" customHeight="false" outlineLevel="0" collapsed="false">
      <c r="A416" s="18"/>
      <c r="B416" s="18"/>
      <c r="C416" s="18"/>
      <c r="D416" s="18"/>
      <c r="E416" s="18"/>
    </row>
    <row r="417" customFormat="false" ht="15" hidden="false" customHeight="false" outlineLevel="0" collapsed="false">
      <c r="A417" s="18"/>
      <c r="B417" s="18"/>
      <c r="C417" s="18"/>
      <c r="D417" s="18"/>
      <c r="E417" s="18"/>
    </row>
    <row r="418" customFormat="false" ht="15" hidden="false" customHeight="false" outlineLevel="0" collapsed="false">
      <c r="A418" s="18"/>
      <c r="B418" s="18"/>
      <c r="C418" s="18"/>
      <c r="D418" s="18"/>
      <c r="E418" s="18"/>
    </row>
    <row r="419" customFormat="false" ht="15" hidden="false" customHeight="false" outlineLevel="0" collapsed="false">
      <c r="A419" s="18"/>
      <c r="B419" s="18"/>
      <c r="C419" s="18"/>
      <c r="D419" s="18"/>
      <c r="E419" s="18"/>
    </row>
    <row r="420" customFormat="false" ht="15" hidden="false" customHeight="false" outlineLevel="0" collapsed="false">
      <c r="A420" s="18"/>
      <c r="B420" s="18"/>
      <c r="C420" s="18"/>
      <c r="D420" s="18"/>
      <c r="E420" s="18"/>
    </row>
    <row r="421" customFormat="false" ht="15" hidden="false" customHeight="false" outlineLevel="0" collapsed="false">
      <c r="A421" s="18"/>
      <c r="B421" s="18"/>
      <c r="C421" s="18"/>
      <c r="D421" s="18"/>
      <c r="E421" s="18"/>
    </row>
    <row r="422" customFormat="false" ht="15" hidden="false" customHeight="false" outlineLevel="0" collapsed="false">
      <c r="A422" s="18"/>
      <c r="B422" s="18"/>
      <c r="C422" s="18"/>
      <c r="D422" s="18"/>
      <c r="E422" s="18"/>
    </row>
    <row r="423" customFormat="false" ht="15" hidden="false" customHeight="false" outlineLevel="0" collapsed="false">
      <c r="A423" s="18"/>
      <c r="B423" s="18"/>
      <c r="C423" s="18"/>
      <c r="D423" s="18"/>
      <c r="E423" s="18"/>
    </row>
    <row r="424" customFormat="false" ht="15" hidden="false" customHeight="false" outlineLevel="0" collapsed="false">
      <c r="A424" s="18"/>
      <c r="B424" s="18"/>
      <c r="C424" s="18"/>
      <c r="D424" s="18"/>
      <c r="E424" s="18"/>
    </row>
    <row r="425" customFormat="false" ht="15" hidden="false" customHeight="false" outlineLevel="0" collapsed="false">
      <c r="A425" s="18"/>
      <c r="B425" s="18"/>
      <c r="C425" s="18"/>
      <c r="D425" s="18"/>
      <c r="E425" s="18"/>
    </row>
    <row r="426" customFormat="false" ht="15" hidden="false" customHeight="false" outlineLevel="0" collapsed="false">
      <c r="A426" s="18"/>
      <c r="B426" s="18"/>
      <c r="C426" s="18"/>
      <c r="D426" s="18"/>
      <c r="E426" s="18"/>
    </row>
    <row r="427" customFormat="false" ht="15" hidden="false" customHeight="false" outlineLevel="0" collapsed="false">
      <c r="A427" s="18"/>
      <c r="B427" s="18"/>
      <c r="C427" s="18"/>
      <c r="D427" s="18"/>
      <c r="E427" s="18"/>
    </row>
    <row r="428" customFormat="false" ht="15" hidden="false" customHeight="false" outlineLevel="0" collapsed="false">
      <c r="A428" s="18"/>
      <c r="B428" s="18"/>
      <c r="C428" s="18"/>
      <c r="D428" s="18"/>
      <c r="E428" s="18"/>
    </row>
    <row r="429" customFormat="false" ht="15" hidden="false" customHeight="false" outlineLevel="0" collapsed="false">
      <c r="A429" s="18"/>
      <c r="B429" s="18"/>
      <c r="C429" s="18"/>
      <c r="D429" s="18"/>
      <c r="E429" s="18"/>
    </row>
    <row r="430" customFormat="false" ht="15" hidden="false" customHeight="false" outlineLevel="0" collapsed="false">
      <c r="A430" s="18"/>
      <c r="B430" s="18"/>
      <c r="C430" s="18"/>
      <c r="D430" s="18"/>
      <c r="E430" s="18"/>
    </row>
    <row r="431" customFormat="false" ht="15" hidden="false" customHeight="false" outlineLevel="0" collapsed="false">
      <c r="A431" s="18"/>
      <c r="B431" s="18"/>
      <c r="C431" s="18"/>
      <c r="D431" s="18"/>
      <c r="E431" s="18"/>
    </row>
    <row r="432" customFormat="false" ht="15" hidden="false" customHeight="false" outlineLevel="0" collapsed="false">
      <c r="A432" s="18"/>
      <c r="B432" s="18"/>
      <c r="C432" s="18"/>
      <c r="D432" s="18"/>
      <c r="E432" s="18"/>
    </row>
    <row r="433" customFormat="false" ht="15" hidden="false" customHeight="false" outlineLevel="0" collapsed="false">
      <c r="A433" s="18"/>
      <c r="B433" s="18"/>
      <c r="C433" s="18"/>
      <c r="D433" s="18"/>
      <c r="E433" s="18"/>
    </row>
    <row r="434" customFormat="false" ht="15" hidden="false" customHeight="false" outlineLevel="0" collapsed="false">
      <c r="A434" s="18"/>
      <c r="B434" s="18"/>
      <c r="C434" s="18"/>
      <c r="D434" s="18"/>
      <c r="E434" s="18"/>
    </row>
    <row r="435" customFormat="false" ht="15" hidden="false" customHeight="false" outlineLevel="0" collapsed="false">
      <c r="A435" s="18"/>
      <c r="B435" s="18"/>
      <c r="C435" s="18"/>
      <c r="D435" s="18"/>
      <c r="E435" s="18"/>
    </row>
    <row r="436" customFormat="false" ht="15" hidden="false" customHeight="false" outlineLevel="0" collapsed="false">
      <c r="A436" s="18"/>
      <c r="B436" s="18"/>
      <c r="C436" s="18"/>
      <c r="D436" s="18"/>
      <c r="E436" s="18"/>
    </row>
    <row r="437" customFormat="false" ht="15" hidden="false" customHeight="false" outlineLevel="0" collapsed="false">
      <c r="A437" s="18"/>
      <c r="B437" s="18"/>
      <c r="C437" s="18"/>
      <c r="D437" s="18"/>
      <c r="E437" s="18"/>
    </row>
    <row r="438" customFormat="false" ht="15" hidden="false" customHeight="false" outlineLevel="0" collapsed="false">
      <c r="A438" s="18"/>
      <c r="B438" s="18"/>
      <c r="C438" s="18"/>
      <c r="D438" s="18"/>
      <c r="E438" s="18"/>
    </row>
    <row r="439" customFormat="false" ht="15" hidden="false" customHeight="false" outlineLevel="0" collapsed="false">
      <c r="A439" s="18"/>
      <c r="B439" s="18"/>
      <c r="C439" s="18"/>
      <c r="D439" s="18"/>
      <c r="E439" s="18"/>
    </row>
    <row r="440" customFormat="false" ht="15" hidden="false" customHeight="false" outlineLevel="0" collapsed="false">
      <c r="A440" s="18"/>
      <c r="B440" s="18"/>
      <c r="C440" s="18"/>
      <c r="D440" s="18"/>
      <c r="E440" s="18"/>
    </row>
    <row r="441" customFormat="false" ht="15" hidden="false" customHeight="false" outlineLevel="0" collapsed="false">
      <c r="A441" s="18"/>
      <c r="B441" s="18"/>
      <c r="C441" s="18"/>
      <c r="D441" s="18"/>
      <c r="E441" s="18"/>
    </row>
    <row r="442" customFormat="false" ht="15" hidden="false" customHeight="false" outlineLevel="0" collapsed="false">
      <c r="A442" s="18"/>
      <c r="B442" s="18"/>
      <c r="C442" s="18"/>
      <c r="D442" s="18"/>
      <c r="E442" s="18"/>
    </row>
    <row r="443" customFormat="false" ht="15" hidden="false" customHeight="false" outlineLevel="0" collapsed="false">
      <c r="A443" s="18"/>
      <c r="B443" s="18"/>
      <c r="C443" s="18"/>
      <c r="D443" s="18"/>
      <c r="E443" s="18"/>
    </row>
    <row r="444" customFormat="false" ht="15" hidden="false" customHeight="false" outlineLevel="0" collapsed="false">
      <c r="A444" s="18"/>
      <c r="B444" s="18"/>
      <c r="C444" s="18"/>
      <c r="D444" s="18"/>
      <c r="E444" s="18"/>
    </row>
    <row r="445" customFormat="false" ht="15" hidden="false" customHeight="false" outlineLevel="0" collapsed="false">
      <c r="A445" s="18"/>
      <c r="B445" s="18"/>
      <c r="C445" s="18"/>
      <c r="D445" s="18"/>
      <c r="E445" s="18"/>
    </row>
    <row r="446" customFormat="false" ht="15" hidden="false" customHeight="false" outlineLevel="0" collapsed="false">
      <c r="A446" s="18"/>
      <c r="B446" s="18"/>
      <c r="C446" s="18"/>
      <c r="D446" s="18"/>
      <c r="E446" s="18"/>
    </row>
    <row r="447" customFormat="false" ht="15" hidden="false" customHeight="false" outlineLevel="0" collapsed="false">
      <c r="A447" s="18"/>
      <c r="B447" s="18"/>
      <c r="C447" s="18"/>
      <c r="D447" s="18"/>
      <c r="E447" s="18"/>
    </row>
    <row r="448" customFormat="false" ht="15" hidden="false" customHeight="false" outlineLevel="0" collapsed="false">
      <c r="A448" s="18"/>
      <c r="B448" s="18"/>
      <c r="C448" s="18"/>
      <c r="D448" s="18"/>
      <c r="E448" s="18"/>
    </row>
    <row r="449" customFormat="false" ht="15" hidden="false" customHeight="false" outlineLevel="0" collapsed="false">
      <c r="A449" s="18"/>
      <c r="B449" s="18"/>
      <c r="C449" s="18"/>
      <c r="D449" s="18"/>
      <c r="E449" s="18"/>
    </row>
    <row r="450" customFormat="false" ht="15" hidden="false" customHeight="false" outlineLevel="0" collapsed="false">
      <c r="A450" s="18"/>
      <c r="B450" s="18"/>
      <c r="C450" s="18"/>
      <c r="D450" s="18"/>
      <c r="E450" s="18"/>
    </row>
    <row r="451" customFormat="false" ht="15" hidden="false" customHeight="false" outlineLevel="0" collapsed="false">
      <c r="A451" s="18"/>
      <c r="B451" s="18"/>
      <c r="C451" s="18"/>
      <c r="D451" s="18"/>
      <c r="E451" s="18"/>
    </row>
    <row r="452" customFormat="false" ht="15" hidden="false" customHeight="false" outlineLevel="0" collapsed="false">
      <c r="A452" s="18"/>
      <c r="B452" s="18"/>
      <c r="C452" s="18"/>
      <c r="D452" s="18"/>
      <c r="E452" s="18"/>
    </row>
    <row r="453" customFormat="false" ht="15" hidden="false" customHeight="false" outlineLevel="0" collapsed="false">
      <c r="A453" s="18"/>
      <c r="B453" s="18"/>
      <c r="C453" s="18"/>
      <c r="D453" s="18"/>
      <c r="E453" s="18"/>
    </row>
    <row r="454" customFormat="false" ht="15" hidden="false" customHeight="false" outlineLevel="0" collapsed="false">
      <c r="A454" s="18"/>
      <c r="B454" s="18"/>
      <c r="C454" s="18"/>
      <c r="D454" s="18"/>
      <c r="E454" s="18"/>
    </row>
    <row r="455" customFormat="false" ht="15" hidden="false" customHeight="false" outlineLevel="0" collapsed="false">
      <c r="A455" s="18"/>
      <c r="B455" s="18"/>
      <c r="C455" s="18"/>
      <c r="D455" s="18"/>
      <c r="E455" s="18"/>
    </row>
    <row r="456" customFormat="false" ht="15" hidden="false" customHeight="false" outlineLevel="0" collapsed="false">
      <c r="A456" s="18"/>
      <c r="B456" s="18"/>
      <c r="C456" s="18"/>
      <c r="D456" s="18"/>
      <c r="E456" s="18"/>
    </row>
    <row r="457" customFormat="false" ht="15" hidden="false" customHeight="false" outlineLevel="0" collapsed="false">
      <c r="A457" s="18"/>
      <c r="B457" s="18"/>
      <c r="C457" s="18"/>
      <c r="D457" s="18"/>
      <c r="E457" s="18"/>
    </row>
    <row r="458" customFormat="false" ht="15" hidden="false" customHeight="false" outlineLevel="0" collapsed="false">
      <c r="A458" s="18"/>
      <c r="B458" s="18"/>
      <c r="C458" s="18"/>
      <c r="D458" s="18"/>
      <c r="E458" s="18"/>
    </row>
    <row r="459" customFormat="false" ht="15" hidden="false" customHeight="false" outlineLevel="0" collapsed="false">
      <c r="A459" s="18"/>
      <c r="B459" s="18"/>
      <c r="C459" s="18"/>
      <c r="D459" s="18"/>
      <c r="E459" s="18"/>
    </row>
    <row r="460" customFormat="false" ht="15" hidden="false" customHeight="false" outlineLevel="0" collapsed="false">
      <c r="A460" s="18"/>
      <c r="B460" s="18"/>
      <c r="C460" s="18"/>
      <c r="D460" s="18"/>
      <c r="E460" s="18"/>
    </row>
    <row r="461" customFormat="false" ht="15" hidden="false" customHeight="false" outlineLevel="0" collapsed="false">
      <c r="A461" s="18"/>
      <c r="B461" s="18"/>
      <c r="C461" s="18"/>
      <c r="D461" s="18"/>
      <c r="E461" s="18"/>
    </row>
    <row r="462" customFormat="false" ht="15" hidden="false" customHeight="false" outlineLevel="0" collapsed="false">
      <c r="A462" s="18"/>
      <c r="B462" s="18"/>
      <c r="C462" s="18"/>
      <c r="D462" s="18"/>
      <c r="E462" s="18"/>
    </row>
    <row r="463" customFormat="false" ht="15" hidden="false" customHeight="false" outlineLevel="0" collapsed="false">
      <c r="A463" s="18"/>
      <c r="B463" s="18"/>
      <c r="C463" s="18"/>
      <c r="D463" s="18"/>
      <c r="E463" s="18"/>
    </row>
    <row r="464" customFormat="false" ht="15" hidden="false" customHeight="false" outlineLevel="0" collapsed="false">
      <c r="A464" s="18"/>
      <c r="B464" s="18"/>
      <c r="C464" s="18"/>
      <c r="D464" s="18"/>
      <c r="E464" s="18"/>
    </row>
    <row r="465" customFormat="false" ht="15" hidden="false" customHeight="false" outlineLevel="0" collapsed="false">
      <c r="A465" s="18"/>
      <c r="B465" s="18"/>
      <c r="C465" s="18"/>
      <c r="D465" s="18"/>
      <c r="E465" s="18"/>
    </row>
    <row r="466" customFormat="false" ht="15" hidden="false" customHeight="false" outlineLevel="0" collapsed="false">
      <c r="A466" s="18"/>
      <c r="B466" s="18"/>
      <c r="C466" s="18"/>
      <c r="D466" s="18"/>
      <c r="E466" s="18"/>
    </row>
    <row r="467" customFormat="false" ht="15" hidden="false" customHeight="false" outlineLevel="0" collapsed="false">
      <c r="A467" s="18"/>
      <c r="B467" s="18"/>
      <c r="C467" s="18"/>
      <c r="D467" s="18"/>
      <c r="E467" s="18"/>
    </row>
    <row r="468" customFormat="false" ht="15" hidden="false" customHeight="false" outlineLevel="0" collapsed="false">
      <c r="A468" s="18"/>
      <c r="B468" s="18"/>
      <c r="C468" s="18"/>
      <c r="D468" s="18"/>
      <c r="E468" s="18"/>
    </row>
    <row r="469" customFormat="false" ht="15" hidden="false" customHeight="false" outlineLevel="0" collapsed="false">
      <c r="A469" s="18"/>
      <c r="B469" s="18"/>
      <c r="C469" s="18"/>
      <c r="D469" s="18"/>
      <c r="E469" s="18"/>
    </row>
    <row r="470" customFormat="false" ht="15" hidden="false" customHeight="false" outlineLevel="0" collapsed="false">
      <c r="A470" s="18"/>
      <c r="B470" s="18"/>
      <c r="C470" s="18"/>
      <c r="D470" s="18"/>
      <c r="E470" s="18"/>
    </row>
    <row r="471" customFormat="false" ht="15" hidden="false" customHeight="false" outlineLevel="0" collapsed="false">
      <c r="A471" s="18"/>
      <c r="B471" s="18"/>
      <c r="C471" s="18"/>
      <c r="D471" s="18"/>
      <c r="E471" s="18"/>
    </row>
    <row r="472" customFormat="false" ht="15" hidden="false" customHeight="false" outlineLevel="0" collapsed="false">
      <c r="A472" s="18"/>
      <c r="B472" s="18"/>
      <c r="C472" s="18"/>
      <c r="D472" s="18"/>
      <c r="E472" s="18"/>
    </row>
    <row r="473" customFormat="false" ht="15" hidden="false" customHeight="false" outlineLevel="0" collapsed="false">
      <c r="A473" s="18"/>
      <c r="B473" s="18"/>
      <c r="C473" s="18"/>
      <c r="D473" s="18"/>
      <c r="E473" s="18"/>
    </row>
    <row r="474" customFormat="false" ht="15" hidden="false" customHeight="false" outlineLevel="0" collapsed="false">
      <c r="A474" s="18"/>
      <c r="B474" s="18"/>
      <c r="C474" s="18"/>
      <c r="D474" s="18"/>
      <c r="E474" s="18"/>
    </row>
    <row r="475" customFormat="false" ht="15" hidden="false" customHeight="false" outlineLevel="0" collapsed="false">
      <c r="A475" s="18"/>
      <c r="B475" s="18"/>
      <c r="C475" s="18"/>
      <c r="D475" s="18"/>
      <c r="E475" s="18"/>
    </row>
    <row r="476" customFormat="false" ht="15" hidden="false" customHeight="false" outlineLevel="0" collapsed="false">
      <c r="A476" s="18"/>
      <c r="B476" s="18"/>
      <c r="C476" s="18"/>
      <c r="D476" s="18"/>
      <c r="E476" s="18"/>
    </row>
    <row r="477" customFormat="false" ht="15" hidden="false" customHeight="false" outlineLevel="0" collapsed="false">
      <c r="A477" s="18"/>
      <c r="B477" s="18"/>
      <c r="C477" s="18"/>
      <c r="D477" s="18"/>
      <c r="E477" s="18"/>
    </row>
    <row r="478" customFormat="false" ht="15" hidden="false" customHeight="false" outlineLevel="0" collapsed="false">
      <c r="A478" s="18"/>
      <c r="B478" s="18"/>
      <c r="C478" s="18"/>
      <c r="D478" s="18"/>
      <c r="E478" s="18"/>
    </row>
    <row r="479" customFormat="false" ht="15" hidden="false" customHeight="false" outlineLevel="0" collapsed="false">
      <c r="A479" s="18"/>
      <c r="B479" s="18"/>
      <c r="C479" s="18"/>
      <c r="D479" s="18"/>
      <c r="E479" s="18"/>
    </row>
    <row r="480" customFormat="false" ht="15" hidden="false" customHeight="false" outlineLevel="0" collapsed="false">
      <c r="A480" s="18"/>
      <c r="B480" s="18"/>
      <c r="C480" s="18"/>
      <c r="D480" s="18"/>
      <c r="E480" s="18"/>
    </row>
    <row r="481" customFormat="false" ht="15" hidden="false" customHeight="false" outlineLevel="0" collapsed="false">
      <c r="A481" s="18"/>
      <c r="B481" s="18"/>
      <c r="C481" s="18"/>
      <c r="D481" s="18"/>
      <c r="E481" s="18"/>
    </row>
    <row r="482" customFormat="false" ht="15" hidden="false" customHeight="false" outlineLevel="0" collapsed="false">
      <c r="A482" s="18"/>
      <c r="B482" s="18"/>
      <c r="C482" s="18"/>
      <c r="D482" s="18"/>
      <c r="E482" s="18"/>
    </row>
    <row r="483" customFormat="false" ht="15" hidden="false" customHeight="false" outlineLevel="0" collapsed="false">
      <c r="A483" s="18"/>
      <c r="B483" s="18"/>
      <c r="C483" s="18"/>
      <c r="D483" s="18"/>
      <c r="E483" s="18"/>
    </row>
    <row r="484" customFormat="false" ht="15" hidden="false" customHeight="false" outlineLevel="0" collapsed="false">
      <c r="A484" s="18"/>
      <c r="B484" s="18"/>
      <c r="C484" s="18"/>
      <c r="D484" s="18"/>
      <c r="E484" s="18"/>
    </row>
    <row r="485" customFormat="false" ht="15" hidden="false" customHeight="false" outlineLevel="0" collapsed="false">
      <c r="A485" s="18"/>
      <c r="B485" s="18"/>
      <c r="C485" s="18"/>
      <c r="D485" s="18"/>
      <c r="E485" s="18"/>
    </row>
    <row r="486" customFormat="false" ht="15" hidden="false" customHeight="false" outlineLevel="0" collapsed="false">
      <c r="A486" s="18"/>
      <c r="B486" s="18"/>
      <c r="C486" s="18"/>
      <c r="D486" s="18"/>
      <c r="E486" s="18"/>
    </row>
    <row r="487" customFormat="false" ht="15" hidden="false" customHeight="false" outlineLevel="0" collapsed="false">
      <c r="A487" s="18"/>
      <c r="B487" s="18"/>
      <c r="C487" s="18"/>
      <c r="D487" s="18"/>
      <c r="E487" s="18"/>
    </row>
    <row r="488" customFormat="false" ht="15" hidden="false" customHeight="false" outlineLevel="0" collapsed="false">
      <c r="A488" s="18"/>
      <c r="B488" s="18"/>
      <c r="C488" s="18"/>
      <c r="D488" s="18"/>
      <c r="E488" s="18"/>
    </row>
    <row r="489" customFormat="false" ht="15" hidden="false" customHeight="false" outlineLevel="0" collapsed="false">
      <c r="A489" s="18"/>
      <c r="B489" s="18"/>
      <c r="C489" s="18"/>
      <c r="D489" s="18"/>
      <c r="E489" s="18"/>
    </row>
    <row r="490" customFormat="false" ht="15" hidden="false" customHeight="false" outlineLevel="0" collapsed="false">
      <c r="A490" s="18"/>
      <c r="B490" s="18"/>
      <c r="C490" s="18"/>
      <c r="D490" s="18"/>
      <c r="E490" s="18"/>
    </row>
    <row r="491" customFormat="false" ht="15" hidden="false" customHeight="false" outlineLevel="0" collapsed="false">
      <c r="A491" s="18"/>
      <c r="B491" s="18"/>
      <c r="C491" s="18"/>
      <c r="D491" s="18"/>
      <c r="E491" s="18"/>
    </row>
    <row r="492" customFormat="false" ht="15" hidden="false" customHeight="false" outlineLevel="0" collapsed="false">
      <c r="A492" s="18"/>
      <c r="B492" s="18"/>
      <c r="C492" s="18"/>
      <c r="D492" s="18"/>
      <c r="E492" s="18"/>
    </row>
    <row r="493" customFormat="false" ht="15" hidden="false" customHeight="false" outlineLevel="0" collapsed="false">
      <c r="A493" s="18"/>
      <c r="B493" s="18"/>
      <c r="C493" s="18"/>
      <c r="D493" s="18"/>
      <c r="E493" s="18"/>
    </row>
    <row r="494" customFormat="false" ht="15" hidden="false" customHeight="false" outlineLevel="0" collapsed="false">
      <c r="A494" s="18"/>
      <c r="B494" s="18"/>
      <c r="C494" s="18"/>
      <c r="D494" s="18"/>
      <c r="E494" s="18"/>
    </row>
    <row r="495" customFormat="false" ht="15" hidden="false" customHeight="false" outlineLevel="0" collapsed="false">
      <c r="A495" s="18"/>
      <c r="B495" s="18"/>
      <c r="C495" s="18"/>
      <c r="D495" s="18"/>
      <c r="E495" s="18"/>
    </row>
    <row r="496" customFormat="false" ht="15" hidden="false" customHeight="false" outlineLevel="0" collapsed="false">
      <c r="A496" s="18"/>
      <c r="B496" s="18"/>
      <c r="C496" s="18"/>
      <c r="D496" s="18"/>
      <c r="E496" s="18"/>
    </row>
    <row r="497" customFormat="false" ht="15" hidden="false" customHeight="false" outlineLevel="0" collapsed="false">
      <c r="A497" s="18"/>
      <c r="B497" s="18"/>
      <c r="C497" s="18"/>
      <c r="D497" s="18"/>
      <c r="E497" s="18"/>
    </row>
    <row r="498" customFormat="false" ht="15" hidden="false" customHeight="false" outlineLevel="0" collapsed="false">
      <c r="A498" s="18"/>
      <c r="B498" s="18"/>
      <c r="C498" s="18"/>
      <c r="D498" s="18"/>
      <c r="E498" s="18"/>
    </row>
    <row r="499" customFormat="false" ht="15" hidden="false" customHeight="false" outlineLevel="0" collapsed="false">
      <c r="A499" s="18"/>
      <c r="B499" s="18"/>
      <c r="C499" s="18"/>
      <c r="D499" s="18"/>
      <c r="E499" s="18"/>
    </row>
    <row r="500" customFormat="false" ht="15" hidden="false" customHeight="false" outlineLevel="0" collapsed="false">
      <c r="A500" s="18"/>
      <c r="B500" s="18"/>
      <c r="C500" s="18"/>
      <c r="D500" s="18"/>
      <c r="E500" s="18"/>
    </row>
    <row r="501" customFormat="false" ht="15" hidden="false" customHeight="false" outlineLevel="0" collapsed="false">
      <c r="A501" s="18"/>
      <c r="B501" s="18"/>
      <c r="C501" s="18"/>
      <c r="D501" s="18"/>
      <c r="E501" s="18"/>
    </row>
    <row r="502" customFormat="false" ht="15" hidden="false" customHeight="false" outlineLevel="0" collapsed="false">
      <c r="A502" s="18"/>
      <c r="B502" s="18"/>
      <c r="C502" s="18"/>
      <c r="D502" s="18"/>
      <c r="E502" s="18"/>
    </row>
    <row r="503" customFormat="false" ht="15" hidden="false" customHeight="false" outlineLevel="0" collapsed="false">
      <c r="A503" s="18"/>
      <c r="B503" s="18"/>
      <c r="C503" s="18"/>
      <c r="D503" s="18"/>
      <c r="E503" s="18"/>
    </row>
    <row r="504" customFormat="false" ht="15" hidden="false" customHeight="false" outlineLevel="0" collapsed="false">
      <c r="A504" s="18"/>
      <c r="B504" s="18"/>
      <c r="C504" s="18"/>
      <c r="D504" s="18"/>
      <c r="E504" s="18"/>
    </row>
    <row r="505" customFormat="false" ht="15" hidden="false" customHeight="false" outlineLevel="0" collapsed="false">
      <c r="A505" s="18"/>
      <c r="B505" s="18"/>
      <c r="C505" s="18"/>
      <c r="D505" s="18"/>
      <c r="E505" s="18"/>
    </row>
    <row r="506" customFormat="false" ht="15" hidden="false" customHeight="false" outlineLevel="0" collapsed="false">
      <c r="A506" s="18"/>
      <c r="B506" s="18"/>
      <c r="C506" s="18"/>
      <c r="D506" s="18"/>
      <c r="E506" s="18"/>
    </row>
    <row r="507" customFormat="false" ht="15" hidden="false" customHeight="false" outlineLevel="0" collapsed="false">
      <c r="A507" s="18"/>
      <c r="B507" s="18"/>
      <c r="C507" s="18"/>
      <c r="D507" s="18"/>
      <c r="E507" s="18"/>
    </row>
    <row r="508" customFormat="false" ht="15" hidden="false" customHeight="false" outlineLevel="0" collapsed="false">
      <c r="A508" s="18"/>
      <c r="B508" s="18"/>
      <c r="C508" s="18"/>
      <c r="D508" s="18"/>
      <c r="E508" s="18"/>
    </row>
    <row r="509" customFormat="false" ht="15" hidden="false" customHeight="false" outlineLevel="0" collapsed="false">
      <c r="A509" s="18"/>
      <c r="B509" s="18"/>
      <c r="C509" s="18"/>
      <c r="D509" s="18"/>
      <c r="E509" s="18"/>
    </row>
    <row r="510" customFormat="false" ht="15" hidden="false" customHeight="false" outlineLevel="0" collapsed="false">
      <c r="A510" s="18"/>
      <c r="B510" s="18"/>
      <c r="C510" s="18"/>
      <c r="D510" s="18"/>
      <c r="E510" s="18"/>
    </row>
    <row r="511" customFormat="false" ht="15" hidden="false" customHeight="false" outlineLevel="0" collapsed="false">
      <c r="A511" s="18"/>
      <c r="B511" s="18"/>
      <c r="C511" s="18"/>
      <c r="D511" s="18"/>
      <c r="E511" s="18"/>
    </row>
    <row r="512" customFormat="false" ht="15" hidden="false" customHeight="false" outlineLevel="0" collapsed="false">
      <c r="A512" s="18"/>
      <c r="B512" s="18"/>
      <c r="C512" s="18"/>
      <c r="D512" s="18"/>
      <c r="E512" s="18"/>
    </row>
    <row r="513" customFormat="false" ht="15" hidden="false" customHeight="false" outlineLevel="0" collapsed="false">
      <c r="A513" s="18"/>
      <c r="B513" s="18"/>
      <c r="C513" s="18"/>
      <c r="D513" s="18"/>
      <c r="E513" s="18"/>
    </row>
    <row r="514" customFormat="false" ht="15" hidden="false" customHeight="false" outlineLevel="0" collapsed="false">
      <c r="A514" s="18"/>
      <c r="B514" s="18"/>
      <c r="C514" s="18"/>
      <c r="D514" s="18"/>
      <c r="E514" s="18"/>
    </row>
    <row r="515" customFormat="false" ht="15" hidden="false" customHeight="false" outlineLevel="0" collapsed="false">
      <c r="A515" s="18"/>
      <c r="B515" s="18"/>
      <c r="C515" s="18"/>
      <c r="D515" s="18"/>
      <c r="E515" s="18"/>
    </row>
    <row r="516" customFormat="false" ht="15" hidden="false" customHeight="false" outlineLevel="0" collapsed="false">
      <c r="A516" s="18"/>
      <c r="B516" s="18"/>
      <c r="C516" s="18"/>
      <c r="D516" s="18"/>
      <c r="E516" s="18"/>
    </row>
    <row r="517" customFormat="false" ht="15" hidden="false" customHeight="false" outlineLevel="0" collapsed="false">
      <c r="A517" s="18"/>
      <c r="B517" s="18"/>
      <c r="C517" s="18"/>
      <c r="D517" s="18"/>
      <c r="E517" s="18"/>
    </row>
    <row r="518" customFormat="false" ht="15" hidden="false" customHeight="false" outlineLevel="0" collapsed="false">
      <c r="A518" s="18"/>
      <c r="B518" s="18"/>
      <c r="C518" s="18"/>
      <c r="D518" s="18"/>
      <c r="E518" s="18"/>
    </row>
    <row r="519" customFormat="false" ht="15" hidden="false" customHeight="false" outlineLevel="0" collapsed="false">
      <c r="A519" s="18"/>
      <c r="B519" s="18"/>
      <c r="C519" s="18"/>
      <c r="D519" s="18"/>
      <c r="E519" s="18"/>
    </row>
    <row r="520" customFormat="false" ht="15" hidden="false" customHeight="false" outlineLevel="0" collapsed="false">
      <c r="A520" s="18"/>
      <c r="B520" s="18"/>
      <c r="C520" s="18"/>
      <c r="D520" s="18"/>
      <c r="E520" s="18"/>
    </row>
    <row r="521" customFormat="false" ht="15" hidden="false" customHeight="false" outlineLevel="0" collapsed="false">
      <c r="A521" s="18"/>
      <c r="B521" s="18"/>
      <c r="C521" s="18"/>
      <c r="D521" s="18"/>
      <c r="E521" s="18"/>
    </row>
    <row r="522" customFormat="false" ht="15" hidden="false" customHeight="false" outlineLevel="0" collapsed="false">
      <c r="A522" s="18"/>
      <c r="B522" s="18"/>
      <c r="C522" s="18"/>
      <c r="D522" s="18"/>
      <c r="E522" s="18"/>
    </row>
    <row r="523" customFormat="false" ht="15" hidden="false" customHeight="false" outlineLevel="0" collapsed="false">
      <c r="A523" s="18"/>
      <c r="B523" s="18"/>
      <c r="C523" s="18"/>
      <c r="D523" s="18"/>
      <c r="E523" s="18"/>
    </row>
    <row r="524" customFormat="false" ht="15" hidden="false" customHeight="false" outlineLevel="0" collapsed="false">
      <c r="A524" s="18"/>
      <c r="B524" s="18"/>
      <c r="C524" s="18"/>
      <c r="D524" s="18"/>
      <c r="E524" s="18"/>
    </row>
    <row r="525" customFormat="false" ht="15" hidden="false" customHeight="false" outlineLevel="0" collapsed="false">
      <c r="A525" s="18"/>
      <c r="B525" s="18"/>
      <c r="C525" s="18"/>
      <c r="D525" s="18"/>
      <c r="E525" s="18"/>
    </row>
    <row r="526" customFormat="false" ht="15" hidden="false" customHeight="false" outlineLevel="0" collapsed="false">
      <c r="A526" s="18"/>
      <c r="B526" s="18"/>
      <c r="C526" s="18"/>
      <c r="D526" s="18"/>
      <c r="E526" s="18"/>
    </row>
    <row r="527" customFormat="false" ht="15" hidden="false" customHeight="false" outlineLevel="0" collapsed="false">
      <c r="A527" s="18"/>
      <c r="B527" s="18"/>
      <c r="C527" s="18"/>
      <c r="D527" s="18"/>
      <c r="E527" s="18"/>
    </row>
    <row r="528" customFormat="false" ht="15" hidden="false" customHeight="false" outlineLevel="0" collapsed="false">
      <c r="A528" s="18"/>
      <c r="B528" s="18"/>
      <c r="C528" s="18"/>
      <c r="D528" s="18"/>
      <c r="E528" s="18"/>
    </row>
    <row r="529" customFormat="false" ht="15" hidden="false" customHeight="false" outlineLevel="0" collapsed="false">
      <c r="A529" s="18"/>
      <c r="B529" s="18"/>
      <c r="C529" s="18"/>
      <c r="D529" s="18"/>
      <c r="E529" s="18"/>
    </row>
    <row r="530" customFormat="false" ht="15" hidden="false" customHeight="false" outlineLevel="0" collapsed="false">
      <c r="A530" s="18"/>
      <c r="B530" s="18"/>
      <c r="C530" s="18"/>
      <c r="D530" s="18"/>
      <c r="E530" s="18"/>
    </row>
    <row r="531" customFormat="false" ht="15" hidden="false" customHeight="false" outlineLevel="0" collapsed="false">
      <c r="A531" s="18"/>
      <c r="B531" s="18"/>
      <c r="C531" s="18"/>
      <c r="D531" s="18"/>
      <c r="E531" s="18"/>
    </row>
    <row r="532" customFormat="false" ht="15" hidden="false" customHeight="false" outlineLevel="0" collapsed="false">
      <c r="A532" s="18"/>
      <c r="B532" s="18"/>
      <c r="C532" s="18"/>
      <c r="D532" s="18"/>
      <c r="E532" s="18"/>
    </row>
    <row r="533" customFormat="false" ht="15" hidden="false" customHeight="false" outlineLevel="0" collapsed="false">
      <c r="A533" s="18"/>
      <c r="B533" s="18"/>
      <c r="C533" s="18"/>
      <c r="D533" s="18"/>
      <c r="E533" s="18"/>
    </row>
    <row r="534" customFormat="false" ht="15" hidden="false" customHeight="false" outlineLevel="0" collapsed="false">
      <c r="A534" s="18"/>
      <c r="B534" s="18"/>
      <c r="C534" s="18"/>
      <c r="D534" s="18"/>
      <c r="E534" s="18"/>
    </row>
    <row r="535" customFormat="false" ht="15" hidden="false" customHeight="false" outlineLevel="0" collapsed="false">
      <c r="A535" s="18"/>
      <c r="B535" s="18"/>
      <c r="C535" s="18"/>
      <c r="D535" s="18"/>
      <c r="E535" s="18"/>
    </row>
    <row r="536" customFormat="false" ht="15" hidden="false" customHeight="false" outlineLevel="0" collapsed="false">
      <c r="A536" s="18"/>
      <c r="B536" s="18"/>
      <c r="C536" s="18"/>
      <c r="D536" s="18"/>
      <c r="E536" s="18"/>
    </row>
    <row r="537" customFormat="false" ht="15" hidden="false" customHeight="false" outlineLevel="0" collapsed="false">
      <c r="A537" s="18"/>
      <c r="B537" s="18"/>
      <c r="C537" s="18"/>
      <c r="D537" s="18"/>
      <c r="E537" s="18"/>
    </row>
    <row r="538" customFormat="false" ht="15" hidden="false" customHeight="false" outlineLevel="0" collapsed="false">
      <c r="A538" s="18"/>
      <c r="B538" s="18"/>
      <c r="C538" s="18"/>
      <c r="D538" s="18"/>
      <c r="E538" s="18"/>
    </row>
    <row r="539" customFormat="false" ht="15" hidden="false" customHeight="false" outlineLevel="0" collapsed="false">
      <c r="A539" s="18"/>
      <c r="B539" s="18"/>
      <c r="C539" s="18"/>
      <c r="D539" s="18"/>
      <c r="E539" s="18"/>
    </row>
    <row r="540" customFormat="false" ht="15" hidden="false" customHeight="false" outlineLevel="0" collapsed="false">
      <c r="A540" s="18"/>
      <c r="B540" s="18"/>
      <c r="C540" s="18"/>
      <c r="D540" s="18"/>
      <c r="E540" s="18"/>
    </row>
    <row r="541" customFormat="false" ht="15" hidden="false" customHeight="false" outlineLevel="0" collapsed="false">
      <c r="A541" s="18"/>
      <c r="B541" s="18"/>
      <c r="C541" s="18"/>
      <c r="D541" s="18"/>
      <c r="E541" s="18"/>
    </row>
    <row r="542" customFormat="false" ht="15" hidden="false" customHeight="false" outlineLevel="0" collapsed="false">
      <c r="A542" s="18"/>
      <c r="B542" s="18"/>
      <c r="C542" s="18"/>
      <c r="D542" s="18"/>
      <c r="E542" s="18"/>
    </row>
    <row r="543" customFormat="false" ht="15" hidden="false" customHeight="false" outlineLevel="0" collapsed="false">
      <c r="A543" s="18"/>
      <c r="B543" s="18"/>
      <c r="C543" s="18"/>
      <c r="D543" s="18"/>
      <c r="E543" s="18"/>
    </row>
    <row r="544" customFormat="false" ht="15" hidden="false" customHeight="false" outlineLevel="0" collapsed="false">
      <c r="A544" s="18"/>
      <c r="B544" s="18"/>
      <c r="C544" s="18"/>
      <c r="D544" s="18"/>
      <c r="E544" s="18"/>
    </row>
    <row r="545" customFormat="false" ht="15" hidden="false" customHeight="false" outlineLevel="0" collapsed="false">
      <c r="A545" s="18"/>
      <c r="B545" s="18"/>
      <c r="C545" s="18"/>
      <c r="D545" s="18"/>
      <c r="E545" s="18"/>
    </row>
    <row r="546" customFormat="false" ht="15" hidden="false" customHeight="false" outlineLevel="0" collapsed="false">
      <c r="A546" s="18"/>
      <c r="B546" s="18"/>
      <c r="C546" s="18"/>
      <c r="D546" s="18"/>
      <c r="E546" s="18"/>
    </row>
    <row r="547" customFormat="false" ht="15" hidden="false" customHeight="false" outlineLevel="0" collapsed="false">
      <c r="A547" s="18"/>
      <c r="B547" s="18"/>
      <c r="C547" s="18"/>
      <c r="D547" s="18"/>
      <c r="E547" s="18"/>
    </row>
    <row r="548" customFormat="false" ht="15" hidden="false" customHeight="false" outlineLevel="0" collapsed="false">
      <c r="A548" s="18"/>
      <c r="B548" s="18"/>
      <c r="C548" s="18"/>
      <c r="D548" s="18"/>
      <c r="E548" s="18"/>
    </row>
    <row r="549" customFormat="false" ht="15" hidden="false" customHeight="false" outlineLevel="0" collapsed="false">
      <c r="A549" s="18"/>
      <c r="B549" s="18"/>
      <c r="C549" s="18"/>
      <c r="D549" s="18"/>
      <c r="E549" s="18"/>
    </row>
    <row r="550" customFormat="false" ht="15" hidden="false" customHeight="false" outlineLevel="0" collapsed="false">
      <c r="A550" s="18"/>
      <c r="B550" s="18"/>
      <c r="C550" s="18"/>
      <c r="D550" s="18"/>
      <c r="E550" s="18"/>
    </row>
    <row r="551" customFormat="false" ht="15" hidden="false" customHeight="false" outlineLevel="0" collapsed="false">
      <c r="A551" s="18"/>
      <c r="B551" s="18"/>
      <c r="C551" s="18"/>
      <c r="D551" s="18"/>
      <c r="E551" s="18"/>
    </row>
    <row r="552" customFormat="false" ht="15" hidden="false" customHeight="false" outlineLevel="0" collapsed="false">
      <c r="A552" s="18"/>
      <c r="B552" s="18"/>
      <c r="C552" s="18"/>
      <c r="D552" s="18"/>
      <c r="E552" s="18"/>
    </row>
    <row r="553" customFormat="false" ht="15" hidden="false" customHeight="false" outlineLevel="0" collapsed="false">
      <c r="A553" s="18"/>
      <c r="B553" s="18"/>
      <c r="C553" s="18"/>
      <c r="D553" s="18"/>
      <c r="E553" s="18"/>
    </row>
    <row r="554" customFormat="false" ht="15" hidden="false" customHeight="false" outlineLevel="0" collapsed="false">
      <c r="A554" s="18"/>
      <c r="B554" s="18"/>
      <c r="C554" s="18"/>
      <c r="D554" s="18"/>
      <c r="E554" s="18"/>
    </row>
    <row r="555" customFormat="false" ht="15" hidden="false" customHeight="false" outlineLevel="0" collapsed="false">
      <c r="A555" s="18"/>
      <c r="B555" s="18"/>
      <c r="C555" s="18"/>
      <c r="D555" s="18"/>
      <c r="E555" s="18"/>
    </row>
    <row r="556" customFormat="false" ht="15" hidden="false" customHeight="false" outlineLevel="0" collapsed="false">
      <c r="A556" s="18"/>
      <c r="B556" s="18"/>
      <c r="C556" s="18"/>
      <c r="D556" s="18"/>
      <c r="E556" s="18"/>
    </row>
    <row r="557" customFormat="false" ht="15" hidden="false" customHeight="false" outlineLevel="0" collapsed="false">
      <c r="A557" s="18"/>
      <c r="B557" s="18"/>
      <c r="C557" s="18"/>
      <c r="D557" s="18"/>
      <c r="E557" s="18"/>
    </row>
    <row r="558" customFormat="false" ht="15" hidden="false" customHeight="false" outlineLevel="0" collapsed="false">
      <c r="A558" s="18"/>
      <c r="B558" s="18"/>
      <c r="C558" s="18"/>
      <c r="D558" s="18"/>
      <c r="E558" s="18"/>
    </row>
    <row r="559" customFormat="false" ht="15" hidden="false" customHeight="false" outlineLevel="0" collapsed="false">
      <c r="A559" s="18"/>
      <c r="B559" s="18"/>
      <c r="C559" s="18"/>
      <c r="D559" s="18"/>
      <c r="E559" s="18"/>
    </row>
    <row r="560" customFormat="false" ht="15" hidden="false" customHeight="false" outlineLevel="0" collapsed="false">
      <c r="A560" s="18"/>
      <c r="B560" s="18"/>
      <c r="C560" s="18"/>
      <c r="D560" s="18"/>
      <c r="E560" s="18"/>
    </row>
    <row r="561" customFormat="false" ht="15" hidden="false" customHeight="false" outlineLevel="0" collapsed="false">
      <c r="A561" s="18"/>
      <c r="B561" s="18"/>
      <c r="C561" s="18"/>
      <c r="D561" s="18"/>
      <c r="E561" s="18"/>
    </row>
    <row r="562" customFormat="false" ht="15" hidden="false" customHeight="false" outlineLevel="0" collapsed="false">
      <c r="A562" s="18"/>
      <c r="B562" s="18"/>
      <c r="C562" s="18"/>
      <c r="D562" s="18"/>
      <c r="E562" s="18"/>
    </row>
    <row r="563" customFormat="false" ht="15" hidden="false" customHeight="false" outlineLevel="0" collapsed="false">
      <c r="A563" s="18"/>
      <c r="B563" s="18"/>
      <c r="C563" s="18"/>
      <c r="D563" s="18"/>
      <c r="E563" s="18"/>
    </row>
    <row r="564" customFormat="false" ht="15" hidden="false" customHeight="false" outlineLevel="0" collapsed="false">
      <c r="A564" s="18"/>
      <c r="B564" s="18"/>
      <c r="C564" s="18"/>
      <c r="D564" s="18"/>
      <c r="E564" s="18"/>
    </row>
    <row r="565" customFormat="false" ht="15" hidden="false" customHeight="false" outlineLevel="0" collapsed="false">
      <c r="A565" s="18"/>
      <c r="B565" s="18"/>
      <c r="C565" s="18"/>
      <c r="D565" s="18"/>
      <c r="E565" s="18"/>
    </row>
    <row r="566" customFormat="false" ht="15" hidden="false" customHeight="false" outlineLevel="0" collapsed="false">
      <c r="A566" s="18"/>
      <c r="B566" s="18"/>
      <c r="C566" s="18"/>
      <c r="D566" s="18"/>
      <c r="E566" s="18"/>
    </row>
    <row r="567" customFormat="false" ht="15" hidden="false" customHeight="false" outlineLevel="0" collapsed="false">
      <c r="A567" s="18"/>
      <c r="B567" s="18"/>
      <c r="C567" s="18"/>
      <c r="D567" s="18"/>
      <c r="E567" s="18"/>
    </row>
    <row r="568" customFormat="false" ht="15" hidden="false" customHeight="false" outlineLevel="0" collapsed="false">
      <c r="A568" s="18"/>
      <c r="B568" s="18"/>
      <c r="C568" s="18"/>
      <c r="D568" s="18"/>
      <c r="E568" s="18"/>
    </row>
    <row r="569" customFormat="false" ht="15" hidden="false" customHeight="false" outlineLevel="0" collapsed="false">
      <c r="A569" s="18"/>
      <c r="B569" s="18"/>
      <c r="C569" s="18"/>
      <c r="D569" s="18"/>
      <c r="E569" s="18"/>
    </row>
    <row r="570" customFormat="false" ht="15" hidden="false" customHeight="false" outlineLevel="0" collapsed="false">
      <c r="A570" s="18"/>
      <c r="B570" s="18"/>
      <c r="C570" s="18"/>
      <c r="D570" s="18"/>
      <c r="E570" s="18"/>
    </row>
    <row r="571" customFormat="false" ht="15" hidden="false" customHeight="false" outlineLevel="0" collapsed="false">
      <c r="A571" s="18"/>
      <c r="B571" s="18"/>
      <c r="C571" s="18"/>
      <c r="D571" s="18"/>
      <c r="E571" s="18"/>
    </row>
    <row r="572" customFormat="false" ht="15" hidden="false" customHeight="false" outlineLevel="0" collapsed="false">
      <c r="A572" s="18"/>
      <c r="B572" s="18"/>
      <c r="C572" s="18"/>
      <c r="D572" s="18"/>
      <c r="E572" s="18"/>
    </row>
    <row r="573" customFormat="false" ht="15" hidden="false" customHeight="false" outlineLevel="0" collapsed="false">
      <c r="A573" s="18"/>
      <c r="B573" s="18"/>
      <c r="C573" s="18"/>
      <c r="D573" s="18"/>
      <c r="E573" s="18"/>
    </row>
    <row r="574" customFormat="false" ht="15" hidden="false" customHeight="false" outlineLevel="0" collapsed="false">
      <c r="A574" s="18"/>
      <c r="B574" s="18"/>
      <c r="C574" s="18"/>
      <c r="D574" s="18"/>
      <c r="E574" s="18"/>
    </row>
    <row r="575" customFormat="false" ht="15" hidden="false" customHeight="false" outlineLevel="0" collapsed="false">
      <c r="A575" s="18"/>
      <c r="B575" s="18"/>
      <c r="C575" s="18"/>
      <c r="D575" s="18"/>
      <c r="E575" s="18"/>
    </row>
    <row r="576" customFormat="false" ht="15" hidden="false" customHeight="false" outlineLevel="0" collapsed="false">
      <c r="A576" s="18"/>
      <c r="B576" s="18"/>
      <c r="C576" s="18"/>
      <c r="D576" s="18"/>
      <c r="E576" s="18"/>
    </row>
    <row r="577" customFormat="false" ht="15" hidden="false" customHeight="false" outlineLevel="0" collapsed="false">
      <c r="A577" s="18"/>
      <c r="B577" s="18"/>
      <c r="C577" s="18"/>
      <c r="D577" s="18"/>
      <c r="E577" s="18"/>
    </row>
    <row r="578" customFormat="false" ht="15" hidden="false" customHeight="false" outlineLevel="0" collapsed="false">
      <c r="A578" s="18"/>
      <c r="B578" s="18"/>
      <c r="C578" s="18"/>
      <c r="D578" s="18"/>
      <c r="E578" s="18"/>
    </row>
    <row r="579" customFormat="false" ht="15" hidden="false" customHeight="false" outlineLevel="0" collapsed="false">
      <c r="A579" s="18"/>
      <c r="B579" s="18"/>
      <c r="C579" s="18"/>
      <c r="D579" s="18"/>
      <c r="E579" s="18"/>
    </row>
    <row r="580" customFormat="false" ht="15" hidden="false" customHeight="false" outlineLevel="0" collapsed="false">
      <c r="A580" s="18"/>
      <c r="B580" s="18"/>
      <c r="C580" s="18"/>
      <c r="D580" s="18"/>
      <c r="E580" s="18"/>
    </row>
    <row r="581" customFormat="false" ht="15" hidden="false" customHeight="false" outlineLevel="0" collapsed="false">
      <c r="A581" s="18"/>
      <c r="B581" s="18"/>
      <c r="C581" s="18"/>
      <c r="D581" s="18"/>
      <c r="E581" s="18"/>
    </row>
    <row r="582" customFormat="false" ht="15" hidden="false" customHeight="false" outlineLevel="0" collapsed="false">
      <c r="A582" s="18"/>
      <c r="B582" s="18"/>
      <c r="C582" s="18"/>
      <c r="D582" s="18"/>
      <c r="E582" s="18"/>
    </row>
    <row r="583" customFormat="false" ht="15" hidden="false" customHeight="false" outlineLevel="0" collapsed="false">
      <c r="A583" s="18"/>
      <c r="B583" s="18"/>
      <c r="C583" s="18"/>
      <c r="D583" s="18"/>
      <c r="E583" s="18"/>
    </row>
    <row r="584" customFormat="false" ht="15" hidden="false" customHeight="false" outlineLevel="0" collapsed="false">
      <c r="A584" s="18"/>
      <c r="B584" s="18"/>
      <c r="C584" s="18"/>
      <c r="D584" s="18"/>
      <c r="E584" s="18"/>
    </row>
    <row r="585" customFormat="false" ht="15" hidden="false" customHeight="false" outlineLevel="0" collapsed="false">
      <c r="A585" s="18"/>
      <c r="B585" s="18"/>
      <c r="C585" s="18"/>
      <c r="D585" s="18"/>
      <c r="E585" s="18"/>
    </row>
    <row r="586" customFormat="false" ht="15" hidden="false" customHeight="false" outlineLevel="0" collapsed="false">
      <c r="A586" s="18"/>
      <c r="B586" s="18"/>
      <c r="C586" s="18"/>
      <c r="D586" s="18"/>
      <c r="E586" s="18"/>
    </row>
    <row r="587" customFormat="false" ht="15" hidden="false" customHeight="false" outlineLevel="0" collapsed="false">
      <c r="A587" s="18"/>
      <c r="B587" s="18"/>
      <c r="C587" s="18"/>
      <c r="D587" s="18"/>
      <c r="E587" s="18"/>
    </row>
    <row r="588" customFormat="false" ht="15" hidden="false" customHeight="false" outlineLevel="0" collapsed="false">
      <c r="A588" s="18"/>
      <c r="B588" s="18"/>
      <c r="C588" s="18"/>
      <c r="D588" s="18"/>
      <c r="E588" s="18"/>
    </row>
    <row r="589" customFormat="false" ht="15" hidden="false" customHeight="false" outlineLevel="0" collapsed="false">
      <c r="A589" s="18"/>
      <c r="B589" s="18"/>
      <c r="C589" s="18"/>
      <c r="D589" s="18"/>
      <c r="E589" s="18"/>
    </row>
    <row r="590" customFormat="false" ht="15" hidden="false" customHeight="false" outlineLevel="0" collapsed="false">
      <c r="A590" s="18"/>
      <c r="B590" s="18"/>
      <c r="C590" s="18"/>
      <c r="D590" s="18"/>
      <c r="E590" s="18"/>
    </row>
    <row r="591" customFormat="false" ht="15" hidden="false" customHeight="false" outlineLevel="0" collapsed="false">
      <c r="A591" s="18"/>
      <c r="B591" s="18"/>
      <c r="C591" s="18"/>
      <c r="D591" s="18"/>
      <c r="E591" s="18"/>
    </row>
    <row r="592" customFormat="false" ht="15" hidden="false" customHeight="false" outlineLevel="0" collapsed="false">
      <c r="A592" s="18"/>
      <c r="B592" s="18"/>
      <c r="C592" s="18"/>
      <c r="D592" s="18"/>
      <c r="E592" s="18"/>
    </row>
    <row r="593" customFormat="false" ht="15" hidden="false" customHeight="false" outlineLevel="0" collapsed="false">
      <c r="A593" s="18"/>
      <c r="B593" s="18"/>
      <c r="C593" s="18"/>
      <c r="D593" s="18"/>
      <c r="E593" s="18"/>
    </row>
    <row r="594" customFormat="false" ht="15" hidden="false" customHeight="false" outlineLevel="0" collapsed="false">
      <c r="A594" s="18"/>
      <c r="B594" s="18"/>
      <c r="C594" s="18"/>
      <c r="D594" s="18"/>
      <c r="E594" s="18"/>
    </row>
    <row r="595" customFormat="false" ht="15" hidden="false" customHeight="false" outlineLevel="0" collapsed="false">
      <c r="A595" s="18"/>
      <c r="B595" s="18"/>
      <c r="C595" s="18"/>
      <c r="D595" s="18"/>
      <c r="E595" s="18"/>
    </row>
    <row r="596" customFormat="false" ht="15" hidden="false" customHeight="false" outlineLevel="0" collapsed="false">
      <c r="A596" s="18"/>
      <c r="B596" s="18"/>
      <c r="C596" s="18"/>
      <c r="D596" s="18"/>
      <c r="E596" s="18"/>
    </row>
    <row r="597" customFormat="false" ht="15" hidden="false" customHeight="false" outlineLevel="0" collapsed="false">
      <c r="A597" s="18"/>
      <c r="B597" s="18"/>
      <c r="C597" s="18"/>
      <c r="D597" s="18"/>
      <c r="E597" s="18"/>
    </row>
    <row r="598" customFormat="false" ht="15" hidden="false" customHeight="false" outlineLevel="0" collapsed="false">
      <c r="A598" s="18"/>
      <c r="B598" s="18"/>
      <c r="C598" s="18"/>
      <c r="D598" s="18"/>
      <c r="E598" s="18"/>
    </row>
    <row r="599" customFormat="false" ht="15" hidden="false" customHeight="false" outlineLevel="0" collapsed="false">
      <c r="A599" s="18"/>
      <c r="B599" s="18"/>
      <c r="C599" s="18"/>
      <c r="D599" s="18"/>
      <c r="E599" s="18"/>
    </row>
    <row r="600" customFormat="false" ht="15" hidden="false" customHeight="false" outlineLevel="0" collapsed="false">
      <c r="A600" s="18"/>
      <c r="B600" s="18"/>
      <c r="C600" s="18"/>
      <c r="D600" s="18"/>
      <c r="E600" s="18"/>
    </row>
    <row r="601" customFormat="false" ht="15" hidden="false" customHeight="false" outlineLevel="0" collapsed="false">
      <c r="A601" s="18"/>
      <c r="B601" s="18"/>
      <c r="C601" s="18"/>
      <c r="D601" s="18"/>
      <c r="E601" s="18"/>
    </row>
    <row r="602" customFormat="false" ht="15" hidden="false" customHeight="false" outlineLevel="0" collapsed="false">
      <c r="A602" s="18"/>
      <c r="B602" s="18"/>
      <c r="C602" s="18"/>
      <c r="D602" s="18"/>
      <c r="E602" s="18"/>
    </row>
    <row r="603" customFormat="false" ht="15" hidden="false" customHeight="false" outlineLevel="0" collapsed="false">
      <c r="A603" s="18"/>
      <c r="B603" s="18"/>
      <c r="C603" s="18"/>
      <c r="D603" s="18"/>
      <c r="E603" s="18"/>
    </row>
    <row r="604" customFormat="false" ht="15" hidden="false" customHeight="false" outlineLevel="0" collapsed="false">
      <c r="A604" s="18"/>
      <c r="B604" s="18"/>
      <c r="C604" s="18"/>
      <c r="D604" s="18"/>
      <c r="E604" s="18"/>
    </row>
    <row r="605" customFormat="false" ht="15" hidden="false" customHeight="false" outlineLevel="0" collapsed="false">
      <c r="A605" s="18"/>
      <c r="B605" s="18"/>
      <c r="C605" s="18"/>
      <c r="D605" s="18"/>
      <c r="E605" s="18"/>
    </row>
    <row r="606" customFormat="false" ht="15" hidden="false" customHeight="false" outlineLevel="0" collapsed="false">
      <c r="A606" s="18"/>
      <c r="B606" s="18"/>
      <c r="C606" s="18"/>
      <c r="D606" s="18"/>
      <c r="E606" s="18"/>
    </row>
    <row r="607" customFormat="false" ht="15" hidden="false" customHeight="false" outlineLevel="0" collapsed="false">
      <c r="A607" s="18"/>
      <c r="B607" s="18"/>
      <c r="C607" s="18"/>
      <c r="D607" s="18"/>
      <c r="E607" s="18"/>
    </row>
    <row r="608" customFormat="false" ht="15" hidden="false" customHeight="false" outlineLevel="0" collapsed="false">
      <c r="A608" s="18"/>
      <c r="B608" s="18"/>
      <c r="C608" s="18"/>
      <c r="D608" s="18"/>
      <c r="E608" s="18"/>
    </row>
    <row r="609" customFormat="false" ht="15" hidden="false" customHeight="false" outlineLevel="0" collapsed="false">
      <c r="A609" s="18"/>
      <c r="B609" s="18"/>
      <c r="C609" s="18"/>
      <c r="D609" s="18"/>
      <c r="E609" s="18"/>
    </row>
    <row r="610" customFormat="false" ht="15" hidden="false" customHeight="false" outlineLevel="0" collapsed="false">
      <c r="A610" s="18"/>
      <c r="B610" s="18"/>
      <c r="C610" s="18"/>
      <c r="D610" s="18"/>
      <c r="E610" s="18"/>
    </row>
    <row r="611" customFormat="false" ht="15" hidden="false" customHeight="false" outlineLevel="0" collapsed="false">
      <c r="A611" s="18"/>
      <c r="B611" s="18"/>
      <c r="C611" s="18"/>
      <c r="D611" s="18"/>
      <c r="E611" s="18"/>
    </row>
    <row r="612" customFormat="false" ht="15" hidden="false" customHeight="false" outlineLevel="0" collapsed="false">
      <c r="A612" s="18"/>
      <c r="B612" s="18"/>
      <c r="C612" s="18"/>
      <c r="D612" s="18"/>
      <c r="E612" s="18"/>
    </row>
    <row r="613" customFormat="false" ht="15" hidden="false" customHeight="false" outlineLevel="0" collapsed="false">
      <c r="A613" s="18"/>
      <c r="B613" s="18"/>
      <c r="C613" s="18"/>
      <c r="D613" s="18"/>
      <c r="E613" s="18"/>
    </row>
    <row r="614" customFormat="false" ht="15" hidden="false" customHeight="false" outlineLevel="0" collapsed="false">
      <c r="A614" s="18"/>
      <c r="B614" s="18"/>
      <c r="C614" s="18"/>
      <c r="D614" s="18"/>
      <c r="E614" s="18"/>
    </row>
    <row r="615" customFormat="false" ht="15" hidden="false" customHeight="false" outlineLevel="0" collapsed="false">
      <c r="A615" s="18"/>
      <c r="B615" s="18"/>
      <c r="C615" s="18"/>
      <c r="D615" s="18"/>
      <c r="E615" s="18"/>
    </row>
    <row r="616" customFormat="false" ht="15" hidden="false" customHeight="false" outlineLevel="0" collapsed="false">
      <c r="A616" s="18"/>
      <c r="B616" s="18"/>
      <c r="C616" s="18"/>
      <c r="D616" s="18"/>
      <c r="E616" s="18"/>
    </row>
    <row r="617" customFormat="false" ht="15" hidden="false" customHeight="false" outlineLevel="0" collapsed="false">
      <c r="A617" s="18"/>
      <c r="B617" s="18"/>
      <c r="C617" s="18"/>
      <c r="D617" s="18"/>
      <c r="E617" s="18"/>
    </row>
    <row r="618" customFormat="false" ht="15" hidden="false" customHeight="false" outlineLevel="0" collapsed="false">
      <c r="A618" s="18"/>
      <c r="B618" s="18"/>
      <c r="C618" s="18"/>
      <c r="D618" s="18"/>
      <c r="E618" s="18"/>
    </row>
    <row r="619" customFormat="false" ht="15" hidden="false" customHeight="false" outlineLevel="0" collapsed="false">
      <c r="A619" s="18"/>
      <c r="B619" s="18"/>
      <c r="C619" s="18"/>
      <c r="D619" s="18"/>
      <c r="E619" s="18"/>
    </row>
    <row r="620" customFormat="false" ht="15" hidden="false" customHeight="false" outlineLevel="0" collapsed="false">
      <c r="A620" s="18"/>
      <c r="B620" s="18"/>
      <c r="C620" s="18"/>
      <c r="D620" s="18"/>
      <c r="E620" s="18"/>
    </row>
    <row r="621" customFormat="false" ht="15" hidden="false" customHeight="false" outlineLevel="0" collapsed="false">
      <c r="A621" s="18"/>
      <c r="B621" s="18"/>
      <c r="C621" s="18"/>
      <c r="D621" s="18"/>
      <c r="E621" s="18"/>
    </row>
    <row r="622" customFormat="false" ht="15" hidden="false" customHeight="false" outlineLevel="0" collapsed="false">
      <c r="A622" s="18"/>
      <c r="B622" s="18"/>
      <c r="C622" s="18"/>
      <c r="D622" s="18"/>
      <c r="E622" s="18"/>
    </row>
    <row r="623" customFormat="false" ht="15" hidden="false" customHeight="false" outlineLevel="0" collapsed="false">
      <c r="A623" s="18"/>
      <c r="B623" s="18"/>
      <c r="C623" s="18"/>
      <c r="D623" s="18"/>
      <c r="E623" s="18"/>
    </row>
    <row r="624" customFormat="false" ht="15" hidden="false" customHeight="false" outlineLevel="0" collapsed="false">
      <c r="A624" s="18"/>
      <c r="B624" s="18"/>
      <c r="C624" s="18"/>
      <c r="D624" s="18"/>
      <c r="E624" s="18"/>
    </row>
    <row r="625" customFormat="false" ht="15" hidden="false" customHeight="false" outlineLevel="0" collapsed="false">
      <c r="A625" s="18"/>
      <c r="B625" s="18"/>
      <c r="C625" s="18"/>
      <c r="D625" s="18"/>
      <c r="E625" s="18"/>
    </row>
    <row r="626" customFormat="false" ht="15" hidden="false" customHeight="false" outlineLevel="0" collapsed="false">
      <c r="A626" s="18"/>
      <c r="B626" s="18"/>
      <c r="C626" s="18"/>
      <c r="D626" s="18"/>
      <c r="E626" s="18"/>
    </row>
    <row r="627" customFormat="false" ht="15" hidden="false" customHeight="false" outlineLevel="0" collapsed="false">
      <c r="A627" s="18"/>
      <c r="B627" s="18"/>
      <c r="C627" s="18"/>
      <c r="D627" s="18"/>
      <c r="E627" s="18"/>
    </row>
    <row r="628" customFormat="false" ht="15" hidden="false" customHeight="false" outlineLevel="0" collapsed="false">
      <c r="A628" s="18"/>
      <c r="B628" s="18"/>
      <c r="C628" s="18"/>
      <c r="D628" s="18"/>
      <c r="E628" s="18"/>
    </row>
    <row r="629" customFormat="false" ht="15" hidden="false" customHeight="false" outlineLevel="0" collapsed="false">
      <c r="A629" s="18"/>
      <c r="B629" s="18"/>
      <c r="C629" s="18"/>
      <c r="D629" s="18"/>
      <c r="E629" s="18"/>
    </row>
    <row r="630" customFormat="false" ht="15" hidden="false" customHeight="false" outlineLevel="0" collapsed="false">
      <c r="A630" s="18"/>
      <c r="B630" s="18"/>
      <c r="C630" s="18"/>
      <c r="D630" s="18"/>
      <c r="E630" s="18"/>
    </row>
    <row r="631" customFormat="false" ht="15" hidden="false" customHeight="false" outlineLevel="0" collapsed="false">
      <c r="A631" s="18"/>
      <c r="B631" s="18"/>
      <c r="C631" s="18"/>
      <c r="D631" s="18"/>
      <c r="E631" s="18"/>
    </row>
    <row r="632" customFormat="false" ht="15" hidden="false" customHeight="false" outlineLevel="0" collapsed="false">
      <c r="A632" s="18"/>
      <c r="B632" s="18"/>
      <c r="C632" s="18"/>
      <c r="D632" s="18"/>
      <c r="E632" s="18"/>
    </row>
    <row r="633" customFormat="false" ht="15" hidden="false" customHeight="false" outlineLevel="0" collapsed="false">
      <c r="A633" s="18"/>
      <c r="B633" s="18"/>
      <c r="C633" s="18"/>
      <c r="D633" s="18"/>
      <c r="E633" s="18"/>
    </row>
    <row r="634" customFormat="false" ht="15" hidden="false" customHeight="false" outlineLevel="0" collapsed="false">
      <c r="A634" s="18"/>
      <c r="B634" s="18"/>
      <c r="C634" s="18"/>
      <c r="D634" s="18"/>
      <c r="E634" s="18"/>
    </row>
    <row r="635" customFormat="false" ht="15" hidden="false" customHeight="false" outlineLevel="0" collapsed="false">
      <c r="A635" s="18"/>
      <c r="B635" s="18"/>
      <c r="C635" s="18"/>
      <c r="D635" s="18"/>
      <c r="E635" s="18"/>
    </row>
    <row r="636" customFormat="false" ht="15" hidden="false" customHeight="false" outlineLevel="0" collapsed="false">
      <c r="A636" s="18"/>
      <c r="B636" s="18"/>
      <c r="C636" s="18"/>
      <c r="D636" s="18"/>
      <c r="E636" s="18"/>
    </row>
    <row r="637" customFormat="false" ht="15" hidden="false" customHeight="false" outlineLevel="0" collapsed="false">
      <c r="A637" s="18"/>
      <c r="B637" s="18"/>
      <c r="C637" s="18"/>
      <c r="D637" s="18"/>
      <c r="E637" s="18"/>
    </row>
    <row r="638" customFormat="false" ht="15" hidden="false" customHeight="false" outlineLevel="0" collapsed="false">
      <c r="A638" s="18"/>
      <c r="B638" s="18"/>
      <c r="C638" s="18"/>
      <c r="D638" s="18"/>
      <c r="E638" s="18"/>
    </row>
    <row r="639" customFormat="false" ht="15" hidden="false" customHeight="false" outlineLevel="0" collapsed="false">
      <c r="A639" s="18"/>
      <c r="B639" s="18"/>
      <c r="C639" s="18"/>
      <c r="D639" s="18"/>
      <c r="E639" s="18"/>
    </row>
    <row r="640" customFormat="false" ht="15" hidden="false" customHeight="false" outlineLevel="0" collapsed="false">
      <c r="A640" s="18"/>
      <c r="B640" s="18"/>
      <c r="C640" s="18"/>
      <c r="D640" s="18"/>
      <c r="E640" s="18"/>
    </row>
    <row r="641" customFormat="false" ht="15" hidden="false" customHeight="false" outlineLevel="0" collapsed="false">
      <c r="A641" s="18"/>
      <c r="B641" s="18"/>
      <c r="C641" s="18"/>
      <c r="D641" s="18"/>
      <c r="E641" s="18"/>
    </row>
    <row r="642" customFormat="false" ht="15" hidden="false" customHeight="false" outlineLevel="0" collapsed="false">
      <c r="A642" s="18"/>
      <c r="B642" s="18"/>
      <c r="C642" s="18"/>
      <c r="D642" s="18"/>
      <c r="E642" s="18"/>
    </row>
    <row r="643" customFormat="false" ht="15" hidden="false" customHeight="false" outlineLevel="0" collapsed="false">
      <c r="A643" s="18"/>
      <c r="B643" s="18"/>
      <c r="C643" s="18"/>
      <c r="D643" s="18"/>
      <c r="E643" s="18"/>
    </row>
    <row r="644" customFormat="false" ht="15" hidden="false" customHeight="false" outlineLevel="0" collapsed="false">
      <c r="A644" s="18"/>
      <c r="B644" s="18"/>
      <c r="C644" s="18"/>
      <c r="D644" s="18"/>
      <c r="E644" s="18"/>
    </row>
    <row r="645" customFormat="false" ht="15" hidden="false" customHeight="false" outlineLevel="0" collapsed="false">
      <c r="A645" s="18"/>
      <c r="B645" s="18"/>
      <c r="C645" s="18"/>
      <c r="D645" s="18"/>
      <c r="E645" s="18"/>
    </row>
    <row r="646" customFormat="false" ht="15" hidden="false" customHeight="false" outlineLevel="0" collapsed="false">
      <c r="A646" s="18"/>
      <c r="B646" s="18"/>
      <c r="C646" s="18"/>
      <c r="D646" s="18"/>
      <c r="E646" s="18"/>
    </row>
    <row r="647" customFormat="false" ht="15" hidden="false" customHeight="false" outlineLevel="0" collapsed="false">
      <c r="A647" s="18"/>
      <c r="B647" s="18"/>
      <c r="C647" s="18"/>
      <c r="D647" s="18"/>
      <c r="E647" s="18"/>
    </row>
    <row r="648" customFormat="false" ht="15" hidden="false" customHeight="false" outlineLevel="0" collapsed="false">
      <c r="A648" s="18"/>
      <c r="B648" s="18"/>
      <c r="C648" s="18"/>
      <c r="D648" s="18"/>
      <c r="E648" s="18"/>
    </row>
    <row r="649" customFormat="false" ht="15" hidden="false" customHeight="false" outlineLevel="0" collapsed="false">
      <c r="A649" s="18"/>
      <c r="B649" s="18"/>
      <c r="C649" s="18"/>
      <c r="D649" s="18"/>
      <c r="E649" s="18"/>
    </row>
    <row r="650" customFormat="false" ht="15" hidden="false" customHeight="false" outlineLevel="0" collapsed="false">
      <c r="A650" s="18"/>
      <c r="B650" s="18"/>
      <c r="C650" s="18"/>
      <c r="D650" s="18"/>
      <c r="E650" s="18"/>
    </row>
    <row r="651" customFormat="false" ht="15" hidden="false" customHeight="false" outlineLevel="0" collapsed="false">
      <c r="A651" s="18"/>
      <c r="B651" s="18"/>
      <c r="C651" s="18"/>
      <c r="D651" s="18"/>
      <c r="E651" s="18"/>
    </row>
    <row r="652" customFormat="false" ht="15" hidden="false" customHeight="false" outlineLevel="0" collapsed="false">
      <c r="A652" s="18"/>
      <c r="B652" s="18"/>
      <c r="C652" s="18"/>
      <c r="D652" s="18"/>
      <c r="E652" s="18"/>
    </row>
    <row r="653" customFormat="false" ht="15" hidden="false" customHeight="false" outlineLevel="0" collapsed="false">
      <c r="A653" s="18"/>
      <c r="B653" s="18"/>
      <c r="C653" s="18"/>
      <c r="D653" s="18"/>
      <c r="E653" s="18"/>
    </row>
    <row r="654" customFormat="false" ht="15" hidden="false" customHeight="false" outlineLevel="0" collapsed="false">
      <c r="A654" s="18"/>
      <c r="B654" s="18"/>
      <c r="C654" s="18"/>
      <c r="D654" s="18"/>
      <c r="E654" s="18"/>
    </row>
    <row r="655" customFormat="false" ht="15" hidden="false" customHeight="false" outlineLevel="0" collapsed="false">
      <c r="A655" s="18"/>
      <c r="B655" s="18"/>
      <c r="C655" s="18"/>
      <c r="D655" s="18"/>
      <c r="E655" s="18"/>
    </row>
    <row r="656" customFormat="false" ht="15" hidden="false" customHeight="false" outlineLevel="0" collapsed="false">
      <c r="A656" s="18"/>
      <c r="B656" s="18"/>
      <c r="C656" s="18"/>
      <c r="D656" s="18"/>
      <c r="E656" s="18"/>
    </row>
    <row r="657" customFormat="false" ht="15" hidden="false" customHeight="false" outlineLevel="0" collapsed="false">
      <c r="A657" s="18"/>
      <c r="B657" s="18"/>
      <c r="C657" s="18"/>
      <c r="D657" s="18"/>
      <c r="E657" s="18"/>
    </row>
    <row r="658" customFormat="false" ht="15" hidden="false" customHeight="false" outlineLevel="0" collapsed="false">
      <c r="A658" s="18"/>
      <c r="B658" s="18"/>
      <c r="C658" s="18"/>
      <c r="D658" s="18"/>
      <c r="E658" s="18"/>
    </row>
    <row r="659" customFormat="false" ht="15" hidden="false" customHeight="false" outlineLevel="0" collapsed="false">
      <c r="A659" s="18"/>
      <c r="B659" s="18"/>
      <c r="C659" s="18"/>
      <c r="D659" s="18"/>
      <c r="E659" s="18"/>
    </row>
    <row r="660" customFormat="false" ht="15" hidden="false" customHeight="false" outlineLevel="0" collapsed="false">
      <c r="A660" s="18"/>
      <c r="B660" s="18"/>
      <c r="C660" s="18"/>
      <c r="D660" s="18"/>
      <c r="E660" s="18"/>
    </row>
    <row r="661" customFormat="false" ht="15" hidden="false" customHeight="false" outlineLevel="0" collapsed="false">
      <c r="A661" s="18"/>
      <c r="B661" s="18"/>
      <c r="C661" s="18"/>
      <c r="D661" s="18"/>
      <c r="E661" s="18"/>
    </row>
    <row r="662" customFormat="false" ht="15" hidden="false" customHeight="false" outlineLevel="0" collapsed="false">
      <c r="A662" s="18"/>
      <c r="B662" s="18"/>
      <c r="C662" s="18"/>
      <c r="D662" s="18"/>
      <c r="E662" s="18"/>
    </row>
    <row r="663" customFormat="false" ht="15" hidden="false" customHeight="false" outlineLevel="0" collapsed="false">
      <c r="A663" s="18"/>
      <c r="B663" s="18"/>
      <c r="C663" s="18"/>
      <c r="D663" s="18"/>
      <c r="E663" s="18"/>
    </row>
    <row r="664" customFormat="false" ht="15" hidden="false" customHeight="false" outlineLevel="0" collapsed="false">
      <c r="A664" s="18"/>
      <c r="B664" s="18"/>
      <c r="C664" s="18"/>
      <c r="D664" s="18"/>
      <c r="E664" s="18"/>
    </row>
    <row r="665" customFormat="false" ht="15" hidden="false" customHeight="false" outlineLevel="0" collapsed="false">
      <c r="A665" s="18"/>
      <c r="B665" s="18"/>
      <c r="C665" s="18"/>
      <c r="D665" s="18"/>
      <c r="E665" s="18"/>
    </row>
    <row r="666" customFormat="false" ht="15" hidden="false" customHeight="false" outlineLevel="0" collapsed="false">
      <c r="A666" s="18"/>
      <c r="B666" s="18"/>
      <c r="C666" s="18"/>
      <c r="D666" s="18"/>
      <c r="E666" s="18"/>
    </row>
    <row r="667" customFormat="false" ht="15" hidden="false" customHeight="false" outlineLevel="0" collapsed="false">
      <c r="A667" s="18"/>
      <c r="B667" s="18"/>
      <c r="C667" s="18"/>
      <c r="D667" s="18"/>
      <c r="E667" s="18"/>
    </row>
    <row r="668" customFormat="false" ht="15" hidden="false" customHeight="false" outlineLevel="0" collapsed="false">
      <c r="A668" s="18"/>
      <c r="B668" s="18"/>
      <c r="C668" s="18"/>
      <c r="D668" s="18"/>
      <c r="E668" s="18"/>
    </row>
    <row r="669" customFormat="false" ht="15" hidden="false" customHeight="false" outlineLevel="0" collapsed="false">
      <c r="A669" s="18"/>
      <c r="B669" s="18"/>
      <c r="C669" s="18"/>
      <c r="D669" s="18"/>
      <c r="E669" s="18"/>
    </row>
    <row r="670" customFormat="false" ht="15" hidden="false" customHeight="false" outlineLevel="0" collapsed="false">
      <c r="A670" s="18"/>
      <c r="B670" s="18"/>
      <c r="C670" s="18"/>
      <c r="D670" s="18"/>
      <c r="E670" s="18"/>
    </row>
    <row r="671" customFormat="false" ht="15" hidden="false" customHeight="false" outlineLevel="0" collapsed="false">
      <c r="A671" s="18"/>
      <c r="B671" s="18"/>
      <c r="C671" s="18"/>
      <c r="D671" s="18"/>
      <c r="E671" s="18"/>
    </row>
    <row r="672" customFormat="false" ht="15" hidden="false" customHeight="false" outlineLevel="0" collapsed="false">
      <c r="A672" s="18"/>
      <c r="B672" s="18"/>
      <c r="C672" s="18"/>
      <c r="D672" s="18"/>
      <c r="E672" s="18"/>
    </row>
    <row r="673" customFormat="false" ht="15" hidden="false" customHeight="false" outlineLevel="0" collapsed="false">
      <c r="A673" s="18"/>
      <c r="B673" s="18"/>
      <c r="C673" s="18"/>
      <c r="D673" s="18"/>
      <c r="E673" s="18"/>
    </row>
    <row r="674" customFormat="false" ht="15" hidden="false" customHeight="false" outlineLevel="0" collapsed="false">
      <c r="A674" s="18"/>
      <c r="B674" s="18"/>
      <c r="C674" s="18"/>
      <c r="D674" s="18"/>
      <c r="E674" s="18"/>
    </row>
    <row r="675" customFormat="false" ht="15" hidden="false" customHeight="false" outlineLevel="0" collapsed="false">
      <c r="A675" s="18"/>
      <c r="B675" s="18"/>
      <c r="C675" s="18"/>
      <c r="D675" s="18"/>
      <c r="E675" s="18"/>
    </row>
    <row r="676" customFormat="false" ht="15" hidden="false" customHeight="false" outlineLevel="0" collapsed="false">
      <c r="A676" s="18"/>
      <c r="B676" s="18"/>
      <c r="C676" s="18"/>
      <c r="D676" s="18"/>
      <c r="E676" s="18"/>
    </row>
    <row r="677" customFormat="false" ht="15" hidden="false" customHeight="false" outlineLevel="0" collapsed="false">
      <c r="A677" s="18"/>
      <c r="B677" s="18"/>
      <c r="C677" s="18"/>
      <c r="D677" s="18"/>
      <c r="E677" s="18"/>
    </row>
    <row r="678" customFormat="false" ht="15" hidden="false" customHeight="false" outlineLevel="0" collapsed="false">
      <c r="A678" s="18"/>
      <c r="B678" s="18"/>
      <c r="C678" s="18"/>
      <c r="D678" s="18"/>
      <c r="E678" s="18"/>
    </row>
    <row r="679" customFormat="false" ht="15" hidden="false" customHeight="false" outlineLevel="0" collapsed="false">
      <c r="A679" s="18"/>
      <c r="B679" s="18"/>
      <c r="C679" s="18"/>
      <c r="D679" s="18"/>
      <c r="E679" s="18"/>
    </row>
    <row r="680" customFormat="false" ht="15" hidden="false" customHeight="false" outlineLevel="0" collapsed="false">
      <c r="A680" s="18"/>
      <c r="B680" s="18"/>
      <c r="C680" s="18"/>
      <c r="D680" s="18"/>
      <c r="E680" s="18"/>
    </row>
    <row r="681" customFormat="false" ht="15" hidden="false" customHeight="false" outlineLevel="0" collapsed="false">
      <c r="A681" s="18"/>
      <c r="B681" s="18"/>
      <c r="C681" s="18"/>
      <c r="D681" s="18"/>
      <c r="E681" s="18"/>
    </row>
    <row r="682" customFormat="false" ht="15" hidden="false" customHeight="false" outlineLevel="0" collapsed="false">
      <c r="A682" s="18"/>
      <c r="B682" s="18"/>
      <c r="C682" s="18"/>
      <c r="D682" s="18"/>
      <c r="E682" s="18"/>
    </row>
    <row r="683" customFormat="false" ht="15" hidden="false" customHeight="false" outlineLevel="0" collapsed="false">
      <c r="A683" s="18"/>
      <c r="B683" s="18"/>
      <c r="C683" s="18"/>
      <c r="D683" s="18"/>
      <c r="E683" s="18"/>
    </row>
    <row r="684" customFormat="false" ht="15" hidden="false" customHeight="false" outlineLevel="0" collapsed="false">
      <c r="A684" s="18"/>
      <c r="B684" s="18"/>
      <c r="C684" s="18"/>
      <c r="D684" s="18"/>
      <c r="E684" s="18"/>
    </row>
    <row r="685" customFormat="false" ht="15" hidden="false" customHeight="false" outlineLevel="0" collapsed="false">
      <c r="A685" s="18"/>
      <c r="B685" s="18"/>
      <c r="C685" s="18"/>
      <c r="D685" s="18"/>
      <c r="E685" s="18"/>
    </row>
    <row r="686" customFormat="false" ht="15" hidden="false" customHeight="false" outlineLevel="0" collapsed="false">
      <c r="A686" s="18"/>
      <c r="B686" s="18"/>
      <c r="C686" s="18"/>
      <c r="D686" s="18"/>
      <c r="E686" s="18"/>
    </row>
    <row r="687" customFormat="false" ht="15" hidden="false" customHeight="false" outlineLevel="0" collapsed="false">
      <c r="A687" s="18"/>
      <c r="B687" s="18"/>
      <c r="C687" s="18"/>
      <c r="D687" s="18"/>
      <c r="E687" s="18"/>
    </row>
    <row r="688" customFormat="false" ht="15" hidden="false" customHeight="false" outlineLevel="0" collapsed="false">
      <c r="A688" s="18"/>
      <c r="B688" s="18"/>
      <c r="C688" s="18"/>
      <c r="D688" s="18"/>
      <c r="E688" s="18"/>
    </row>
    <row r="689" customFormat="false" ht="15" hidden="false" customHeight="false" outlineLevel="0" collapsed="false">
      <c r="A689" s="18"/>
      <c r="B689" s="18"/>
      <c r="C689" s="18"/>
      <c r="D689" s="18"/>
      <c r="E689" s="18"/>
    </row>
    <row r="690" customFormat="false" ht="15" hidden="false" customHeight="false" outlineLevel="0" collapsed="false">
      <c r="A690" s="18"/>
      <c r="B690" s="18"/>
      <c r="C690" s="18"/>
      <c r="D690" s="18"/>
      <c r="E690" s="18"/>
    </row>
    <row r="691" customFormat="false" ht="15" hidden="false" customHeight="false" outlineLevel="0" collapsed="false">
      <c r="A691" s="18"/>
      <c r="B691" s="18"/>
      <c r="C691" s="18"/>
      <c r="D691" s="18"/>
      <c r="E691" s="18"/>
    </row>
    <row r="692" customFormat="false" ht="15" hidden="false" customHeight="false" outlineLevel="0" collapsed="false">
      <c r="A692" s="18"/>
      <c r="B692" s="18"/>
      <c r="C692" s="18"/>
      <c r="D692" s="18"/>
      <c r="E692" s="18"/>
    </row>
    <row r="693" customFormat="false" ht="15" hidden="false" customHeight="false" outlineLevel="0" collapsed="false">
      <c r="A693" s="18"/>
      <c r="B693" s="18"/>
      <c r="C693" s="18"/>
      <c r="D693" s="18"/>
      <c r="E693" s="18"/>
    </row>
    <row r="694" customFormat="false" ht="15" hidden="false" customHeight="false" outlineLevel="0" collapsed="false">
      <c r="A694" s="18"/>
      <c r="B694" s="18"/>
      <c r="C694" s="18"/>
      <c r="D694" s="18"/>
      <c r="E694" s="18"/>
    </row>
    <row r="695" customFormat="false" ht="15" hidden="false" customHeight="false" outlineLevel="0" collapsed="false">
      <c r="A695" s="18"/>
      <c r="B695" s="18"/>
      <c r="C695" s="18"/>
      <c r="D695" s="18"/>
      <c r="E695" s="18"/>
    </row>
    <row r="696" customFormat="false" ht="15" hidden="false" customHeight="false" outlineLevel="0" collapsed="false">
      <c r="A696" s="18"/>
      <c r="B696" s="18"/>
      <c r="C696" s="18"/>
      <c r="D696" s="18"/>
      <c r="E696" s="18"/>
    </row>
    <row r="697" customFormat="false" ht="15" hidden="false" customHeight="false" outlineLevel="0" collapsed="false">
      <c r="A697" s="18"/>
      <c r="B697" s="18"/>
      <c r="C697" s="18"/>
      <c r="D697" s="18"/>
      <c r="E697" s="18"/>
    </row>
    <row r="698" customFormat="false" ht="15" hidden="false" customHeight="false" outlineLevel="0" collapsed="false">
      <c r="A698" s="18"/>
      <c r="B698" s="18"/>
      <c r="C698" s="18"/>
      <c r="D698" s="18"/>
      <c r="E698" s="18"/>
    </row>
    <row r="699" customFormat="false" ht="15" hidden="false" customHeight="false" outlineLevel="0" collapsed="false">
      <c r="A699" s="18"/>
      <c r="B699" s="18"/>
      <c r="C699" s="18"/>
      <c r="D699" s="18"/>
      <c r="E699" s="18"/>
    </row>
    <row r="700" customFormat="false" ht="15" hidden="false" customHeight="false" outlineLevel="0" collapsed="false">
      <c r="A700" s="18"/>
      <c r="B700" s="18"/>
      <c r="C700" s="18"/>
      <c r="D700" s="18"/>
      <c r="E700" s="18"/>
    </row>
    <row r="701" customFormat="false" ht="15" hidden="false" customHeight="false" outlineLevel="0" collapsed="false">
      <c r="A701" s="18"/>
      <c r="B701" s="18"/>
      <c r="C701" s="18"/>
      <c r="D701" s="18"/>
      <c r="E701" s="18"/>
    </row>
    <row r="702" customFormat="false" ht="15" hidden="false" customHeight="false" outlineLevel="0" collapsed="false">
      <c r="A702" s="18"/>
      <c r="B702" s="18"/>
      <c r="C702" s="18"/>
      <c r="D702" s="18"/>
      <c r="E702" s="18"/>
    </row>
    <row r="703" customFormat="false" ht="15" hidden="false" customHeight="false" outlineLevel="0" collapsed="false">
      <c r="A703" s="18"/>
      <c r="B703" s="18"/>
      <c r="C703" s="18"/>
      <c r="D703" s="18"/>
      <c r="E703" s="18"/>
    </row>
    <row r="704" customFormat="false" ht="15" hidden="false" customHeight="false" outlineLevel="0" collapsed="false">
      <c r="A704" s="18"/>
      <c r="B704" s="18"/>
      <c r="C704" s="18"/>
      <c r="D704" s="18"/>
      <c r="E704" s="18"/>
    </row>
    <row r="705" customFormat="false" ht="15" hidden="false" customHeight="false" outlineLevel="0" collapsed="false">
      <c r="A705" s="18"/>
      <c r="B705" s="18"/>
      <c r="C705" s="18"/>
      <c r="D705" s="18"/>
      <c r="E705" s="18"/>
    </row>
    <row r="706" customFormat="false" ht="15" hidden="false" customHeight="false" outlineLevel="0" collapsed="false">
      <c r="A706" s="18"/>
      <c r="B706" s="18"/>
      <c r="C706" s="18"/>
      <c r="D706" s="18"/>
      <c r="E706" s="18"/>
    </row>
    <row r="707" customFormat="false" ht="15" hidden="false" customHeight="false" outlineLevel="0" collapsed="false">
      <c r="A707" s="18"/>
      <c r="B707" s="18"/>
      <c r="C707" s="18"/>
      <c r="D707" s="18"/>
      <c r="E707" s="18"/>
    </row>
    <row r="708" customFormat="false" ht="15" hidden="false" customHeight="false" outlineLevel="0" collapsed="false">
      <c r="A708" s="18"/>
      <c r="B708" s="18"/>
      <c r="C708" s="18"/>
      <c r="D708" s="18"/>
      <c r="E708" s="18"/>
    </row>
    <row r="709" customFormat="false" ht="15" hidden="false" customHeight="false" outlineLevel="0" collapsed="false">
      <c r="A709" s="18"/>
      <c r="B709" s="18"/>
      <c r="C709" s="18"/>
      <c r="D709" s="18"/>
      <c r="E709" s="18"/>
    </row>
    <row r="710" customFormat="false" ht="15" hidden="false" customHeight="false" outlineLevel="0" collapsed="false">
      <c r="A710" s="18"/>
      <c r="B710" s="18"/>
      <c r="C710" s="18"/>
      <c r="D710" s="18"/>
      <c r="E710" s="18"/>
    </row>
    <row r="711" customFormat="false" ht="15" hidden="false" customHeight="false" outlineLevel="0" collapsed="false">
      <c r="A711" s="18"/>
      <c r="B711" s="18"/>
      <c r="C711" s="18"/>
      <c r="D711" s="18"/>
      <c r="E711" s="18"/>
    </row>
    <row r="712" customFormat="false" ht="15" hidden="false" customHeight="false" outlineLevel="0" collapsed="false">
      <c r="A712" s="18"/>
      <c r="B712" s="18"/>
      <c r="C712" s="18"/>
      <c r="D712" s="18"/>
      <c r="E712" s="18"/>
    </row>
    <row r="713" customFormat="false" ht="15" hidden="false" customHeight="false" outlineLevel="0" collapsed="false">
      <c r="A713" s="18"/>
      <c r="B713" s="18"/>
      <c r="C713" s="18"/>
      <c r="D713" s="18"/>
      <c r="E713" s="18"/>
    </row>
    <row r="714" customFormat="false" ht="15" hidden="false" customHeight="false" outlineLevel="0" collapsed="false">
      <c r="A714" s="18"/>
      <c r="B714" s="18"/>
      <c r="C714" s="18"/>
      <c r="D714" s="18"/>
      <c r="E714" s="18"/>
    </row>
    <row r="715" customFormat="false" ht="15" hidden="false" customHeight="false" outlineLevel="0" collapsed="false">
      <c r="A715" s="18"/>
      <c r="B715" s="18"/>
      <c r="C715" s="18"/>
      <c r="D715" s="18"/>
      <c r="E715" s="18"/>
    </row>
    <row r="716" customFormat="false" ht="15" hidden="false" customHeight="false" outlineLevel="0" collapsed="false">
      <c r="A716" s="18"/>
      <c r="B716" s="18"/>
      <c r="C716" s="18"/>
      <c r="D716" s="18"/>
      <c r="E716" s="18"/>
    </row>
    <row r="717" customFormat="false" ht="15" hidden="false" customHeight="false" outlineLevel="0" collapsed="false">
      <c r="A717" s="18"/>
      <c r="B717" s="18"/>
      <c r="C717" s="18"/>
      <c r="D717" s="18"/>
      <c r="E717" s="18"/>
    </row>
    <row r="718" customFormat="false" ht="15" hidden="false" customHeight="false" outlineLevel="0" collapsed="false">
      <c r="A718" s="18"/>
      <c r="B718" s="18"/>
      <c r="C718" s="18"/>
      <c r="D718" s="18"/>
      <c r="E718" s="18"/>
    </row>
    <row r="719" customFormat="false" ht="15" hidden="false" customHeight="false" outlineLevel="0" collapsed="false">
      <c r="A719" s="18"/>
      <c r="B719" s="18"/>
      <c r="C719" s="18"/>
      <c r="D719" s="18"/>
      <c r="E719" s="18"/>
    </row>
    <row r="720" customFormat="false" ht="15" hidden="false" customHeight="false" outlineLevel="0" collapsed="false">
      <c r="A720" s="18"/>
      <c r="B720" s="18"/>
      <c r="C720" s="18"/>
      <c r="D720" s="18"/>
      <c r="E720" s="18"/>
    </row>
    <row r="721" customFormat="false" ht="15" hidden="false" customHeight="false" outlineLevel="0" collapsed="false">
      <c r="A721" s="18"/>
      <c r="B721" s="18"/>
      <c r="C721" s="18"/>
      <c r="D721" s="18"/>
      <c r="E721" s="18"/>
    </row>
    <row r="722" customFormat="false" ht="15" hidden="false" customHeight="false" outlineLevel="0" collapsed="false">
      <c r="A722" s="18"/>
      <c r="B722" s="18"/>
      <c r="C722" s="18"/>
      <c r="D722" s="18"/>
      <c r="E722" s="18"/>
    </row>
    <row r="723" customFormat="false" ht="15" hidden="false" customHeight="false" outlineLevel="0" collapsed="false">
      <c r="A723" s="18"/>
      <c r="B723" s="18"/>
      <c r="C723" s="18"/>
      <c r="D723" s="18"/>
      <c r="E723" s="18"/>
    </row>
    <row r="724" customFormat="false" ht="15" hidden="false" customHeight="false" outlineLevel="0" collapsed="false">
      <c r="A724" s="18"/>
      <c r="B724" s="18"/>
      <c r="C724" s="18"/>
      <c r="D724" s="18"/>
      <c r="E724" s="18"/>
    </row>
    <row r="725" customFormat="false" ht="15" hidden="false" customHeight="false" outlineLevel="0" collapsed="false">
      <c r="A725" s="18"/>
      <c r="B725" s="18"/>
      <c r="C725" s="18"/>
      <c r="D725" s="18"/>
      <c r="E725" s="18"/>
    </row>
    <row r="726" customFormat="false" ht="15" hidden="false" customHeight="false" outlineLevel="0" collapsed="false">
      <c r="A726" s="18"/>
      <c r="B726" s="18"/>
      <c r="C726" s="18"/>
      <c r="D726" s="18"/>
      <c r="E726" s="18"/>
    </row>
    <row r="727" customFormat="false" ht="15" hidden="false" customHeight="false" outlineLevel="0" collapsed="false">
      <c r="A727" s="18"/>
      <c r="B727" s="18"/>
      <c r="C727" s="18"/>
      <c r="D727" s="18"/>
      <c r="E727" s="18"/>
    </row>
    <row r="728" customFormat="false" ht="15" hidden="false" customHeight="false" outlineLevel="0" collapsed="false">
      <c r="A728" s="18"/>
      <c r="B728" s="18"/>
      <c r="C728" s="18"/>
      <c r="D728" s="18"/>
      <c r="E728" s="18"/>
    </row>
    <row r="729" customFormat="false" ht="15" hidden="false" customHeight="false" outlineLevel="0" collapsed="false">
      <c r="A729" s="18"/>
      <c r="B729" s="18"/>
      <c r="C729" s="18"/>
      <c r="D729" s="18"/>
      <c r="E729" s="18"/>
    </row>
    <row r="730" customFormat="false" ht="15" hidden="false" customHeight="false" outlineLevel="0" collapsed="false">
      <c r="A730" s="18"/>
      <c r="B730" s="18"/>
      <c r="C730" s="18"/>
      <c r="D730" s="18"/>
      <c r="E730" s="18"/>
    </row>
    <row r="731" customFormat="false" ht="15" hidden="false" customHeight="false" outlineLevel="0" collapsed="false">
      <c r="A731" s="18"/>
      <c r="B731" s="18"/>
      <c r="C731" s="18"/>
      <c r="D731" s="18"/>
      <c r="E731" s="18"/>
    </row>
    <row r="732" customFormat="false" ht="15" hidden="false" customHeight="false" outlineLevel="0" collapsed="false">
      <c r="A732" s="18"/>
      <c r="B732" s="18"/>
      <c r="C732" s="18"/>
      <c r="D732" s="18"/>
      <c r="E732" s="18"/>
    </row>
    <row r="733" customFormat="false" ht="15" hidden="false" customHeight="false" outlineLevel="0" collapsed="false">
      <c r="A733" s="18"/>
      <c r="B733" s="18"/>
      <c r="C733" s="18"/>
      <c r="D733" s="18"/>
      <c r="E733" s="18"/>
    </row>
    <row r="734" customFormat="false" ht="15" hidden="false" customHeight="false" outlineLevel="0" collapsed="false">
      <c r="A734" s="18"/>
      <c r="B734" s="18"/>
      <c r="C734" s="18"/>
      <c r="D734" s="18"/>
      <c r="E734" s="18"/>
    </row>
    <row r="735" customFormat="false" ht="15" hidden="false" customHeight="false" outlineLevel="0" collapsed="false">
      <c r="A735" s="18"/>
      <c r="B735" s="18"/>
      <c r="C735" s="18"/>
      <c r="D735" s="18"/>
      <c r="E735" s="18"/>
    </row>
    <row r="736" customFormat="false" ht="15" hidden="false" customHeight="false" outlineLevel="0" collapsed="false">
      <c r="A736" s="18"/>
      <c r="B736" s="18"/>
      <c r="C736" s="18"/>
      <c r="D736" s="18"/>
      <c r="E736" s="18"/>
    </row>
    <row r="737" customFormat="false" ht="15" hidden="false" customHeight="false" outlineLevel="0" collapsed="false">
      <c r="A737" s="18"/>
      <c r="B737" s="18"/>
      <c r="C737" s="18"/>
      <c r="D737" s="18"/>
      <c r="E737" s="18"/>
    </row>
    <row r="738" customFormat="false" ht="15" hidden="false" customHeight="false" outlineLevel="0" collapsed="false">
      <c r="A738" s="18"/>
      <c r="B738" s="18"/>
      <c r="C738" s="18"/>
      <c r="D738" s="18"/>
      <c r="E738" s="18"/>
    </row>
    <row r="739" customFormat="false" ht="15" hidden="false" customHeight="false" outlineLevel="0" collapsed="false">
      <c r="A739" s="18"/>
      <c r="B739" s="18"/>
      <c r="C739" s="18"/>
      <c r="D739" s="18"/>
      <c r="E739" s="18"/>
    </row>
    <row r="740" customFormat="false" ht="15" hidden="false" customHeight="false" outlineLevel="0" collapsed="false">
      <c r="A740" s="18"/>
      <c r="B740" s="18"/>
      <c r="C740" s="18"/>
      <c r="D740" s="18"/>
      <c r="E740" s="18"/>
    </row>
    <row r="741" customFormat="false" ht="15" hidden="false" customHeight="false" outlineLevel="0" collapsed="false">
      <c r="A741" s="18"/>
      <c r="B741" s="18"/>
      <c r="C741" s="18"/>
      <c r="D741" s="18"/>
      <c r="E741" s="18"/>
    </row>
    <row r="742" customFormat="false" ht="15" hidden="false" customHeight="false" outlineLevel="0" collapsed="false">
      <c r="A742" s="18"/>
      <c r="B742" s="18"/>
      <c r="C742" s="18"/>
      <c r="D742" s="18"/>
      <c r="E742" s="18"/>
    </row>
    <row r="743" customFormat="false" ht="15" hidden="false" customHeight="false" outlineLevel="0" collapsed="false">
      <c r="A743" s="18"/>
      <c r="B743" s="18"/>
      <c r="C743" s="18"/>
      <c r="D743" s="18"/>
      <c r="E743" s="18"/>
    </row>
    <row r="744" customFormat="false" ht="15" hidden="false" customHeight="false" outlineLevel="0" collapsed="false">
      <c r="A744" s="18"/>
      <c r="B744" s="18"/>
      <c r="C744" s="18"/>
      <c r="D744" s="18"/>
      <c r="E744" s="18"/>
    </row>
    <row r="745" customFormat="false" ht="15" hidden="false" customHeight="false" outlineLevel="0" collapsed="false">
      <c r="A745" s="18"/>
      <c r="B745" s="18"/>
      <c r="C745" s="18"/>
      <c r="D745" s="18"/>
      <c r="E745" s="18"/>
    </row>
    <row r="746" customFormat="false" ht="15" hidden="false" customHeight="false" outlineLevel="0" collapsed="false">
      <c r="A746" s="18"/>
      <c r="B746" s="18"/>
      <c r="C746" s="18"/>
      <c r="D746" s="18"/>
      <c r="E746" s="18"/>
    </row>
    <row r="747" customFormat="false" ht="15" hidden="false" customHeight="false" outlineLevel="0" collapsed="false">
      <c r="A747" s="18"/>
      <c r="B747" s="18"/>
      <c r="C747" s="18"/>
      <c r="D747" s="18"/>
      <c r="E747" s="18"/>
    </row>
    <row r="748" customFormat="false" ht="15" hidden="false" customHeight="false" outlineLevel="0" collapsed="false">
      <c r="A748" s="18"/>
      <c r="B748" s="18"/>
      <c r="C748" s="18"/>
      <c r="D748" s="18"/>
      <c r="E748" s="18"/>
    </row>
    <row r="749" customFormat="false" ht="15" hidden="false" customHeight="false" outlineLevel="0" collapsed="false">
      <c r="A749" s="18"/>
      <c r="B749" s="18"/>
      <c r="C749" s="18"/>
      <c r="D749" s="18"/>
      <c r="E749" s="18"/>
    </row>
    <row r="750" customFormat="false" ht="15" hidden="false" customHeight="false" outlineLevel="0" collapsed="false">
      <c r="A750" s="18"/>
      <c r="B750" s="18"/>
      <c r="C750" s="18"/>
      <c r="D750" s="18"/>
      <c r="E750" s="18"/>
    </row>
    <row r="751" customFormat="false" ht="15" hidden="false" customHeight="false" outlineLevel="0" collapsed="false">
      <c r="A751" s="18"/>
      <c r="B751" s="18"/>
      <c r="C751" s="18"/>
      <c r="D751" s="18"/>
      <c r="E751" s="18"/>
    </row>
    <row r="752" customFormat="false" ht="15" hidden="false" customHeight="false" outlineLevel="0" collapsed="false">
      <c r="A752" s="18"/>
      <c r="B752" s="18"/>
      <c r="C752" s="18"/>
      <c r="D752" s="18"/>
      <c r="E752" s="18"/>
    </row>
    <row r="753" customFormat="false" ht="15" hidden="false" customHeight="false" outlineLevel="0" collapsed="false">
      <c r="A753" s="18"/>
      <c r="B753" s="18"/>
      <c r="C753" s="18"/>
      <c r="D753" s="18"/>
      <c r="E753" s="18"/>
    </row>
    <row r="754" customFormat="false" ht="15" hidden="false" customHeight="false" outlineLevel="0" collapsed="false">
      <c r="A754" s="18"/>
      <c r="B754" s="18"/>
      <c r="C754" s="18"/>
      <c r="D754" s="18"/>
      <c r="E754" s="18"/>
    </row>
    <row r="755" customFormat="false" ht="15" hidden="false" customHeight="false" outlineLevel="0" collapsed="false">
      <c r="A755" s="18"/>
      <c r="B755" s="18"/>
      <c r="C755" s="18"/>
      <c r="D755" s="18"/>
      <c r="E755" s="18"/>
    </row>
    <row r="756" customFormat="false" ht="15" hidden="false" customHeight="false" outlineLevel="0" collapsed="false">
      <c r="A756" s="18"/>
      <c r="B756" s="18"/>
      <c r="C756" s="18"/>
      <c r="D756" s="18"/>
      <c r="E756" s="18"/>
    </row>
    <row r="757" customFormat="false" ht="15" hidden="false" customHeight="false" outlineLevel="0" collapsed="false">
      <c r="A757" s="18"/>
      <c r="B757" s="18"/>
      <c r="C757" s="18"/>
      <c r="D757" s="18"/>
      <c r="E757" s="18"/>
    </row>
    <row r="758" customFormat="false" ht="15" hidden="false" customHeight="false" outlineLevel="0" collapsed="false">
      <c r="A758" s="18"/>
      <c r="B758" s="18"/>
      <c r="C758" s="18"/>
      <c r="D758" s="18"/>
      <c r="E758" s="18"/>
    </row>
    <row r="759" customFormat="false" ht="15" hidden="false" customHeight="false" outlineLevel="0" collapsed="false">
      <c r="A759" s="18"/>
      <c r="B759" s="18"/>
      <c r="C759" s="18"/>
      <c r="D759" s="18"/>
      <c r="E759" s="18"/>
    </row>
    <row r="760" customFormat="false" ht="15" hidden="false" customHeight="false" outlineLevel="0" collapsed="false">
      <c r="A760" s="18"/>
      <c r="B760" s="18"/>
      <c r="C760" s="18"/>
      <c r="D760" s="18"/>
      <c r="E760" s="18"/>
    </row>
    <row r="761" customFormat="false" ht="15" hidden="false" customHeight="false" outlineLevel="0" collapsed="false">
      <c r="A761" s="18"/>
      <c r="B761" s="18"/>
      <c r="C761" s="18"/>
      <c r="D761" s="18"/>
      <c r="E761" s="18"/>
    </row>
    <row r="762" customFormat="false" ht="15" hidden="false" customHeight="false" outlineLevel="0" collapsed="false">
      <c r="A762" s="18"/>
      <c r="B762" s="18"/>
      <c r="C762" s="18"/>
      <c r="D762" s="18"/>
      <c r="E762" s="18"/>
    </row>
    <row r="763" customFormat="false" ht="15" hidden="false" customHeight="false" outlineLevel="0" collapsed="false">
      <c r="A763" s="18"/>
      <c r="B763" s="18"/>
      <c r="C763" s="18"/>
      <c r="D763" s="18"/>
      <c r="E763" s="18"/>
    </row>
    <row r="764" customFormat="false" ht="15" hidden="false" customHeight="false" outlineLevel="0" collapsed="false">
      <c r="A764" s="18"/>
      <c r="B764" s="18"/>
      <c r="C764" s="18"/>
      <c r="D764" s="18"/>
      <c r="E764" s="18"/>
    </row>
    <row r="765" customFormat="false" ht="15" hidden="false" customHeight="false" outlineLevel="0" collapsed="false">
      <c r="A765" s="18"/>
      <c r="B765" s="18"/>
      <c r="C765" s="18"/>
      <c r="D765" s="18"/>
      <c r="E765" s="18"/>
    </row>
    <row r="766" customFormat="false" ht="15" hidden="false" customHeight="false" outlineLevel="0" collapsed="false">
      <c r="A766" s="18"/>
      <c r="B766" s="18"/>
      <c r="C766" s="18"/>
      <c r="D766" s="18"/>
      <c r="E766" s="18"/>
    </row>
    <row r="767" customFormat="false" ht="15" hidden="false" customHeight="false" outlineLevel="0" collapsed="false">
      <c r="A767" s="18"/>
      <c r="B767" s="18"/>
      <c r="C767" s="18"/>
      <c r="D767" s="18"/>
      <c r="E767" s="18"/>
    </row>
    <row r="768" customFormat="false" ht="15" hidden="false" customHeight="false" outlineLevel="0" collapsed="false">
      <c r="A768" s="18"/>
      <c r="B768" s="18"/>
      <c r="C768" s="18"/>
      <c r="D768" s="18"/>
      <c r="E768" s="18"/>
    </row>
    <row r="769" customFormat="false" ht="15" hidden="false" customHeight="false" outlineLevel="0" collapsed="false">
      <c r="A769" s="18"/>
      <c r="B769" s="18"/>
      <c r="C769" s="18"/>
      <c r="D769" s="18"/>
      <c r="E769" s="18"/>
    </row>
    <row r="770" customFormat="false" ht="15" hidden="false" customHeight="false" outlineLevel="0" collapsed="false">
      <c r="A770" s="18"/>
      <c r="B770" s="18"/>
      <c r="C770" s="18"/>
      <c r="D770" s="18"/>
      <c r="E770" s="18"/>
    </row>
    <row r="771" customFormat="false" ht="15" hidden="false" customHeight="false" outlineLevel="0" collapsed="false">
      <c r="A771" s="18"/>
      <c r="B771" s="18"/>
      <c r="C771" s="18"/>
      <c r="D771" s="18"/>
      <c r="E771" s="18"/>
    </row>
    <row r="772" customFormat="false" ht="15" hidden="false" customHeight="false" outlineLevel="0" collapsed="false">
      <c r="A772" s="18"/>
      <c r="B772" s="18"/>
      <c r="C772" s="18"/>
      <c r="D772" s="18"/>
      <c r="E772" s="18"/>
    </row>
    <row r="773" customFormat="false" ht="15" hidden="false" customHeight="false" outlineLevel="0" collapsed="false">
      <c r="A773" s="18"/>
      <c r="B773" s="18"/>
      <c r="C773" s="18"/>
      <c r="D773" s="18"/>
      <c r="E773" s="18"/>
    </row>
    <row r="774" customFormat="false" ht="15" hidden="false" customHeight="false" outlineLevel="0" collapsed="false">
      <c r="A774" s="18"/>
      <c r="B774" s="18"/>
      <c r="C774" s="18"/>
      <c r="D774" s="18"/>
      <c r="E774" s="18"/>
    </row>
    <row r="775" customFormat="false" ht="15" hidden="false" customHeight="false" outlineLevel="0" collapsed="false">
      <c r="A775" s="18"/>
      <c r="B775" s="18"/>
      <c r="C775" s="18"/>
      <c r="D775" s="18"/>
      <c r="E775" s="18"/>
    </row>
    <row r="776" customFormat="false" ht="15" hidden="false" customHeight="false" outlineLevel="0" collapsed="false">
      <c r="A776" s="18"/>
      <c r="B776" s="18"/>
      <c r="C776" s="18"/>
      <c r="D776" s="18"/>
      <c r="E776" s="18"/>
    </row>
    <row r="777" customFormat="false" ht="15" hidden="false" customHeight="false" outlineLevel="0" collapsed="false">
      <c r="A777" s="18"/>
      <c r="B777" s="18"/>
      <c r="C777" s="18"/>
      <c r="D777" s="18"/>
      <c r="E777" s="18"/>
    </row>
    <row r="778" customFormat="false" ht="15" hidden="false" customHeight="false" outlineLevel="0" collapsed="false">
      <c r="A778" s="18"/>
      <c r="B778" s="18"/>
      <c r="C778" s="18"/>
      <c r="D778" s="18"/>
      <c r="E778" s="18"/>
    </row>
    <row r="779" customFormat="false" ht="15" hidden="false" customHeight="false" outlineLevel="0" collapsed="false">
      <c r="A779" s="18"/>
      <c r="B779" s="18"/>
      <c r="C779" s="18"/>
      <c r="D779" s="18"/>
      <c r="E779" s="18"/>
    </row>
    <row r="780" customFormat="false" ht="15" hidden="false" customHeight="false" outlineLevel="0" collapsed="false">
      <c r="A780" s="18"/>
      <c r="B780" s="18"/>
      <c r="C780" s="18"/>
      <c r="D780" s="18"/>
      <c r="E780" s="18"/>
    </row>
    <row r="781" customFormat="false" ht="15" hidden="false" customHeight="false" outlineLevel="0" collapsed="false">
      <c r="A781" s="18"/>
      <c r="B781" s="18"/>
      <c r="C781" s="18"/>
      <c r="D781" s="18"/>
      <c r="E781" s="18"/>
    </row>
    <row r="782" customFormat="false" ht="15" hidden="false" customHeight="false" outlineLevel="0" collapsed="false">
      <c r="A782" s="18"/>
      <c r="B782" s="18"/>
      <c r="C782" s="18"/>
      <c r="D782" s="18"/>
      <c r="E782" s="18"/>
    </row>
    <row r="783" customFormat="false" ht="15" hidden="false" customHeight="false" outlineLevel="0" collapsed="false">
      <c r="A783" s="18"/>
      <c r="B783" s="18"/>
      <c r="C783" s="18"/>
      <c r="D783" s="18"/>
      <c r="E783" s="18"/>
    </row>
    <row r="784" customFormat="false" ht="15" hidden="false" customHeight="false" outlineLevel="0" collapsed="false">
      <c r="A784" s="18"/>
      <c r="B784" s="18"/>
      <c r="C784" s="18"/>
      <c r="D784" s="18"/>
      <c r="E784" s="18"/>
    </row>
    <row r="785" customFormat="false" ht="15" hidden="false" customHeight="false" outlineLevel="0" collapsed="false">
      <c r="A785" s="18"/>
      <c r="B785" s="18"/>
      <c r="C785" s="18"/>
      <c r="D785" s="18"/>
      <c r="E785" s="18"/>
    </row>
    <row r="786" customFormat="false" ht="15" hidden="false" customHeight="false" outlineLevel="0" collapsed="false">
      <c r="A786" s="18"/>
      <c r="B786" s="18"/>
      <c r="C786" s="18"/>
      <c r="D786" s="18"/>
      <c r="E786" s="18"/>
    </row>
    <row r="787" customFormat="false" ht="15" hidden="false" customHeight="false" outlineLevel="0" collapsed="false">
      <c r="A787" s="18"/>
      <c r="B787" s="18"/>
      <c r="C787" s="18"/>
      <c r="D787" s="18"/>
      <c r="E787" s="18"/>
    </row>
    <row r="788" customFormat="false" ht="15" hidden="false" customHeight="false" outlineLevel="0" collapsed="false">
      <c r="A788" s="18"/>
      <c r="B788" s="18"/>
      <c r="C788" s="18"/>
      <c r="D788" s="18"/>
      <c r="E788" s="18"/>
    </row>
    <row r="789" customFormat="false" ht="15" hidden="false" customHeight="false" outlineLevel="0" collapsed="false">
      <c r="A789" s="18"/>
      <c r="B789" s="18"/>
      <c r="C789" s="18"/>
      <c r="D789" s="18"/>
      <c r="E789" s="18"/>
    </row>
    <row r="790" customFormat="false" ht="15" hidden="false" customHeight="false" outlineLevel="0" collapsed="false">
      <c r="A790" s="18"/>
      <c r="B790" s="18"/>
      <c r="C790" s="18"/>
      <c r="D790" s="18"/>
      <c r="E790" s="18"/>
    </row>
    <row r="791" customFormat="false" ht="15" hidden="false" customHeight="false" outlineLevel="0" collapsed="false">
      <c r="A791" s="18"/>
      <c r="B791" s="18"/>
      <c r="C791" s="18"/>
      <c r="D791" s="18"/>
      <c r="E791" s="18"/>
    </row>
    <row r="792" customFormat="false" ht="15" hidden="false" customHeight="false" outlineLevel="0" collapsed="false">
      <c r="A792" s="18"/>
      <c r="B792" s="18"/>
      <c r="C792" s="18"/>
      <c r="D792" s="18"/>
      <c r="E792" s="18"/>
    </row>
    <row r="793" customFormat="false" ht="15" hidden="false" customHeight="false" outlineLevel="0" collapsed="false">
      <c r="A793" s="18"/>
      <c r="B793" s="18"/>
      <c r="C793" s="18"/>
      <c r="D793" s="18"/>
      <c r="E793" s="18"/>
    </row>
    <row r="794" customFormat="false" ht="15" hidden="false" customHeight="false" outlineLevel="0" collapsed="false">
      <c r="A794" s="18"/>
      <c r="B794" s="18"/>
      <c r="C794" s="18"/>
      <c r="D794" s="18"/>
      <c r="E794" s="18"/>
    </row>
    <row r="795" customFormat="false" ht="15" hidden="false" customHeight="false" outlineLevel="0" collapsed="false">
      <c r="A795" s="18"/>
      <c r="B795" s="18"/>
      <c r="C795" s="18"/>
      <c r="D795" s="18"/>
      <c r="E795" s="18"/>
    </row>
    <row r="796" customFormat="false" ht="15" hidden="false" customHeight="false" outlineLevel="0" collapsed="false">
      <c r="A796" s="18"/>
      <c r="B796" s="18"/>
      <c r="C796" s="18"/>
      <c r="D796" s="18"/>
      <c r="E796" s="18"/>
    </row>
    <row r="797" customFormat="false" ht="15" hidden="false" customHeight="false" outlineLevel="0" collapsed="false">
      <c r="A797" s="18"/>
      <c r="B797" s="18"/>
      <c r="C797" s="18"/>
      <c r="D797" s="18"/>
      <c r="E797" s="18"/>
    </row>
    <row r="798" customFormat="false" ht="15" hidden="false" customHeight="false" outlineLevel="0" collapsed="false">
      <c r="A798" s="18"/>
      <c r="B798" s="18"/>
      <c r="C798" s="18"/>
      <c r="D798" s="18"/>
      <c r="E798" s="18"/>
    </row>
    <row r="799" customFormat="false" ht="15" hidden="false" customHeight="false" outlineLevel="0" collapsed="false">
      <c r="A799" s="18"/>
      <c r="B799" s="18"/>
      <c r="C799" s="18"/>
      <c r="D799" s="18"/>
      <c r="E799" s="18"/>
    </row>
    <row r="800" customFormat="false" ht="15" hidden="false" customHeight="false" outlineLevel="0" collapsed="false">
      <c r="A800" s="18"/>
      <c r="B800" s="18"/>
      <c r="C800" s="18"/>
      <c r="D800" s="18"/>
      <c r="E800" s="18"/>
    </row>
    <row r="801" customFormat="false" ht="15" hidden="false" customHeight="false" outlineLevel="0" collapsed="false">
      <c r="A801" s="18"/>
      <c r="B801" s="18"/>
      <c r="C801" s="18"/>
      <c r="D801" s="18"/>
      <c r="E801" s="18"/>
    </row>
    <row r="802" customFormat="false" ht="15" hidden="false" customHeight="false" outlineLevel="0" collapsed="false">
      <c r="A802" s="18"/>
      <c r="B802" s="18"/>
      <c r="C802" s="18"/>
      <c r="D802" s="18"/>
      <c r="E802" s="18"/>
    </row>
    <row r="803" customFormat="false" ht="15" hidden="false" customHeight="false" outlineLevel="0" collapsed="false">
      <c r="A803" s="18"/>
      <c r="B803" s="18"/>
      <c r="C803" s="18"/>
      <c r="D803" s="18"/>
      <c r="E803" s="18"/>
    </row>
    <row r="804" customFormat="false" ht="15" hidden="false" customHeight="false" outlineLevel="0" collapsed="false">
      <c r="A804" s="18"/>
      <c r="B804" s="18"/>
      <c r="C804" s="18"/>
      <c r="D804" s="18"/>
      <c r="E804" s="18"/>
    </row>
    <row r="805" customFormat="false" ht="15" hidden="false" customHeight="false" outlineLevel="0" collapsed="false">
      <c r="A805" s="18"/>
      <c r="B805" s="18"/>
      <c r="C805" s="18"/>
      <c r="D805" s="18"/>
      <c r="E805" s="18"/>
    </row>
    <row r="806" customFormat="false" ht="15" hidden="false" customHeight="false" outlineLevel="0" collapsed="false">
      <c r="A806" s="18"/>
      <c r="B806" s="18"/>
      <c r="C806" s="18"/>
      <c r="D806" s="18"/>
      <c r="E806" s="18"/>
    </row>
    <row r="807" customFormat="false" ht="15" hidden="false" customHeight="false" outlineLevel="0" collapsed="false">
      <c r="A807" s="18"/>
      <c r="B807" s="18"/>
      <c r="C807" s="18"/>
      <c r="D807" s="18"/>
      <c r="E807" s="18"/>
    </row>
    <row r="808" customFormat="false" ht="15" hidden="false" customHeight="false" outlineLevel="0" collapsed="false">
      <c r="A808" s="18"/>
      <c r="B808" s="18"/>
      <c r="C808" s="18"/>
      <c r="D808" s="18"/>
      <c r="E808" s="18"/>
    </row>
    <row r="809" customFormat="false" ht="15" hidden="false" customHeight="false" outlineLevel="0" collapsed="false">
      <c r="A809" s="18"/>
      <c r="B809" s="18"/>
      <c r="C809" s="18"/>
      <c r="D809" s="18"/>
      <c r="E809" s="18"/>
    </row>
    <row r="810" customFormat="false" ht="15" hidden="false" customHeight="false" outlineLevel="0" collapsed="false">
      <c r="A810" s="18"/>
      <c r="B810" s="18"/>
      <c r="C810" s="18"/>
      <c r="D810" s="18"/>
      <c r="E810" s="18"/>
    </row>
    <row r="811" customFormat="false" ht="15" hidden="false" customHeight="false" outlineLevel="0" collapsed="false">
      <c r="A811" s="18"/>
      <c r="B811" s="18"/>
      <c r="C811" s="18"/>
      <c r="D811" s="18"/>
      <c r="E811" s="18"/>
    </row>
    <row r="812" customFormat="false" ht="15" hidden="false" customHeight="false" outlineLevel="0" collapsed="false">
      <c r="A812" s="18"/>
      <c r="B812" s="18"/>
      <c r="C812" s="18"/>
      <c r="D812" s="18"/>
      <c r="E812" s="18"/>
    </row>
    <row r="813" customFormat="false" ht="15" hidden="false" customHeight="false" outlineLevel="0" collapsed="false">
      <c r="A813" s="18"/>
      <c r="B813" s="18"/>
      <c r="C813" s="18"/>
      <c r="D813" s="18"/>
      <c r="E813" s="18"/>
    </row>
    <row r="814" customFormat="false" ht="15" hidden="false" customHeight="false" outlineLevel="0" collapsed="false">
      <c r="A814" s="18"/>
      <c r="B814" s="18"/>
      <c r="C814" s="18"/>
      <c r="D814" s="18"/>
      <c r="E814" s="18"/>
    </row>
    <row r="815" customFormat="false" ht="15" hidden="false" customHeight="false" outlineLevel="0" collapsed="false">
      <c r="A815" s="18"/>
      <c r="B815" s="18"/>
      <c r="C815" s="18"/>
      <c r="D815" s="18"/>
      <c r="E815" s="18"/>
    </row>
    <row r="816" customFormat="false" ht="15" hidden="false" customHeight="false" outlineLevel="0" collapsed="false">
      <c r="A816" s="18"/>
      <c r="B816" s="18"/>
      <c r="C816" s="18"/>
      <c r="D816" s="18"/>
      <c r="E816" s="18"/>
    </row>
    <row r="817" customFormat="false" ht="15" hidden="false" customHeight="false" outlineLevel="0" collapsed="false">
      <c r="A817" s="18"/>
      <c r="B817" s="18"/>
      <c r="C817" s="18"/>
      <c r="D817" s="18"/>
      <c r="E817" s="18"/>
    </row>
    <row r="818" customFormat="false" ht="15" hidden="false" customHeight="false" outlineLevel="0" collapsed="false">
      <c r="A818" s="18"/>
      <c r="B818" s="18"/>
      <c r="C818" s="18"/>
      <c r="D818" s="18"/>
      <c r="E818" s="18"/>
    </row>
    <row r="819" customFormat="false" ht="15" hidden="false" customHeight="false" outlineLevel="0" collapsed="false">
      <c r="A819" s="18"/>
      <c r="B819" s="18"/>
      <c r="C819" s="18"/>
      <c r="D819" s="18"/>
      <c r="E819" s="18"/>
    </row>
    <row r="820" customFormat="false" ht="15" hidden="false" customHeight="false" outlineLevel="0" collapsed="false">
      <c r="A820" s="18"/>
      <c r="B820" s="18"/>
      <c r="C820" s="18"/>
      <c r="D820" s="18"/>
      <c r="E820" s="18"/>
    </row>
    <row r="821" customFormat="false" ht="15" hidden="false" customHeight="false" outlineLevel="0" collapsed="false">
      <c r="A821" s="18"/>
      <c r="B821" s="18"/>
      <c r="C821" s="18"/>
      <c r="D821" s="18"/>
      <c r="E821" s="18"/>
    </row>
    <row r="822" customFormat="false" ht="15" hidden="false" customHeight="false" outlineLevel="0" collapsed="false">
      <c r="A822" s="18"/>
      <c r="B822" s="18"/>
      <c r="C822" s="18"/>
      <c r="D822" s="18"/>
      <c r="E822" s="18"/>
    </row>
    <row r="823" customFormat="false" ht="15" hidden="false" customHeight="false" outlineLevel="0" collapsed="false">
      <c r="A823" s="18"/>
      <c r="B823" s="18"/>
      <c r="C823" s="18"/>
      <c r="D823" s="18"/>
      <c r="E823" s="18"/>
    </row>
    <row r="824" customFormat="false" ht="15" hidden="false" customHeight="false" outlineLevel="0" collapsed="false">
      <c r="A824" s="18"/>
      <c r="B824" s="18"/>
      <c r="C824" s="18"/>
      <c r="D824" s="18"/>
      <c r="E824" s="18"/>
    </row>
    <row r="825" customFormat="false" ht="15" hidden="false" customHeight="false" outlineLevel="0" collapsed="false">
      <c r="A825" s="18"/>
      <c r="B825" s="18"/>
      <c r="C825" s="18"/>
      <c r="D825" s="18"/>
      <c r="E825" s="18"/>
    </row>
    <row r="826" customFormat="false" ht="15" hidden="false" customHeight="false" outlineLevel="0" collapsed="false">
      <c r="A826" s="18"/>
      <c r="B826" s="18"/>
      <c r="C826" s="18"/>
      <c r="D826" s="18"/>
      <c r="E826" s="18"/>
    </row>
    <row r="827" customFormat="false" ht="15" hidden="false" customHeight="false" outlineLevel="0" collapsed="false">
      <c r="A827" s="18"/>
      <c r="B827" s="18"/>
      <c r="C827" s="18"/>
      <c r="D827" s="18"/>
      <c r="E827" s="18"/>
    </row>
    <row r="828" customFormat="false" ht="15" hidden="false" customHeight="false" outlineLevel="0" collapsed="false">
      <c r="A828" s="18"/>
      <c r="B828" s="18"/>
      <c r="C828" s="18"/>
      <c r="D828" s="18"/>
      <c r="E828" s="18"/>
    </row>
    <row r="829" customFormat="false" ht="15" hidden="false" customHeight="false" outlineLevel="0" collapsed="false">
      <c r="A829" s="18"/>
      <c r="B829" s="18"/>
      <c r="C829" s="18"/>
      <c r="D829" s="18"/>
      <c r="E829" s="18"/>
    </row>
    <row r="830" customFormat="false" ht="15" hidden="false" customHeight="false" outlineLevel="0" collapsed="false">
      <c r="A830" s="18"/>
      <c r="B830" s="18"/>
      <c r="C830" s="18"/>
      <c r="D830" s="18"/>
      <c r="E830" s="18"/>
    </row>
    <row r="831" customFormat="false" ht="15" hidden="false" customHeight="false" outlineLevel="0" collapsed="false">
      <c r="A831" s="18"/>
      <c r="B831" s="18"/>
      <c r="C831" s="18"/>
      <c r="D831" s="18"/>
      <c r="E831" s="18"/>
    </row>
    <row r="832" customFormat="false" ht="15" hidden="false" customHeight="false" outlineLevel="0" collapsed="false">
      <c r="A832" s="18"/>
      <c r="B832" s="18"/>
      <c r="C832" s="18"/>
      <c r="D832" s="18"/>
      <c r="E832" s="18"/>
    </row>
    <row r="833" customFormat="false" ht="15" hidden="false" customHeight="false" outlineLevel="0" collapsed="false">
      <c r="A833" s="18"/>
      <c r="B833" s="18"/>
      <c r="C833" s="18"/>
      <c r="D833" s="18"/>
      <c r="E833" s="18"/>
    </row>
    <row r="834" customFormat="false" ht="15" hidden="false" customHeight="false" outlineLevel="0" collapsed="false">
      <c r="A834" s="18"/>
      <c r="B834" s="18"/>
      <c r="C834" s="18"/>
      <c r="D834" s="18"/>
      <c r="E834" s="18"/>
    </row>
    <row r="835" customFormat="false" ht="15" hidden="false" customHeight="false" outlineLevel="0" collapsed="false">
      <c r="A835" s="18"/>
      <c r="B835" s="18"/>
      <c r="C835" s="18"/>
      <c r="D835" s="18"/>
      <c r="E835" s="18"/>
    </row>
    <row r="836" customFormat="false" ht="15" hidden="false" customHeight="false" outlineLevel="0" collapsed="false">
      <c r="A836" s="18"/>
      <c r="B836" s="18"/>
      <c r="C836" s="18"/>
      <c r="D836" s="18"/>
      <c r="E836" s="18"/>
    </row>
    <row r="837" customFormat="false" ht="15" hidden="false" customHeight="false" outlineLevel="0" collapsed="false">
      <c r="A837" s="18"/>
      <c r="B837" s="18"/>
      <c r="C837" s="18"/>
      <c r="D837" s="18"/>
      <c r="E837" s="18"/>
    </row>
    <row r="838" customFormat="false" ht="15" hidden="false" customHeight="false" outlineLevel="0" collapsed="false">
      <c r="A838" s="18"/>
      <c r="B838" s="18"/>
      <c r="C838" s="18"/>
      <c r="D838" s="18"/>
      <c r="E838" s="18"/>
    </row>
    <row r="839" customFormat="false" ht="15" hidden="false" customHeight="false" outlineLevel="0" collapsed="false">
      <c r="A839" s="18"/>
      <c r="B839" s="18"/>
      <c r="C839" s="18"/>
      <c r="D839" s="18"/>
      <c r="E839" s="18"/>
    </row>
    <row r="840" customFormat="false" ht="15" hidden="false" customHeight="false" outlineLevel="0" collapsed="false">
      <c r="A840" s="18"/>
      <c r="B840" s="18"/>
      <c r="C840" s="18"/>
      <c r="D840" s="18"/>
      <c r="E840" s="18"/>
    </row>
    <row r="841" customFormat="false" ht="15" hidden="false" customHeight="false" outlineLevel="0" collapsed="false">
      <c r="A841" s="18"/>
      <c r="B841" s="18"/>
      <c r="C841" s="18"/>
      <c r="D841" s="18"/>
      <c r="E841" s="18"/>
    </row>
    <row r="842" customFormat="false" ht="15" hidden="false" customHeight="false" outlineLevel="0" collapsed="false">
      <c r="A842" s="18"/>
      <c r="B842" s="18"/>
      <c r="C842" s="18"/>
      <c r="D842" s="18"/>
      <c r="E842" s="18"/>
    </row>
    <row r="843" customFormat="false" ht="15" hidden="false" customHeight="false" outlineLevel="0" collapsed="false">
      <c r="A843" s="18"/>
      <c r="B843" s="18"/>
      <c r="C843" s="18"/>
      <c r="D843" s="18"/>
      <c r="E843" s="18"/>
    </row>
    <row r="844" customFormat="false" ht="15" hidden="false" customHeight="false" outlineLevel="0" collapsed="false">
      <c r="A844" s="18"/>
      <c r="B844" s="18"/>
      <c r="C844" s="18"/>
      <c r="D844" s="18"/>
      <c r="E844" s="18"/>
    </row>
    <row r="845" customFormat="false" ht="15" hidden="false" customHeight="false" outlineLevel="0" collapsed="false">
      <c r="A845" s="18"/>
      <c r="B845" s="18"/>
      <c r="C845" s="18"/>
      <c r="D845" s="18"/>
      <c r="E845" s="18"/>
    </row>
    <row r="846" customFormat="false" ht="15" hidden="false" customHeight="false" outlineLevel="0" collapsed="false">
      <c r="A846" s="18"/>
      <c r="B846" s="18"/>
      <c r="C846" s="18"/>
      <c r="D846" s="18"/>
      <c r="E846" s="18"/>
    </row>
    <row r="847" customFormat="false" ht="15" hidden="false" customHeight="false" outlineLevel="0" collapsed="false">
      <c r="A847" s="18"/>
      <c r="B847" s="18"/>
      <c r="C847" s="18"/>
      <c r="D847" s="18"/>
      <c r="E847" s="18"/>
    </row>
    <row r="848" customFormat="false" ht="15" hidden="false" customHeight="false" outlineLevel="0" collapsed="false">
      <c r="A848" s="18"/>
      <c r="B848" s="18"/>
      <c r="C848" s="18"/>
      <c r="D848" s="18"/>
      <c r="E848" s="18"/>
    </row>
    <row r="849" customFormat="false" ht="15" hidden="false" customHeight="false" outlineLevel="0" collapsed="false">
      <c r="A849" s="18"/>
      <c r="B849" s="18"/>
      <c r="C849" s="18"/>
      <c r="D849" s="18"/>
      <c r="E849" s="18"/>
    </row>
    <row r="850" customFormat="false" ht="15" hidden="false" customHeight="false" outlineLevel="0" collapsed="false">
      <c r="A850" s="18"/>
      <c r="B850" s="18"/>
      <c r="C850" s="18"/>
      <c r="D850" s="18"/>
      <c r="E850" s="18"/>
    </row>
    <row r="851" customFormat="false" ht="15" hidden="false" customHeight="false" outlineLevel="0" collapsed="false">
      <c r="A851" s="18"/>
      <c r="B851" s="18"/>
      <c r="C851" s="18"/>
      <c r="D851" s="18"/>
      <c r="E851" s="18"/>
    </row>
    <row r="852" customFormat="false" ht="15" hidden="false" customHeight="false" outlineLevel="0" collapsed="false">
      <c r="A852" s="18"/>
      <c r="B852" s="18"/>
      <c r="C852" s="18"/>
      <c r="D852" s="18"/>
      <c r="E852" s="18"/>
    </row>
    <row r="853" customFormat="false" ht="15" hidden="false" customHeight="false" outlineLevel="0" collapsed="false">
      <c r="A853" s="18"/>
      <c r="B853" s="18"/>
      <c r="C853" s="18"/>
      <c r="D853" s="18"/>
      <c r="E853" s="18"/>
    </row>
    <row r="854" customFormat="false" ht="15" hidden="false" customHeight="false" outlineLevel="0" collapsed="false">
      <c r="A854" s="18"/>
      <c r="B854" s="18"/>
      <c r="C854" s="18"/>
      <c r="D854" s="18"/>
      <c r="E854" s="18"/>
    </row>
    <row r="855" customFormat="false" ht="15" hidden="false" customHeight="false" outlineLevel="0" collapsed="false">
      <c r="A855" s="18"/>
      <c r="B855" s="18"/>
      <c r="C855" s="18"/>
      <c r="D855" s="18"/>
      <c r="E855" s="18"/>
    </row>
    <row r="856" customFormat="false" ht="15" hidden="false" customHeight="false" outlineLevel="0" collapsed="false">
      <c r="A856" s="18"/>
      <c r="B856" s="18"/>
      <c r="C856" s="18"/>
      <c r="D856" s="18"/>
      <c r="E856" s="18"/>
    </row>
    <row r="857" customFormat="false" ht="15" hidden="false" customHeight="false" outlineLevel="0" collapsed="false">
      <c r="A857" s="18"/>
      <c r="B857" s="18"/>
      <c r="C857" s="18"/>
      <c r="D857" s="18"/>
      <c r="E857" s="18"/>
    </row>
    <row r="858" customFormat="false" ht="15" hidden="false" customHeight="false" outlineLevel="0" collapsed="false">
      <c r="A858" s="18"/>
      <c r="B858" s="18"/>
      <c r="C858" s="18"/>
      <c r="D858" s="18"/>
      <c r="E858" s="18"/>
    </row>
    <row r="859" customFormat="false" ht="15" hidden="false" customHeight="false" outlineLevel="0" collapsed="false">
      <c r="A859" s="18"/>
      <c r="B859" s="18"/>
      <c r="C859" s="18"/>
      <c r="D859" s="18"/>
      <c r="E859" s="18"/>
    </row>
    <row r="860" customFormat="false" ht="15" hidden="false" customHeight="false" outlineLevel="0" collapsed="false">
      <c r="A860" s="18"/>
      <c r="B860" s="18"/>
      <c r="C860" s="18"/>
      <c r="D860" s="18"/>
      <c r="E860" s="18"/>
    </row>
    <row r="861" customFormat="false" ht="15" hidden="false" customHeight="false" outlineLevel="0" collapsed="false">
      <c r="A861" s="18"/>
      <c r="B861" s="18"/>
      <c r="C861" s="18"/>
      <c r="D861" s="18"/>
      <c r="E861" s="18"/>
    </row>
    <row r="862" customFormat="false" ht="15" hidden="false" customHeight="false" outlineLevel="0" collapsed="false">
      <c r="A862" s="18"/>
      <c r="B862" s="18"/>
      <c r="C862" s="18"/>
      <c r="D862" s="18"/>
      <c r="E862" s="18"/>
    </row>
    <row r="863" customFormat="false" ht="15" hidden="false" customHeight="false" outlineLevel="0" collapsed="false">
      <c r="A863" s="18"/>
      <c r="B863" s="18"/>
      <c r="C863" s="18"/>
      <c r="D863" s="18"/>
      <c r="E863" s="18"/>
    </row>
    <row r="864" customFormat="false" ht="15" hidden="false" customHeight="false" outlineLevel="0" collapsed="false">
      <c r="A864" s="18"/>
      <c r="B864" s="18"/>
      <c r="C864" s="18"/>
      <c r="D864" s="18"/>
      <c r="E864" s="18"/>
    </row>
    <row r="865" customFormat="false" ht="15" hidden="false" customHeight="false" outlineLevel="0" collapsed="false">
      <c r="A865" s="18"/>
      <c r="B865" s="18"/>
      <c r="C865" s="18"/>
      <c r="D865" s="18"/>
      <c r="E865" s="18"/>
    </row>
    <row r="866" customFormat="false" ht="15" hidden="false" customHeight="false" outlineLevel="0" collapsed="false">
      <c r="A866" s="18"/>
      <c r="B866" s="18"/>
      <c r="C866" s="18"/>
      <c r="D866" s="18"/>
      <c r="E866" s="18"/>
    </row>
    <row r="867" customFormat="false" ht="15" hidden="false" customHeight="false" outlineLevel="0" collapsed="false">
      <c r="A867" s="18"/>
      <c r="B867" s="18"/>
      <c r="C867" s="18"/>
      <c r="D867" s="18"/>
      <c r="E867" s="18"/>
    </row>
    <row r="868" customFormat="false" ht="15" hidden="false" customHeight="false" outlineLevel="0" collapsed="false">
      <c r="A868" s="18"/>
      <c r="B868" s="18"/>
      <c r="C868" s="18"/>
      <c r="D868" s="18"/>
      <c r="E868" s="18"/>
    </row>
    <row r="869" customFormat="false" ht="15" hidden="false" customHeight="false" outlineLevel="0" collapsed="false">
      <c r="A869" s="18"/>
      <c r="B869" s="18"/>
      <c r="C869" s="18"/>
      <c r="D869" s="18"/>
      <c r="E869" s="18"/>
    </row>
    <row r="870" customFormat="false" ht="15" hidden="false" customHeight="false" outlineLevel="0" collapsed="false">
      <c r="A870" s="18"/>
      <c r="B870" s="18"/>
      <c r="C870" s="18"/>
      <c r="D870" s="18"/>
      <c r="E870" s="18"/>
    </row>
    <row r="871" customFormat="false" ht="15" hidden="false" customHeight="false" outlineLevel="0" collapsed="false">
      <c r="A871" s="18"/>
      <c r="B871" s="18"/>
      <c r="C871" s="18"/>
      <c r="D871" s="18"/>
      <c r="E871" s="18"/>
    </row>
    <row r="872" customFormat="false" ht="15" hidden="false" customHeight="false" outlineLevel="0" collapsed="false">
      <c r="A872" s="18"/>
      <c r="B872" s="18"/>
      <c r="C872" s="18"/>
      <c r="D872" s="18"/>
      <c r="E872" s="18"/>
    </row>
    <row r="873" customFormat="false" ht="15" hidden="false" customHeight="false" outlineLevel="0" collapsed="false">
      <c r="A873" s="18"/>
      <c r="B873" s="18"/>
      <c r="C873" s="18"/>
      <c r="D873" s="18"/>
      <c r="E873" s="18"/>
    </row>
    <row r="874" customFormat="false" ht="15" hidden="false" customHeight="false" outlineLevel="0" collapsed="false">
      <c r="A874" s="18"/>
      <c r="B874" s="18"/>
      <c r="C874" s="18"/>
      <c r="D874" s="18"/>
      <c r="E874" s="18"/>
    </row>
    <row r="875" customFormat="false" ht="15" hidden="false" customHeight="false" outlineLevel="0" collapsed="false">
      <c r="A875" s="18"/>
      <c r="B875" s="18"/>
      <c r="C875" s="18"/>
      <c r="D875" s="18"/>
      <c r="E875" s="18"/>
    </row>
    <row r="876" customFormat="false" ht="15" hidden="false" customHeight="false" outlineLevel="0" collapsed="false">
      <c r="A876" s="18"/>
      <c r="B876" s="18"/>
      <c r="C876" s="18"/>
      <c r="D876" s="18"/>
      <c r="E876" s="18"/>
    </row>
    <row r="877" customFormat="false" ht="15" hidden="false" customHeight="false" outlineLevel="0" collapsed="false">
      <c r="A877" s="18"/>
      <c r="B877" s="18"/>
      <c r="C877" s="18"/>
      <c r="D877" s="18"/>
      <c r="E877" s="18"/>
    </row>
    <row r="878" customFormat="false" ht="15" hidden="false" customHeight="false" outlineLevel="0" collapsed="false">
      <c r="A878" s="18"/>
      <c r="B878" s="18"/>
      <c r="C878" s="18"/>
      <c r="D878" s="18"/>
      <c r="E878" s="18"/>
    </row>
    <row r="879" customFormat="false" ht="15" hidden="false" customHeight="false" outlineLevel="0" collapsed="false">
      <c r="A879" s="18"/>
      <c r="B879" s="18"/>
      <c r="C879" s="18"/>
      <c r="D879" s="18"/>
      <c r="E879" s="18"/>
    </row>
    <row r="880" customFormat="false" ht="15" hidden="false" customHeight="false" outlineLevel="0" collapsed="false">
      <c r="A880" s="18"/>
      <c r="B880" s="18"/>
      <c r="C880" s="18"/>
      <c r="D880" s="18"/>
      <c r="E880" s="18"/>
    </row>
    <row r="881" customFormat="false" ht="15" hidden="false" customHeight="false" outlineLevel="0" collapsed="false">
      <c r="A881" s="18"/>
      <c r="B881" s="18"/>
      <c r="C881" s="18"/>
      <c r="D881" s="18"/>
      <c r="E881" s="18"/>
    </row>
    <row r="882" customFormat="false" ht="15" hidden="false" customHeight="false" outlineLevel="0" collapsed="false">
      <c r="A882" s="18"/>
      <c r="B882" s="18"/>
      <c r="C882" s="18"/>
      <c r="D882" s="18"/>
      <c r="E882" s="18"/>
    </row>
    <row r="883" customFormat="false" ht="15" hidden="false" customHeight="false" outlineLevel="0" collapsed="false">
      <c r="A883" s="18"/>
      <c r="B883" s="18"/>
      <c r="C883" s="18"/>
      <c r="D883" s="18"/>
      <c r="E883" s="18"/>
    </row>
    <row r="884" customFormat="false" ht="15" hidden="false" customHeight="false" outlineLevel="0" collapsed="false">
      <c r="A884" s="18"/>
      <c r="B884" s="18"/>
      <c r="C884" s="18"/>
      <c r="D884" s="18"/>
      <c r="E884" s="18"/>
    </row>
    <row r="885" customFormat="false" ht="15" hidden="false" customHeight="false" outlineLevel="0" collapsed="false">
      <c r="A885" s="18"/>
      <c r="B885" s="18"/>
      <c r="C885" s="18"/>
      <c r="D885" s="18"/>
      <c r="E885" s="18"/>
    </row>
    <row r="886" customFormat="false" ht="15" hidden="false" customHeight="false" outlineLevel="0" collapsed="false">
      <c r="A886" s="18"/>
      <c r="B886" s="18"/>
      <c r="C886" s="18"/>
      <c r="D886" s="18"/>
      <c r="E886" s="18"/>
    </row>
    <row r="887" customFormat="false" ht="15" hidden="false" customHeight="false" outlineLevel="0" collapsed="false">
      <c r="A887" s="18"/>
      <c r="B887" s="18"/>
      <c r="C887" s="18"/>
      <c r="D887" s="18"/>
      <c r="E887" s="18"/>
    </row>
    <row r="888" customFormat="false" ht="15" hidden="false" customHeight="false" outlineLevel="0" collapsed="false">
      <c r="A888" s="18"/>
      <c r="B888" s="18"/>
      <c r="C888" s="18"/>
      <c r="D888" s="18"/>
      <c r="E888" s="18"/>
    </row>
    <row r="889" customFormat="false" ht="15" hidden="false" customHeight="false" outlineLevel="0" collapsed="false">
      <c r="A889" s="18"/>
      <c r="B889" s="18"/>
      <c r="C889" s="18"/>
      <c r="D889" s="18"/>
      <c r="E889" s="18"/>
    </row>
    <row r="890" customFormat="false" ht="15" hidden="false" customHeight="false" outlineLevel="0" collapsed="false">
      <c r="A890" s="18"/>
      <c r="B890" s="18"/>
      <c r="C890" s="18"/>
      <c r="D890" s="18"/>
      <c r="E890" s="18"/>
    </row>
    <row r="891" customFormat="false" ht="15" hidden="false" customHeight="false" outlineLevel="0" collapsed="false">
      <c r="A891" s="18"/>
      <c r="B891" s="18"/>
      <c r="C891" s="18"/>
      <c r="D891" s="18"/>
      <c r="E891" s="18"/>
    </row>
    <row r="892" customFormat="false" ht="15" hidden="false" customHeight="false" outlineLevel="0" collapsed="false">
      <c r="A892" s="18"/>
      <c r="B892" s="18"/>
      <c r="C892" s="18"/>
      <c r="D892" s="18"/>
      <c r="E892" s="18"/>
    </row>
    <row r="893" customFormat="false" ht="15" hidden="false" customHeight="false" outlineLevel="0" collapsed="false">
      <c r="A893" s="18"/>
      <c r="B893" s="18"/>
      <c r="C893" s="18"/>
      <c r="D893" s="18"/>
      <c r="E893" s="18"/>
    </row>
    <row r="894" customFormat="false" ht="15" hidden="false" customHeight="false" outlineLevel="0" collapsed="false">
      <c r="A894" s="18"/>
      <c r="B894" s="18"/>
      <c r="C894" s="18"/>
      <c r="D894" s="18"/>
      <c r="E894" s="18"/>
    </row>
    <row r="895" customFormat="false" ht="15" hidden="false" customHeight="false" outlineLevel="0" collapsed="false">
      <c r="A895" s="18"/>
      <c r="B895" s="18"/>
      <c r="C895" s="18"/>
      <c r="D895" s="18"/>
      <c r="E895" s="18"/>
    </row>
    <row r="896" customFormat="false" ht="15" hidden="false" customHeight="false" outlineLevel="0" collapsed="false">
      <c r="A896" s="18"/>
      <c r="B896" s="18"/>
      <c r="C896" s="18"/>
      <c r="D896" s="18"/>
      <c r="E896" s="18"/>
    </row>
    <row r="897" customFormat="false" ht="15" hidden="false" customHeight="false" outlineLevel="0" collapsed="false">
      <c r="A897" s="18"/>
      <c r="B897" s="18"/>
      <c r="C897" s="18"/>
      <c r="D897" s="18"/>
      <c r="E897" s="18"/>
    </row>
    <row r="898" customFormat="false" ht="15" hidden="false" customHeight="false" outlineLevel="0" collapsed="false">
      <c r="A898" s="18"/>
      <c r="B898" s="18"/>
      <c r="C898" s="18"/>
      <c r="D898" s="18"/>
      <c r="E898" s="18"/>
    </row>
    <row r="899" customFormat="false" ht="15" hidden="false" customHeight="false" outlineLevel="0" collapsed="false">
      <c r="A899" s="18"/>
      <c r="B899" s="18"/>
      <c r="C899" s="18"/>
      <c r="D899" s="18"/>
      <c r="E899" s="18"/>
    </row>
    <row r="900" customFormat="false" ht="15" hidden="false" customHeight="false" outlineLevel="0" collapsed="false">
      <c r="A900" s="18"/>
      <c r="B900" s="18"/>
      <c r="C900" s="18"/>
      <c r="D900" s="18"/>
      <c r="E900" s="18"/>
    </row>
    <row r="901" customFormat="false" ht="15" hidden="false" customHeight="false" outlineLevel="0" collapsed="false">
      <c r="A901" s="18"/>
      <c r="B901" s="18"/>
      <c r="C901" s="18"/>
      <c r="D901" s="18"/>
      <c r="E901" s="18"/>
    </row>
    <row r="902" customFormat="false" ht="15" hidden="false" customHeight="false" outlineLevel="0" collapsed="false">
      <c r="A902" s="18"/>
      <c r="B902" s="18"/>
      <c r="C902" s="18"/>
      <c r="D902" s="18"/>
      <c r="E902" s="18"/>
    </row>
    <row r="903" customFormat="false" ht="15" hidden="false" customHeight="false" outlineLevel="0" collapsed="false">
      <c r="A903" s="18"/>
      <c r="B903" s="18"/>
      <c r="C903" s="18"/>
      <c r="D903" s="18"/>
      <c r="E903" s="18"/>
    </row>
    <row r="904" customFormat="false" ht="15" hidden="false" customHeight="false" outlineLevel="0" collapsed="false">
      <c r="A904" s="18"/>
      <c r="B904" s="18"/>
      <c r="C904" s="18"/>
      <c r="D904" s="18"/>
      <c r="E904" s="18"/>
    </row>
    <row r="905" customFormat="false" ht="15" hidden="false" customHeight="false" outlineLevel="0" collapsed="false">
      <c r="A905" s="18"/>
      <c r="B905" s="18"/>
      <c r="C905" s="18"/>
      <c r="D905" s="18"/>
      <c r="E905" s="18"/>
    </row>
    <row r="906" customFormat="false" ht="15" hidden="false" customHeight="false" outlineLevel="0" collapsed="false">
      <c r="A906" s="18"/>
      <c r="B906" s="18"/>
      <c r="C906" s="18"/>
      <c r="D906" s="18"/>
      <c r="E906" s="18"/>
    </row>
    <row r="907" customFormat="false" ht="15" hidden="false" customHeight="false" outlineLevel="0" collapsed="false">
      <c r="A907" s="18"/>
      <c r="B907" s="18"/>
      <c r="C907" s="18"/>
      <c r="D907" s="18"/>
      <c r="E907" s="18"/>
    </row>
    <row r="908" customFormat="false" ht="15" hidden="false" customHeight="false" outlineLevel="0" collapsed="false">
      <c r="A908" s="18"/>
      <c r="B908" s="18"/>
      <c r="C908" s="18"/>
      <c r="D908" s="18"/>
      <c r="E908" s="18"/>
    </row>
    <row r="909" customFormat="false" ht="15" hidden="false" customHeight="false" outlineLevel="0" collapsed="false">
      <c r="A909" s="18"/>
      <c r="B909" s="18"/>
      <c r="C909" s="18"/>
      <c r="D909" s="18"/>
      <c r="E909" s="18"/>
    </row>
    <row r="910" customFormat="false" ht="15" hidden="false" customHeight="false" outlineLevel="0" collapsed="false">
      <c r="A910" s="18"/>
      <c r="B910" s="18"/>
      <c r="C910" s="18"/>
      <c r="D910" s="18"/>
      <c r="E910" s="18"/>
    </row>
    <row r="911" customFormat="false" ht="15" hidden="false" customHeight="false" outlineLevel="0" collapsed="false">
      <c r="A911" s="18"/>
      <c r="B911" s="18"/>
      <c r="C911" s="18"/>
      <c r="D911" s="18"/>
      <c r="E911" s="18"/>
    </row>
    <row r="912" customFormat="false" ht="15" hidden="false" customHeight="false" outlineLevel="0" collapsed="false">
      <c r="A912" s="18"/>
      <c r="B912" s="18"/>
      <c r="C912" s="18"/>
      <c r="D912" s="18"/>
      <c r="E912" s="18"/>
    </row>
    <row r="913" customFormat="false" ht="15" hidden="false" customHeight="false" outlineLevel="0" collapsed="false">
      <c r="A913" s="18"/>
      <c r="B913" s="18"/>
      <c r="C913" s="18"/>
      <c r="D913" s="18"/>
      <c r="E913" s="18"/>
    </row>
    <row r="914" customFormat="false" ht="15" hidden="false" customHeight="false" outlineLevel="0" collapsed="false">
      <c r="A914" s="18"/>
      <c r="B914" s="18"/>
      <c r="C914" s="18"/>
      <c r="D914" s="18"/>
      <c r="E914" s="18"/>
    </row>
    <row r="915" customFormat="false" ht="15" hidden="false" customHeight="false" outlineLevel="0" collapsed="false">
      <c r="A915" s="18"/>
      <c r="B915" s="18"/>
      <c r="C915" s="18"/>
      <c r="D915" s="18"/>
      <c r="E915" s="18"/>
    </row>
    <row r="916" customFormat="false" ht="15" hidden="false" customHeight="false" outlineLevel="0" collapsed="false">
      <c r="A916" s="18"/>
      <c r="B916" s="18"/>
      <c r="C916" s="18"/>
      <c r="D916" s="18"/>
      <c r="E916" s="18"/>
    </row>
    <row r="917" customFormat="false" ht="15" hidden="false" customHeight="false" outlineLevel="0" collapsed="false">
      <c r="A917" s="18"/>
      <c r="B917" s="18"/>
      <c r="C917" s="18"/>
      <c r="D917" s="18"/>
      <c r="E917" s="18"/>
    </row>
    <row r="918" customFormat="false" ht="15" hidden="false" customHeight="false" outlineLevel="0" collapsed="false">
      <c r="A918" s="18"/>
      <c r="B918" s="18"/>
      <c r="C918" s="18"/>
      <c r="D918" s="18"/>
      <c r="E918" s="18"/>
    </row>
    <row r="919" customFormat="false" ht="15" hidden="false" customHeight="false" outlineLevel="0" collapsed="false">
      <c r="A919" s="18"/>
      <c r="B919" s="18"/>
      <c r="C919" s="18"/>
      <c r="D919" s="18"/>
      <c r="E919" s="18"/>
    </row>
    <row r="920" customFormat="false" ht="15" hidden="false" customHeight="false" outlineLevel="0" collapsed="false">
      <c r="A920" s="18"/>
      <c r="B920" s="18"/>
      <c r="C920" s="18"/>
      <c r="D920" s="18"/>
      <c r="E920" s="18"/>
    </row>
    <row r="921" customFormat="false" ht="15" hidden="false" customHeight="false" outlineLevel="0" collapsed="false">
      <c r="A921" s="18"/>
      <c r="B921" s="18"/>
      <c r="C921" s="18"/>
      <c r="D921" s="18"/>
      <c r="E921" s="18"/>
    </row>
    <row r="922" customFormat="false" ht="15" hidden="false" customHeight="false" outlineLevel="0" collapsed="false">
      <c r="A922" s="18"/>
      <c r="B922" s="18"/>
      <c r="C922" s="18"/>
      <c r="D922" s="18"/>
      <c r="E922" s="18"/>
    </row>
    <row r="923" customFormat="false" ht="15" hidden="false" customHeight="false" outlineLevel="0" collapsed="false">
      <c r="A923" s="18"/>
      <c r="B923" s="18"/>
      <c r="C923" s="18"/>
      <c r="D923" s="18"/>
      <c r="E923" s="18"/>
    </row>
    <row r="924" customFormat="false" ht="15" hidden="false" customHeight="false" outlineLevel="0" collapsed="false">
      <c r="A924" s="18"/>
      <c r="B924" s="18"/>
      <c r="C924" s="18"/>
      <c r="D924" s="18"/>
      <c r="E924" s="18"/>
    </row>
    <row r="925" customFormat="false" ht="15" hidden="false" customHeight="false" outlineLevel="0" collapsed="false">
      <c r="A925" s="18"/>
      <c r="B925" s="18"/>
      <c r="C925" s="18"/>
      <c r="D925" s="18"/>
      <c r="E925" s="18"/>
    </row>
    <row r="926" customFormat="false" ht="15" hidden="false" customHeight="false" outlineLevel="0" collapsed="false">
      <c r="A926" s="18"/>
      <c r="B926" s="18"/>
      <c r="C926" s="18"/>
      <c r="D926" s="18"/>
      <c r="E926" s="18"/>
    </row>
    <row r="927" customFormat="false" ht="15" hidden="false" customHeight="false" outlineLevel="0" collapsed="false">
      <c r="A927" s="18"/>
      <c r="B927" s="18"/>
      <c r="C927" s="18"/>
      <c r="D927" s="18"/>
      <c r="E927" s="18"/>
    </row>
    <row r="928" customFormat="false" ht="15" hidden="false" customHeight="false" outlineLevel="0" collapsed="false">
      <c r="A928" s="18"/>
      <c r="B928" s="18"/>
      <c r="C928" s="18"/>
      <c r="D928" s="18"/>
      <c r="E928" s="18"/>
    </row>
    <row r="929" customFormat="false" ht="15" hidden="false" customHeight="false" outlineLevel="0" collapsed="false">
      <c r="A929" s="18"/>
      <c r="B929" s="18"/>
      <c r="C929" s="18"/>
      <c r="D929" s="18"/>
      <c r="E929" s="18"/>
    </row>
    <row r="930" customFormat="false" ht="15" hidden="false" customHeight="false" outlineLevel="0" collapsed="false">
      <c r="A930" s="18"/>
      <c r="B930" s="18"/>
      <c r="C930" s="18"/>
      <c r="D930" s="18"/>
      <c r="E930" s="18"/>
    </row>
    <row r="931" customFormat="false" ht="15" hidden="false" customHeight="false" outlineLevel="0" collapsed="false">
      <c r="A931" s="18"/>
      <c r="B931" s="18"/>
      <c r="C931" s="18"/>
      <c r="D931" s="18"/>
      <c r="E931" s="18"/>
    </row>
    <row r="932" customFormat="false" ht="15" hidden="false" customHeight="false" outlineLevel="0" collapsed="false">
      <c r="A932" s="18"/>
      <c r="B932" s="18"/>
      <c r="C932" s="18"/>
      <c r="D932" s="18"/>
      <c r="E932" s="18"/>
    </row>
    <row r="933" customFormat="false" ht="15" hidden="false" customHeight="false" outlineLevel="0" collapsed="false">
      <c r="A933" s="18"/>
      <c r="B933" s="18"/>
      <c r="C933" s="18"/>
      <c r="D933" s="18"/>
      <c r="E933" s="18"/>
    </row>
    <row r="934" customFormat="false" ht="15" hidden="false" customHeight="false" outlineLevel="0" collapsed="false">
      <c r="A934" s="18"/>
      <c r="B934" s="18"/>
      <c r="C934" s="18"/>
      <c r="D934" s="18"/>
      <c r="E934" s="18"/>
    </row>
    <row r="935" customFormat="false" ht="15" hidden="false" customHeight="false" outlineLevel="0" collapsed="false">
      <c r="A935" s="18"/>
      <c r="B935" s="18"/>
      <c r="C935" s="18"/>
      <c r="D935" s="18"/>
      <c r="E935" s="18"/>
    </row>
    <row r="936" customFormat="false" ht="15" hidden="false" customHeight="false" outlineLevel="0" collapsed="false">
      <c r="A936" s="18"/>
      <c r="B936" s="18"/>
      <c r="C936" s="18"/>
      <c r="D936" s="18"/>
      <c r="E936" s="18"/>
    </row>
    <row r="937" customFormat="false" ht="15" hidden="false" customHeight="false" outlineLevel="0" collapsed="false">
      <c r="A937" s="18"/>
      <c r="B937" s="18"/>
      <c r="C937" s="18"/>
      <c r="D937" s="18"/>
      <c r="E937" s="18"/>
    </row>
    <row r="938" customFormat="false" ht="15" hidden="false" customHeight="false" outlineLevel="0" collapsed="false">
      <c r="A938" s="18"/>
      <c r="B938" s="18"/>
      <c r="C938" s="18"/>
      <c r="D938" s="18"/>
      <c r="E938" s="18"/>
    </row>
    <row r="939" customFormat="false" ht="15" hidden="false" customHeight="false" outlineLevel="0" collapsed="false">
      <c r="A939" s="18"/>
      <c r="B939" s="18"/>
      <c r="C939" s="18"/>
      <c r="D939" s="18"/>
      <c r="E939" s="18"/>
    </row>
    <row r="940" customFormat="false" ht="15" hidden="false" customHeight="false" outlineLevel="0" collapsed="false">
      <c r="A940" s="18"/>
      <c r="B940" s="18"/>
      <c r="C940" s="18"/>
      <c r="D940" s="18"/>
      <c r="E940" s="18"/>
    </row>
    <row r="941" customFormat="false" ht="15" hidden="false" customHeight="false" outlineLevel="0" collapsed="false">
      <c r="A941" s="18"/>
      <c r="B941" s="18"/>
      <c r="C941" s="18"/>
      <c r="D941" s="18"/>
      <c r="E941" s="18"/>
    </row>
    <row r="942" customFormat="false" ht="15" hidden="false" customHeight="false" outlineLevel="0" collapsed="false">
      <c r="A942" s="18"/>
      <c r="B942" s="18"/>
      <c r="C942" s="18"/>
      <c r="D942" s="18"/>
      <c r="E942" s="18"/>
    </row>
    <row r="943" customFormat="false" ht="15" hidden="false" customHeight="false" outlineLevel="0" collapsed="false">
      <c r="A943" s="18"/>
      <c r="B943" s="18"/>
      <c r="C943" s="18"/>
      <c r="D943" s="18"/>
      <c r="E943" s="18"/>
    </row>
    <row r="944" customFormat="false" ht="15" hidden="false" customHeight="false" outlineLevel="0" collapsed="false">
      <c r="A944" s="18"/>
      <c r="B944" s="18"/>
      <c r="C944" s="18"/>
      <c r="D944" s="18"/>
      <c r="E944" s="18"/>
    </row>
    <row r="945" customFormat="false" ht="15" hidden="false" customHeight="false" outlineLevel="0" collapsed="false">
      <c r="A945" s="18"/>
      <c r="B945" s="18"/>
      <c r="C945" s="18"/>
      <c r="D945" s="18"/>
      <c r="E945" s="18"/>
    </row>
    <row r="946" customFormat="false" ht="15" hidden="false" customHeight="false" outlineLevel="0" collapsed="false">
      <c r="A946" s="18"/>
      <c r="B946" s="18"/>
      <c r="C946" s="18"/>
      <c r="D946" s="18"/>
      <c r="E946" s="18"/>
    </row>
    <row r="947" customFormat="false" ht="15" hidden="false" customHeight="false" outlineLevel="0" collapsed="false">
      <c r="A947" s="18"/>
      <c r="B947" s="18"/>
      <c r="C947" s="18"/>
      <c r="D947" s="18"/>
      <c r="E947" s="18"/>
    </row>
    <row r="948" customFormat="false" ht="15" hidden="false" customHeight="false" outlineLevel="0" collapsed="false">
      <c r="A948" s="18"/>
      <c r="B948" s="18"/>
      <c r="C948" s="18"/>
      <c r="D948" s="18"/>
      <c r="E948" s="18"/>
    </row>
    <row r="949" customFormat="false" ht="15" hidden="false" customHeight="false" outlineLevel="0" collapsed="false">
      <c r="A949" s="18"/>
      <c r="B949" s="18"/>
      <c r="C949" s="18"/>
      <c r="D949" s="18"/>
      <c r="E949" s="18"/>
    </row>
    <row r="950" customFormat="false" ht="15" hidden="false" customHeight="false" outlineLevel="0" collapsed="false">
      <c r="A950" s="18"/>
      <c r="B950" s="18"/>
      <c r="C950" s="18"/>
      <c r="D950" s="18"/>
      <c r="E950" s="18"/>
    </row>
    <row r="951" customFormat="false" ht="15" hidden="false" customHeight="false" outlineLevel="0" collapsed="false">
      <c r="A951" s="18"/>
      <c r="B951" s="18"/>
      <c r="C951" s="18"/>
      <c r="D951" s="18"/>
      <c r="E951" s="18"/>
    </row>
    <row r="952" customFormat="false" ht="15" hidden="false" customHeight="false" outlineLevel="0" collapsed="false">
      <c r="A952" s="18"/>
      <c r="B952" s="18"/>
      <c r="C952" s="18"/>
      <c r="D952" s="18"/>
      <c r="E952" s="18"/>
    </row>
    <row r="953" customFormat="false" ht="15" hidden="false" customHeight="false" outlineLevel="0" collapsed="false">
      <c r="A953" s="18"/>
      <c r="B953" s="18"/>
      <c r="C953" s="18"/>
      <c r="D953" s="18"/>
      <c r="E953" s="18"/>
    </row>
    <row r="954" customFormat="false" ht="15" hidden="false" customHeight="false" outlineLevel="0" collapsed="false">
      <c r="A954" s="18"/>
      <c r="B954" s="18"/>
      <c r="C954" s="18"/>
      <c r="D954" s="18"/>
      <c r="E954" s="18"/>
    </row>
    <row r="955" customFormat="false" ht="15" hidden="false" customHeight="false" outlineLevel="0" collapsed="false">
      <c r="A955" s="18"/>
      <c r="B955" s="18"/>
      <c r="C955" s="18"/>
      <c r="D955" s="18"/>
      <c r="E955" s="18"/>
    </row>
    <row r="956" customFormat="false" ht="15" hidden="false" customHeight="false" outlineLevel="0" collapsed="false">
      <c r="A956" s="18"/>
      <c r="B956" s="18"/>
      <c r="C956" s="18"/>
      <c r="D956" s="18"/>
      <c r="E956" s="18"/>
    </row>
    <row r="957" customFormat="false" ht="15" hidden="false" customHeight="false" outlineLevel="0" collapsed="false">
      <c r="A957" s="18"/>
      <c r="B957" s="18"/>
      <c r="C957" s="18"/>
      <c r="D957" s="18"/>
      <c r="E957" s="18"/>
    </row>
    <row r="958" customFormat="false" ht="15" hidden="false" customHeight="false" outlineLevel="0" collapsed="false">
      <c r="A958" s="18"/>
      <c r="B958" s="18"/>
      <c r="C958" s="18"/>
      <c r="D958" s="18"/>
      <c r="E958" s="18"/>
    </row>
    <row r="959" customFormat="false" ht="15" hidden="false" customHeight="false" outlineLevel="0" collapsed="false">
      <c r="A959" s="18"/>
      <c r="B959" s="18"/>
      <c r="C959" s="18"/>
      <c r="D959" s="18"/>
      <c r="E959" s="18"/>
    </row>
    <row r="960" customFormat="false" ht="15" hidden="false" customHeight="false" outlineLevel="0" collapsed="false">
      <c r="A960" s="18"/>
      <c r="B960" s="18"/>
      <c r="C960" s="18"/>
      <c r="D960" s="18"/>
      <c r="E960" s="18"/>
    </row>
    <row r="961" customFormat="false" ht="15" hidden="false" customHeight="false" outlineLevel="0" collapsed="false">
      <c r="A961" s="18"/>
      <c r="B961" s="18"/>
      <c r="C961" s="18"/>
      <c r="D961" s="18"/>
      <c r="E961" s="18"/>
    </row>
    <row r="962" customFormat="false" ht="15" hidden="false" customHeight="false" outlineLevel="0" collapsed="false">
      <c r="A962" s="18"/>
      <c r="B962" s="18"/>
      <c r="C962" s="18"/>
      <c r="D962" s="18"/>
      <c r="E962" s="18"/>
    </row>
    <row r="963" customFormat="false" ht="15" hidden="false" customHeight="false" outlineLevel="0" collapsed="false">
      <c r="A963" s="18"/>
      <c r="B963" s="18"/>
      <c r="C963" s="18"/>
      <c r="D963" s="18"/>
      <c r="E963" s="18"/>
    </row>
    <row r="964" customFormat="false" ht="15" hidden="false" customHeight="false" outlineLevel="0" collapsed="false">
      <c r="A964" s="18"/>
      <c r="B964" s="18"/>
      <c r="C964" s="18"/>
      <c r="D964" s="18"/>
      <c r="E964" s="18"/>
    </row>
    <row r="965" customFormat="false" ht="15" hidden="false" customHeight="false" outlineLevel="0" collapsed="false">
      <c r="A965" s="18"/>
      <c r="B965" s="18"/>
      <c r="C965" s="18"/>
      <c r="D965" s="18"/>
      <c r="E965" s="18"/>
    </row>
    <row r="966" customFormat="false" ht="15" hidden="false" customHeight="false" outlineLevel="0" collapsed="false">
      <c r="A966" s="18"/>
      <c r="B966" s="18"/>
      <c r="C966" s="18"/>
      <c r="D966" s="18"/>
      <c r="E966" s="18"/>
    </row>
    <row r="967" customFormat="false" ht="15" hidden="false" customHeight="false" outlineLevel="0" collapsed="false">
      <c r="A967" s="18"/>
      <c r="B967" s="18"/>
      <c r="C967" s="18"/>
      <c r="D967" s="18"/>
      <c r="E967" s="18"/>
    </row>
    <row r="968" customFormat="false" ht="15" hidden="false" customHeight="false" outlineLevel="0" collapsed="false">
      <c r="A968" s="18"/>
      <c r="B968" s="18"/>
      <c r="C968" s="18"/>
      <c r="D968" s="18"/>
      <c r="E968" s="18"/>
    </row>
    <row r="969" customFormat="false" ht="15" hidden="false" customHeight="false" outlineLevel="0" collapsed="false">
      <c r="A969" s="18"/>
      <c r="B969" s="18"/>
      <c r="C969" s="18"/>
      <c r="D969" s="18"/>
      <c r="E969" s="18"/>
    </row>
    <row r="970" customFormat="false" ht="15" hidden="false" customHeight="false" outlineLevel="0" collapsed="false">
      <c r="A970" s="18"/>
      <c r="B970" s="18"/>
      <c r="C970" s="18"/>
      <c r="D970" s="18"/>
      <c r="E970" s="18"/>
    </row>
    <row r="971" customFormat="false" ht="15" hidden="false" customHeight="false" outlineLevel="0" collapsed="false">
      <c r="A971" s="18"/>
      <c r="B971" s="18"/>
      <c r="C971" s="18"/>
      <c r="D971" s="18"/>
      <c r="E971" s="18"/>
    </row>
    <row r="972" customFormat="false" ht="15" hidden="false" customHeight="false" outlineLevel="0" collapsed="false">
      <c r="A972" s="18"/>
      <c r="B972" s="18"/>
      <c r="C972" s="18"/>
      <c r="D972" s="18"/>
      <c r="E972" s="18"/>
    </row>
    <row r="973" customFormat="false" ht="15" hidden="false" customHeight="false" outlineLevel="0" collapsed="false">
      <c r="A973" s="18"/>
      <c r="B973" s="18"/>
      <c r="C973" s="18"/>
      <c r="D973" s="18"/>
      <c r="E973" s="18"/>
    </row>
    <row r="974" customFormat="false" ht="15" hidden="false" customHeight="false" outlineLevel="0" collapsed="false">
      <c r="A974" s="18"/>
      <c r="B974" s="18"/>
      <c r="C974" s="18"/>
      <c r="D974" s="18"/>
      <c r="E974" s="18"/>
    </row>
    <row r="975" customFormat="false" ht="15" hidden="false" customHeight="false" outlineLevel="0" collapsed="false">
      <c r="A975" s="18"/>
      <c r="B975" s="18"/>
      <c r="C975" s="18"/>
      <c r="D975" s="18"/>
      <c r="E975" s="18"/>
    </row>
    <row r="976" customFormat="false" ht="15" hidden="false" customHeight="false" outlineLevel="0" collapsed="false">
      <c r="A976" s="18"/>
      <c r="B976" s="18"/>
      <c r="C976" s="18"/>
      <c r="D976" s="18"/>
      <c r="E976" s="18"/>
    </row>
    <row r="977" customFormat="false" ht="15" hidden="false" customHeight="false" outlineLevel="0" collapsed="false">
      <c r="A977" s="18"/>
      <c r="B977" s="18"/>
      <c r="C977" s="18"/>
      <c r="D977" s="18"/>
      <c r="E977" s="18"/>
    </row>
    <row r="978" customFormat="false" ht="15" hidden="false" customHeight="false" outlineLevel="0" collapsed="false">
      <c r="A978" s="18"/>
      <c r="B978" s="18"/>
      <c r="C978" s="18"/>
      <c r="D978" s="18"/>
      <c r="E978" s="18"/>
    </row>
    <row r="979" customFormat="false" ht="15" hidden="false" customHeight="false" outlineLevel="0" collapsed="false">
      <c r="A979" s="18"/>
      <c r="B979" s="18"/>
      <c r="C979" s="18"/>
      <c r="D979" s="18"/>
      <c r="E979" s="18"/>
    </row>
    <row r="980" customFormat="false" ht="15" hidden="false" customHeight="false" outlineLevel="0" collapsed="false">
      <c r="A980" s="18"/>
      <c r="B980" s="18"/>
      <c r="C980" s="18"/>
      <c r="D980" s="18"/>
      <c r="E980" s="18"/>
    </row>
    <row r="981" customFormat="false" ht="15" hidden="false" customHeight="false" outlineLevel="0" collapsed="false">
      <c r="A981" s="18"/>
      <c r="B981" s="18"/>
      <c r="C981" s="18"/>
      <c r="D981" s="18"/>
      <c r="E981" s="18"/>
    </row>
    <row r="982" customFormat="false" ht="15" hidden="false" customHeight="false" outlineLevel="0" collapsed="false">
      <c r="A982" s="18"/>
      <c r="B982" s="18"/>
      <c r="C982" s="18"/>
      <c r="D982" s="18"/>
      <c r="E982" s="18"/>
    </row>
    <row r="983" customFormat="false" ht="15" hidden="false" customHeight="false" outlineLevel="0" collapsed="false">
      <c r="A983" s="18"/>
      <c r="B983" s="18"/>
      <c r="C983" s="18"/>
      <c r="D983" s="18"/>
      <c r="E983" s="18"/>
    </row>
    <row r="984" customFormat="false" ht="15" hidden="false" customHeight="false" outlineLevel="0" collapsed="false">
      <c r="A984" s="18"/>
      <c r="B984" s="18"/>
      <c r="C984" s="18"/>
      <c r="D984" s="18"/>
      <c r="E984" s="18"/>
    </row>
    <row r="985" customFormat="false" ht="15" hidden="false" customHeight="false" outlineLevel="0" collapsed="false">
      <c r="A985" s="18"/>
      <c r="B985" s="18"/>
      <c r="C985" s="18"/>
      <c r="D985" s="18"/>
      <c r="E985" s="18"/>
    </row>
    <row r="986" customFormat="false" ht="15" hidden="false" customHeight="false" outlineLevel="0" collapsed="false">
      <c r="A986" s="18"/>
      <c r="B986" s="18"/>
      <c r="C986" s="18"/>
      <c r="D986" s="18"/>
      <c r="E986" s="18"/>
    </row>
    <row r="987" customFormat="false" ht="15" hidden="false" customHeight="false" outlineLevel="0" collapsed="false">
      <c r="A987" s="18"/>
      <c r="B987" s="18"/>
      <c r="C987" s="18"/>
      <c r="D987" s="18"/>
      <c r="E987" s="18"/>
    </row>
    <row r="988" customFormat="false" ht="15" hidden="false" customHeight="false" outlineLevel="0" collapsed="false">
      <c r="A988" s="18"/>
      <c r="B988" s="18"/>
      <c r="C988" s="18"/>
      <c r="D988" s="18"/>
      <c r="E988" s="18"/>
    </row>
    <row r="989" customFormat="false" ht="15" hidden="false" customHeight="false" outlineLevel="0" collapsed="false">
      <c r="A989" s="18"/>
      <c r="B989" s="18"/>
      <c r="C989" s="18"/>
      <c r="D989" s="18"/>
      <c r="E989" s="18"/>
    </row>
    <row r="990" customFormat="false" ht="15" hidden="false" customHeight="false" outlineLevel="0" collapsed="false">
      <c r="A990" s="18"/>
      <c r="B990" s="18"/>
      <c r="C990" s="18"/>
      <c r="D990" s="18"/>
      <c r="E990" s="18"/>
    </row>
    <row r="991" customFormat="false" ht="15" hidden="false" customHeight="false" outlineLevel="0" collapsed="false">
      <c r="A991" s="18"/>
      <c r="B991" s="18"/>
      <c r="C991" s="18"/>
      <c r="D991" s="18"/>
      <c r="E991" s="18"/>
    </row>
    <row r="992" customFormat="false" ht="15" hidden="false" customHeight="false" outlineLevel="0" collapsed="false">
      <c r="A992" s="18"/>
      <c r="B992" s="18"/>
      <c r="C992" s="18"/>
      <c r="D992" s="18"/>
      <c r="E992" s="18"/>
    </row>
    <row r="993" customFormat="false" ht="15" hidden="false" customHeight="false" outlineLevel="0" collapsed="false">
      <c r="A993" s="18"/>
      <c r="B993" s="18"/>
      <c r="C993" s="18"/>
      <c r="D993" s="18"/>
      <c r="E993" s="18"/>
    </row>
    <row r="994" customFormat="false" ht="15" hidden="false" customHeight="false" outlineLevel="0" collapsed="false">
      <c r="A994" s="18"/>
      <c r="B994" s="18"/>
      <c r="C994" s="18"/>
      <c r="D994" s="18"/>
      <c r="E994" s="18"/>
    </row>
    <row r="995" customFormat="false" ht="15" hidden="false" customHeight="false" outlineLevel="0" collapsed="false">
      <c r="A995" s="18"/>
      <c r="B995" s="18"/>
      <c r="C995" s="18"/>
      <c r="D995" s="18"/>
      <c r="E995" s="18"/>
    </row>
    <row r="996" customFormat="false" ht="15" hidden="false" customHeight="false" outlineLevel="0" collapsed="false">
      <c r="A996" s="18"/>
      <c r="B996" s="18"/>
      <c r="C996" s="18"/>
      <c r="D996" s="18"/>
      <c r="E996" s="18"/>
    </row>
    <row r="997" customFormat="false" ht="15" hidden="false" customHeight="false" outlineLevel="0" collapsed="false">
      <c r="A997" s="18"/>
      <c r="B997" s="18"/>
      <c r="C997" s="18"/>
      <c r="D997" s="18"/>
      <c r="E997" s="18"/>
    </row>
    <row r="998" customFormat="false" ht="15" hidden="false" customHeight="false" outlineLevel="0" collapsed="false">
      <c r="A998" s="18"/>
      <c r="B998" s="18"/>
      <c r="C998" s="18"/>
      <c r="D998" s="18"/>
      <c r="E998" s="18"/>
    </row>
    <row r="999" customFormat="false" ht="15" hidden="false" customHeight="false" outlineLevel="0" collapsed="false">
      <c r="A999" s="18"/>
      <c r="B999" s="18"/>
      <c r="C999" s="18"/>
      <c r="D999" s="18"/>
      <c r="E999" s="18"/>
    </row>
    <row r="1000" customFormat="false" ht="15" hidden="false" customHeight="false" outlineLevel="0" collapsed="false">
      <c r="A1000" s="18"/>
      <c r="B1000" s="18"/>
      <c r="C1000" s="18"/>
      <c r="D1000" s="18"/>
      <c r="E1000" s="18"/>
    </row>
    <row r="1001" customFormat="false" ht="15" hidden="false" customHeight="false" outlineLevel="0" collapsed="false">
      <c r="A1001" s="18"/>
      <c r="B1001" s="18"/>
      <c r="C1001" s="18"/>
      <c r="D1001" s="18"/>
      <c r="E1001" s="18"/>
    </row>
    <row r="1002" customFormat="false" ht="15" hidden="false" customHeight="false" outlineLevel="0" collapsed="false">
      <c r="A1002" s="18"/>
      <c r="B1002" s="18"/>
      <c r="C1002" s="18"/>
      <c r="D1002" s="18"/>
      <c r="E1002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2026-10-13T20:52:16Z</dcterms:created>
  <dc:creator>openpyxl</dc:creator>
  <dc:description/>
  <dc:language>en-US</dc:language>
  <cp:lastModifiedBy/>
  <dcterms:modified xsi:type="dcterms:W3CDTF">2026-10-13T20:52:16Z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